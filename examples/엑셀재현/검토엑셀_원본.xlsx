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365cju-my.sharepoint.com/personal/2021020281_office_cju_ac_kr/Documents/문서/카카오톡 받은 파일/연천통합감리/분리발주/신서&amp;횡산/03.경기도 계약심의 심의요청서/A 건설사업관리 계획 적정성 검토/04-첨부-건설사업관리 기간 적정성 검토/"/>
    </mc:Choice>
  </mc:AlternateContent>
  <xr:revisionPtr revIDLastSave="923" documentId="8_{78A58D9B-3173-427E-8B60-8A65B7A8C3A2}" xr6:coauthVersionLast="47" xr6:coauthVersionMax="47" xr10:uidLastSave="{0D625C46-AD39-4E5D-881A-830712C0E6AB}"/>
  <bookViews>
    <workbookView xWindow="-103" yWindow="-103" windowWidth="24892" windowHeight="14914" firstSheet="11" activeTab="17" xr2:uid="{2A03D5A5-528C-4BB0-8B7B-8C9AF3C98EF4}"/>
  </bookViews>
  <sheets>
    <sheet name="사용안내" sheetId="1" r:id="rId1"/>
    <sheet name="①공사개요" sheetId="2" r:id="rId2"/>
    <sheet name="②비작업일수" sheetId="3" r:id="rId3"/>
    <sheet name="②-1 기후비작업근거" sheetId="4" r:id="rId4"/>
    <sheet name="②-2 기후비작업근거" sheetId="13" r:id="rId5"/>
    <sheet name="③1일작업량DB" sheetId="5" r:id="rId6"/>
    <sheet name="④작업일수산정" sheetId="6" r:id="rId7"/>
    <sheet name="④-1 처리시설 작업일수" sheetId="14" r:id="rId8"/>
    <sheet name="④-2 횡산소규모 작업일수" sheetId="15" r:id="rId9"/>
    <sheet name="④-3 노동리 작업일수" sheetId="16" r:id="rId10"/>
    <sheet name="⑤CP구성" sheetId="7" r:id="rId11"/>
    <sheet name="⑤-1 동절기순연축" sheetId="17" r:id="rId12"/>
    <sheet name="CP공정표" sheetId="12" r:id="rId13"/>
    <sheet name="⑥공사기간종합" sheetId="8" r:id="rId14"/>
    <sheet name="⑦적정성검토" sheetId="9" r:id="rId15"/>
    <sheet name="추가검토(동절기 반영)" sheetId="18" r:id="rId16"/>
    <sheet name="부록참고" sheetId="10" r:id="rId17"/>
    <sheet name="부록3DB" sheetId="11" r:id="rId18"/>
  </sheets>
  <externalReferences>
    <externalReference r:id="rId19"/>
  </externalReferences>
  <definedNames>
    <definedName name="_xlnm.Print_Area" localSheetId="1">①공사개요!$A$1:$H$26</definedName>
    <definedName name="_xlnm.Print_Area" localSheetId="3">'②-1 기후비작업근거'!$A$1:$W$74</definedName>
    <definedName name="_xlnm.Print_Area" localSheetId="4">'②-2 기후비작업근거'!$A$1:$T$77</definedName>
    <definedName name="_xlnm.Print_Area" localSheetId="2">②비작업일수!$A$1:$L$56</definedName>
    <definedName name="_xlnm.Print_Area" localSheetId="7">'④-1 처리시설 작업일수'!$A$1:$R$120</definedName>
    <definedName name="_xlnm.Print_Area" localSheetId="8">'④-2 횡산소규모 작업일수'!$A$1:$R$260</definedName>
    <definedName name="_xlnm.Print_Area" localSheetId="9">'④-3 노동리 작업일수'!$A$1:$S$172</definedName>
    <definedName name="_xlnm.Print_Area" localSheetId="6">④작업일수산정!$A$1:$R$100</definedName>
    <definedName name="_xlnm.Print_Area" localSheetId="10">⑤CP구성!$A$1:$M$80</definedName>
    <definedName name="_xlnm.Print_Area" localSheetId="13">⑥공사기간종합!$W$3:$AE$13</definedName>
    <definedName name="_xlnm.Print_Area" localSheetId="14">⑦적정성검토!$A$1:$I$22</definedName>
    <definedName name="_xlnm.Print_Area" localSheetId="12">CP공정표!$A$1:$BE$74</definedName>
    <definedName name="_xlnm.Print_Area" localSheetId="15">'추가검토(동절기 반영)'!$A$1:$J$24</definedName>
    <definedName name="_xlnm.Print_Titles" localSheetId="5">③1일작업량DB!$1:$5</definedName>
    <definedName name="_xlnm.Print_Titles" localSheetId="7">'④-1 처리시설 작업일수'!$1:$4</definedName>
    <definedName name="_xlnm.Print_Titles" localSheetId="8">'④-2 횡산소규모 작업일수'!$1:$4</definedName>
    <definedName name="_xlnm.Print_Titles" localSheetId="9">'④-3 노동리 작업일수'!$1:$4</definedName>
    <definedName name="_xlnm.Print_Titles" localSheetId="6">④작업일수산정!$1:$4</definedName>
    <definedName name="_xlnm.Print_Titles" localSheetId="10">⑤CP구성!$1:$5</definedName>
    <definedName name="_xlnm.Print_Titles" localSheetId="12">CP공정표!$A:$H,CP공정표!$1:$7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6" i="3" l="1"/>
  <c r="G46" i="3"/>
  <c r="F46" i="3"/>
  <c r="E46" i="3"/>
  <c r="D46" i="3"/>
  <c r="C46" i="3"/>
  <c r="N45" i="3"/>
  <c r="G45" i="3"/>
  <c r="F45" i="3"/>
  <c r="H45" i="3" s="1"/>
  <c r="E45" i="3"/>
  <c r="D45" i="3"/>
  <c r="C45" i="3"/>
  <c r="N44" i="3"/>
  <c r="G44" i="3"/>
  <c r="F44" i="3"/>
  <c r="E44" i="3"/>
  <c r="D44" i="3"/>
  <c r="C44" i="3"/>
  <c r="N34" i="3"/>
  <c r="G34" i="3"/>
  <c r="F34" i="3"/>
  <c r="E34" i="3"/>
  <c r="D34" i="3"/>
  <c r="C34" i="3"/>
  <c r="N33" i="3"/>
  <c r="G33" i="3"/>
  <c r="F33" i="3"/>
  <c r="H33" i="3" s="1"/>
  <c r="I33" i="3" s="1"/>
  <c r="J33" i="3" s="1"/>
  <c r="K33" i="3" s="1"/>
  <c r="L33" i="3" s="1"/>
  <c r="E33" i="3"/>
  <c r="D33" i="3"/>
  <c r="C33" i="3"/>
  <c r="N32" i="3"/>
  <c r="G32" i="3"/>
  <c r="F32" i="3"/>
  <c r="E32" i="3"/>
  <c r="D32" i="3"/>
  <c r="C32" i="3"/>
  <c r="N22" i="3"/>
  <c r="G22" i="3"/>
  <c r="F22" i="3"/>
  <c r="E22" i="3"/>
  <c r="D22" i="3"/>
  <c r="C22" i="3"/>
  <c r="N21" i="3"/>
  <c r="G21" i="3"/>
  <c r="F21" i="3"/>
  <c r="H21" i="3" s="1"/>
  <c r="I21" i="3" s="1"/>
  <c r="J21" i="3" s="1"/>
  <c r="E21" i="3"/>
  <c r="D21" i="3"/>
  <c r="C21" i="3"/>
  <c r="N20" i="3"/>
  <c r="G20" i="3"/>
  <c r="F20" i="3"/>
  <c r="E20" i="3"/>
  <c r="D20" i="3"/>
  <c r="C20" i="3"/>
  <c r="F13" i="2"/>
  <c r="AD9" i="8"/>
  <c r="AD8" i="8"/>
  <c r="AD7" i="8"/>
  <c r="AD6" i="8"/>
  <c r="X8" i="8"/>
  <c r="X7" i="8"/>
  <c r="W9" i="8"/>
  <c r="W8" i="8"/>
  <c r="W7" i="8"/>
  <c r="W6" i="8"/>
  <c r="H15" i="18"/>
  <c r="H14" i="18"/>
  <c r="H13" i="18"/>
  <c r="H12" i="18"/>
  <c r="E8" i="9"/>
  <c r="H60" i="7"/>
  <c r="Z43" i="7"/>
  <c r="H71" i="7" s="1"/>
  <c r="Z42" i="7"/>
  <c r="H62" i="7" s="1"/>
  <c r="AE68" i="7"/>
  <c r="AE16" i="7"/>
  <c r="BC69" i="12"/>
  <c r="BB69" i="12"/>
  <c r="BA69" i="12"/>
  <c r="AZ69" i="12"/>
  <c r="AY69" i="12"/>
  <c r="AX69" i="12"/>
  <c r="AW69" i="12"/>
  <c r="AV69" i="12"/>
  <c r="AU69" i="12"/>
  <c r="AT69" i="12"/>
  <c r="AS69" i="12"/>
  <c r="AR69" i="12"/>
  <c r="AQ69" i="12"/>
  <c r="AP69" i="12"/>
  <c r="AO69" i="12"/>
  <c r="AN69" i="12"/>
  <c r="AM69" i="12"/>
  <c r="AL69" i="12"/>
  <c r="AK69" i="12"/>
  <c r="AJ69" i="12"/>
  <c r="AI69" i="12"/>
  <c r="AH69" i="12"/>
  <c r="AG69" i="12"/>
  <c r="AF69" i="12"/>
  <c r="AE69" i="12"/>
  <c r="AD69" i="12"/>
  <c r="AC69" i="12"/>
  <c r="AB69" i="12"/>
  <c r="AA69" i="12"/>
  <c r="Z69" i="12"/>
  <c r="Y69" i="12"/>
  <c r="X69" i="12"/>
  <c r="W69" i="12"/>
  <c r="V69" i="12"/>
  <c r="U69" i="12"/>
  <c r="T69" i="12"/>
  <c r="S69" i="12"/>
  <c r="R69" i="12"/>
  <c r="Q69" i="12"/>
  <c r="P69" i="12"/>
  <c r="O69" i="12"/>
  <c r="N69" i="12"/>
  <c r="M69" i="12"/>
  <c r="L69" i="12"/>
  <c r="K69" i="12"/>
  <c r="J69" i="12"/>
  <c r="I69" i="12"/>
  <c r="BC49" i="12"/>
  <c r="BB49" i="12"/>
  <c r="BA49" i="12"/>
  <c r="AZ49" i="12"/>
  <c r="AY49" i="12"/>
  <c r="AX49" i="12"/>
  <c r="AW49" i="12"/>
  <c r="AV49" i="12"/>
  <c r="AU49" i="12"/>
  <c r="AT49" i="12"/>
  <c r="AS49" i="12"/>
  <c r="AR49" i="12"/>
  <c r="AQ49" i="12"/>
  <c r="AP49" i="12"/>
  <c r="AO49" i="12"/>
  <c r="AN49" i="12"/>
  <c r="AM49" i="12"/>
  <c r="AL49" i="12"/>
  <c r="AK49" i="12"/>
  <c r="AJ49" i="12"/>
  <c r="AI49" i="12"/>
  <c r="AH49" i="12"/>
  <c r="AG49" i="12"/>
  <c r="AF49" i="12"/>
  <c r="AE49" i="12"/>
  <c r="AD49" i="12"/>
  <c r="AC49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BC34" i="12"/>
  <c r="BB34" i="12"/>
  <c r="BA34" i="12"/>
  <c r="AZ34" i="12"/>
  <c r="AY34" i="12"/>
  <c r="AX34" i="12"/>
  <c r="AW34" i="12"/>
  <c r="AV34" i="12"/>
  <c r="AU34" i="12"/>
  <c r="AT34" i="12"/>
  <c r="AS34" i="12"/>
  <c r="AR34" i="12"/>
  <c r="AQ34" i="12"/>
  <c r="AP34" i="12"/>
  <c r="AO34" i="12"/>
  <c r="AN34" i="12"/>
  <c r="AM34" i="12"/>
  <c r="AL34" i="12"/>
  <c r="AK34" i="12"/>
  <c r="AJ34" i="12"/>
  <c r="AI34" i="12"/>
  <c r="AH34" i="12"/>
  <c r="AG34" i="12"/>
  <c r="AF34" i="12"/>
  <c r="AE34" i="12"/>
  <c r="AD34" i="12"/>
  <c r="AC34" i="12"/>
  <c r="AB34" i="12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BE68" i="12"/>
  <c r="BE67" i="12"/>
  <c r="BE66" i="12"/>
  <c r="BE65" i="12"/>
  <c r="BE64" i="12"/>
  <c r="BE63" i="12"/>
  <c r="BE62" i="12"/>
  <c r="BE61" i="12"/>
  <c r="BE60" i="12"/>
  <c r="BE59" i="12"/>
  <c r="BE58" i="12"/>
  <c r="BE57" i="12"/>
  <c r="BE56" i="12"/>
  <c r="BE55" i="12"/>
  <c r="BE54" i="12"/>
  <c r="BE53" i="12"/>
  <c r="BE52" i="12"/>
  <c r="BE51" i="12"/>
  <c r="BE48" i="12"/>
  <c r="BE47" i="12"/>
  <c r="BE46" i="12"/>
  <c r="BE45" i="12"/>
  <c r="BE44" i="12"/>
  <c r="BE43" i="12"/>
  <c r="BE42" i="12"/>
  <c r="BE41" i="12"/>
  <c r="BE40" i="12"/>
  <c r="BE39" i="12"/>
  <c r="BE38" i="12"/>
  <c r="BE37" i="12"/>
  <c r="BE36" i="12"/>
  <c r="BE33" i="12"/>
  <c r="BE32" i="12"/>
  <c r="BE31" i="12"/>
  <c r="BE30" i="12"/>
  <c r="BE29" i="12"/>
  <c r="BE28" i="12"/>
  <c r="BE27" i="12"/>
  <c r="BE26" i="12"/>
  <c r="BE25" i="12"/>
  <c r="BE24" i="12"/>
  <c r="BE23" i="12"/>
  <c r="BE22" i="12"/>
  <c r="BE21" i="12"/>
  <c r="BE20" i="12"/>
  <c r="BE19" i="12"/>
  <c r="BE18" i="12"/>
  <c r="BE17" i="12"/>
  <c r="BE16" i="12"/>
  <c r="BE15" i="12"/>
  <c r="BE14" i="12"/>
  <c r="BE13" i="12"/>
  <c r="BE12" i="12"/>
  <c r="BE11" i="12"/>
  <c r="BE10" i="12"/>
  <c r="BE9" i="12"/>
  <c r="BE8" i="12"/>
  <c r="BE7" i="12"/>
  <c r="L60" i="7"/>
  <c r="L45" i="7"/>
  <c r="H16" i="7"/>
  <c r="H21" i="7"/>
  <c r="Z24" i="7"/>
  <c r="H32" i="7" s="1"/>
  <c r="Z23" i="7"/>
  <c r="H24" i="7" s="1"/>
  <c r="E6" i="13"/>
  <c r="E6" i="4"/>
  <c r="E71" i="13"/>
  <c r="E68" i="4"/>
  <c r="C6" i="13"/>
  <c r="C6" i="4"/>
  <c r="C8" i="2"/>
  <c r="H46" i="3" l="1"/>
  <c r="I46" i="3" s="1"/>
  <c r="J46" i="3" s="1"/>
  <c r="I45" i="3"/>
  <c r="J45" i="3" s="1"/>
  <c r="K45" i="3" s="1"/>
  <c r="L45" i="3" s="1"/>
  <c r="H44" i="3"/>
  <c r="I44" i="3" s="1"/>
  <c r="J44" i="3" s="1"/>
  <c r="H34" i="3"/>
  <c r="I34" i="3" s="1"/>
  <c r="J34" i="3" s="1"/>
  <c r="O33" i="3"/>
  <c r="I32" i="3"/>
  <c r="J32" i="3" s="1"/>
  <c r="O32" i="3" s="1"/>
  <c r="H32" i="3"/>
  <c r="H22" i="3"/>
  <c r="I22" i="3" s="1"/>
  <c r="J22" i="3" s="1"/>
  <c r="O21" i="3"/>
  <c r="K21" i="3"/>
  <c r="L21" i="3" s="1"/>
  <c r="H20" i="3"/>
  <c r="I20" i="3" s="1"/>
  <c r="J20" i="3" s="1"/>
  <c r="H72" i="7"/>
  <c r="H69" i="7"/>
  <c r="H68" i="7"/>
  <c r="H65" i="7"/>
  <c r="H64" i="7"/>
  <c r="H75" i="7"/>
  <c r="H61" i="7"/>
  <c r="H67" i="7"/>
  <c r="H77" i="7"/>
  <c r="H76" i="7"/>
  <c r="H73" i="7"/>
  <c r="H74" i="7"/>
  <c r="H66" i="7"/>
  <c r="H63" i="7"/>
  <c r="H70" i="7"/>
  <c r="H23" i="7"/>
  <c r="H29" i="7"/>
  <c r="H37" i="7"/>
  <c r="H31" i="7"/>
  <c r="H30" i="7"/>
  <c r="H22" i="7"/>
  <c r="H36" i="7"/>
  <c r="H28" i="7"/>
  <c r="H20" i="7"/>
  <c r="H35" i="7"/>
  <c r="H27" i="7"/>
  <c r="H19" i="7"/>
  <c r="H34" i="7"/>
  <c r="H26" i="7"/>
  <c r="H18" i="7"/>
  <c r="H33" i="7"/>
  <c r="H25" i="7"/>
  <c r="H17" i="7"/>
  <c r="O46" i="3" l="1"/>
  <c r="K46" i="3"/>
  <c r="L46" i="3" s="1"/>
  <c r="O45" i="3"/>
  <c r="O44" i="3"/>
  <c r="K44" i="3"/>
  <c r="L44" i="3" s="1"/>
  <c r="O34" i="3"/>
  <c r="K34" i="3"/>
  <c r="L34" i="3" s="1"/>
  <c r="K32" i="3"/>
  <c r="L32" i="3" s="1"/>
  <c r="O22" i="3"/>
  <c r="K22" i="3"/>
  <c r="L22" i="3" s="1"/>
  <c r="O20" i="3"/>
  <c r="K20" i="3"/>
  <c r="L20" i="3" s="1"/>
  <c r="G9" i="8"/>
  <c r="AA9" i="8" s="1"/>
  <c r="D8" i="8"/>
  <c r="D7" i="8"/>
  <c r="C48" i="12"/>
  <c r="B48" i="12"/>
  <c r="A48" i="12"/>
  <c r="C47" i="12"/>
  <c r="B47" i="12"/>
  <c r="A47" i="12"/>
  <c r="C46" i="12"/>
  <c r="B46" i="12"/>
  <c r="A46" i="12"/>
  <c r="C45" i="12"/>
  <c r="B45" i="12"/>
  <c r="A45" i="12"/>
  <c r="C44" i="12"/>
  <c r="B44" i="12"/>
  <c r="A44" i="12"/>
  <c r="C33" i="12"/>
  <c r="B33" i="12"/>
  <c r="A33" i="12"/>
  <c r="C32" i="12"/>
  <c r="B32" i="12"/>
  <c r="A32" i="12"/>
  <c r="C31" i="12"/>
  <c r="B31" i="12"/>
  <c r="A31" i="12"/>
  <c r="C30" i="12"/>
  <c r="B30" i="12"/>
  <c r="A30" i="12"/>
  <c r="C29" i="12"/>
  <c r="B29" i="12"/>
  <c r="A29" i="12"/>
  <c r="K53" i="7"/>
  <c r="K54" i="7"/>
  <c r="K55" i="7"/>
  <c r="K56" i="7"/>
  <c r="K57" i="7"/>
  <c r="K38" i="7"/>
  <c r="K39" i="7"/>
  <c r="K40" i="7"/>
  <c r="K41" i="7"/>
  <c r="K42" i="7"/>
  <c r="R9" i="8"/>
  <c r="R8" i="8"/>
  <c r="R7" i="8"/>
  <c r="R6" i="8"/>
  <c r="H45" i="7"/>
  <c r="H51" i="7"/>
  <c r="Z8" i="7"/>
  <c r="Z7" i="7"/>
  <c r="A6" i="17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K156" i="16"/>
  <c r="K155" i="16"/>
  <c r="K154" i="16"/>
  <c r="K153" i="16"/>
  <c r="K152" i="16"/>
  <c r="K151" i="16"/>
  <c r="K150" i="16"/>
  <c r="K148" i="16"/>
  <c r="K147" i="16"/>
  <c r="K146" i="16"/>
  <c r="K145" i="16"/>
  <c r="K144" i="16"/>
  <c r="K143" i="16"/>
  <c r="K141" i="16"/>
  <c r="K140" i="16"/>
  <c r="K139" i="16"/>
  <c r="K137" i="16"/>
  <c r="K136" i="16"/>
  <c r="K135" i="16"/>
  <c r="K133" i="16"/>
  <c r="K132" i="16"/>
  <c r="K131" i="16"/>
  <c r="K130" i="16"/>
  <c r="K128" i="16"/>
  <c r="K126" i="16"/>
  <c r="K125" i="16"/>
  <c r="K124" i="16"/>
  <c r="K123" i="16"/>
  <c r="K122" i="16"/>
  <c r="K121" i="16"/>
  <c r="K120" i="16"/>
  <c r="K119" i="16"/>
  <c r="K118" i="16"/>
  <c r="K116" i="16"/>
  <c r="K115" i="16"/>
  <c r="K114" i="16"/>
  <c r="K113" i="16"/>
  <c r="K112" i="16"/>
  <c r="K111" i="16"/>
  <c r="K110" i="16"/>
  <c r="K109" i="16"/>
  <c r="K107" i="16"/>
  <c r="K106" i="16"/>
  <c r="K105" i="16"/>
  <c r="K104" i="16"/>
  <c r="K103" i="16"/>
  <c r="K102" i="16"/>
  <c r="K101" i="16"/>
  <c r="K99" i="16"/>
  <c r="K98" i="16"/>
  <c r="K97" i="16"/>
  <c r="K96" i="16"/>
  <c r="K95" i="16"/>
  <c r="K93" i="16"/>
  <c r="K92" i="16"/>
  <c r="K91" i="16"/>
  <c r="K90" i="16"/>
  <c r="K89" i="16"/>
  <c r="K88" i="16"/>
  <c r="K87" i="16"/>
  <c r="K86" i="16"/>
  <c r="K85" i="16"/>
  <c r="K84" i="16"/>
  <c r="K83" i="16"/>
  <c r="K81" i="16"/>
  <c r="K80" i="16"/>
  <c r="K79" i="16"/>
  <c r="K78" i="16"/>
  <c r="K77" i="16"/>
  <c r="K76" i="16"/>
  <c r="K75" i="16"/>
  <c r="K74" i="16"/>
  <c r="K73" i="16"/>
  <c r="K72" i="16"/>
  <c r="K71" i="16"/>
  <c r="K70" i="16"/>
  <c r="K69" i="16"/>
  <c r="K68" i="16"/>
  <c r="K66" i="16"/>
  <c r="K65" i="16"/>
  <c r="K64" i="16"/>
  <c r="K63" i="16"/>
  <c r="K62" i="16"/>
  <c r="K61" i="16"/>
  <c r="K60" i="16"/>
  <c r="K59" i="16"/>
  <c r="K58" i="16"/>
  <c r="K57" i="16"/>
  <c r="K56" i="16"/>
  <c r="K55" i="16"/>
  <c r="K54" i="16"/>
  <c r="K52" i="16"/>
  <c r="K51" i="16"/>
  <c r="K50" i="16"/>
  <c r="K49" i="16"/>
  <c r="K48" i="16"/>
  <c r="K47" i="16"/>
  <c r="K46" i="16"/>
  <c r="K45" i="16"/>
  <c r="K44" i="16"/>
  <c r="K43" i="16"/>
  <c r="K41" i="16"/>
  <c r="K40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2" i="16"/>
  <c r="K11" i="16"/>
  <c r="K10" i="16"/>
  <c r="K9" i="16"/>
  <c r="K8" i="16"/>
  <c r="K7" i="16"/>
  <c r="K6" i="16"/>
  <c r="H48" i="7" l="1"/>
  <c r="H47" i="7"/>
  <c r="H50" i="7"/>
  <c r="H49" i="7"/>
  <c r="H46" i="7"/>
  <c r="H52" i="7"/>
  <c r="C68" i="12"/>
  <c r="B68" i="12"/>
  <c r="A68" i="12"/>
  <c r="C67" i="12" l="1"/>
  <c r="B67" i="12"/>
  <c r="A67" i="12"/>
  <c r="C66" i="12"/>
  <c r="B66" i="12"/>
  <c r="A66" i="12"/>
  <c r="C65" i="12"/>
  <c r="B65" i="12"/>
  <c r="A65" i="12"/>
  <c r="C64" i="12"/>
  <c r="B64" i="12"/>
  <c r="A64" i="12"/>
  <c r="C63" i="12"/>
  <c r="B63" i="12"/>
  <c r="A63" i="12"/>
  <c r="C62" i="12"/>
  <c r="B62" i="12"/>
  <c r="A62" i="12"/>
  <c r="C61" i="12"/>
  <c r="B61" i="12"/>
  <c r="A61" i="12"/>
  <c r="C60" i="12"/>
  <c r="B60" i="12"/>
  <c r="A60" i="12"/>
  <c r="C59" i="12"/>
  <c r="B59" i="12"/>
  <c r="A59" i="12"/>
  <c r="C58" i="12"/>
  <c r="B58" i="12"/>
  <c r="A58" i="12"/>
  <c r="C57" i="12"/>
  <c r="B57" i="12"/>
  <c r="A57" i="12"/>
  <c r="C56" i="12"/>
  <c r="B56" i="12"/>
  <c r="A56" i="12"/>
  <c r="C55" i="12"/>
  <c r="B55" i="12"/>
  <c r="A55" i="12"/>
  <c r="C54" i="12"/>
  <c r="B54" i="12"/>
  <c r="A54" i="12"/>
  <c r="C53" i="12"/>
  <c r="B53" i="12"/>
  <c r="A53" i="12"/>
  <c r="C52" i="12"/>
  <c r="B52" i="12"/>
  <c r="A52" i="12"/>
  <c r="G51" i="12"/>
  <c r="C51" i="12"/>
  <c r="B51" i="12"/>
  <c r="A51" i="12"/>
  <c r="C43" i="12"/>
  <c r="B43" i="12"/>
  <c r="A43" i="12"/>
  <c r="C42" i="12"/>
  <c r="B42" i="12"/>
  <c r="A42" i="12"/>
  <c r="C41" i="12"/>
  <c r="B41" i="12"/>
  <c r="A41" i="12"/>
  <c r="C40" i="12"/>
  <c r="B40" i="12"/>
  <c r="A40" i="12"/>
  <c r="C39" i="12"/>
  <c r="B39" i="12"/>
  <c r="A39" i="12"/>
  <c r="C38" i="12"/>
  <c r="B38" i="12"/>
  <c r="A38" i="12"/>
  <c r="C37" i="12"/>
  <c r="B37" i="12"/>
  <c r="A37" i="12"/>
  <c r="G36" i="12"/>
  <c r="C36" i="12"/>
  <c r="B36" i="12"/>
  <c r="A36" i="12"/>
  <c r="C28" i="12"/>
  <c r="B28" i="12"/>
  <c r="A28" i="12"/>
  <c r="C27" i="12"/>
  <c r="B27" i="12"/>
  <c r="A27" i="12"/>
  <c r="C26" i="12"/>
  <c r="B26" i="12"/>
  <c r="A26" i="12"/>
  <c r="C25" i="12"/>
  <c r="B25" i="12"/>
  <c r="A25" i="12"/>
  <c r="C24" i="12"/>
  <c r="B24" i="12"/>
  <c r="A24" i="12"/>
  <c r="C23" i="12"/>
  <c r="B23" i="12"/>
  <c r="A23" i="12"/>
  <c r="C22" i="12"/>
  <c r="B22" i="12"/>
  <c r="A22" i="12"/>
  <c r="C21" i="12"/>
  <c r="B21" i="12"/>
  <c r="A21" i="12"/>
  <c r="C20" i="12"/>
  <c r="B20" i="12"/>
  <c r="A20" i="12"/>
  <c r="C19" i="12"/>
  <c r="B19" i="12"/>
  <c r="A19" i="12"/>
  <c r="C18" i="12"/>
  <c r="B18" i="12"/>
  <c r="A18" i="12"/>
  <c r="C17" i="12"/>
  <c r="B17" i="12"/>
  <c r="A17" i="12"/>
  <c r="C16" i="12"/>
  <c r="B16" i="12"/>
  <c r="A16" i="12"/>
  <c r="C15" i="12"/>
  <c r="B15" i="12"/>
  <c r="A15" i="12"/>
  <c r="C14" i="12"/>
  <c r="B14" i="12"/>
  <c r="A14" i="12"/>
  <c r="C13" i="12"/>
  <c r="B13" i="12"/>
  <c r="A13" i="12"/>
  <c r="C12" i="12"/>
  <c r="B12" i="12"/>
  <c r="A12" i="12"/>
  <c r="C11" i="12"/>
  <c r="B11" i="12"/>
  <c r="A11" i="12"/>
  <c r="C10" i="12"/>
  <c r="B10" i="12"/>
  <c r="A10" i="12"/>
  <c r="C9" i="12"/>
  <c r="B9" i="12"/>
  <c r="A9" i="12"/>
  <c r="C8" i="12"/>
  <c r="B8" i="12"/>
  <c r="A8" i="12"/>
  <c r="C7" i="12"/>
  <c r="B7" i="12"/>
  <c r="A7" i="12"/>
  <c r="E7" i="9"/>
  <c r="E6" i="9"/>
  <c r="C6" i="7" l="1"/>
  <c r="N157" i="16"/>
  <c r="M157" i="16"/>
  <c r="J156" i="16"/>
  <c r="L156" i="16" s="1"/>
  <c r="O156" i="16" s="1"/>
  <c r="J152" i="16"/>
  <c r="L152" i="16" s="1"/>
  <c r="O152" i="16" s="1"/>
  <c r="J147" i="16"/>
  <c r="L147" i="16" s="1"/>
  <c r="O147" i="16" s="1"/>
  <c r="J141" i="16"/>
  <c r="L141" i="16" s="1"/>
  <c r="O141" i="16" s="1"/>
  <c r="J126" i="16"/>
  <c r="L126" i="16" s="1"/>
  <c r="O126" i="16" s="1"/>
  <c r="J125" i="16"/>
  <c r="L125" i="16" s="1"/>
  <c r="O125" i="16" s="1"/>
  <c r="J106" i="16"/>
  <c r="L106" i="16" s="1"/>
  <c r="O106" i="16" s="1"/>
  <c r="J93" i="16"/>
  <c r="L93" i="16" s="1"/>
  <c r="O93" i="16" s="1"/>
  <c r="J91" i="16"/>
  <c r="L91" i="16" s="1"/>
  <c r="O91" i="16" s="1"/>
  <c r="J88" i="16"/>
  <c r="L88" i="16" s="1"/>
  <c r="O88" i="16" s="1"/>
  <c r="J87" i="16"/>
  <c r="L87" i="16" s="1"/>
  <c r="O87" i="16" s="1"/>
  <c r="J86" i="16"/>
  <c r="L86" i="16" s="1"/>
  <c r="O86" i="16" s="1"/>
  <c r="J84" i="16"/>
  <c r="L84" i="16" s="1"/>
  <c r="O84" i="16" s="1"/>
  <c r="J83" i="16"/>
  <c r="L83" i="16" s="1"/>
  <c r="O83" i="16" s="1"/>
  <c r="J80" i="16"/>
  <c r="L80" i="16" s="1"/>
  <c r="O80" i="16" s="1"/>
  <c r="J76" i="16"/>
  <c r="L76" i="16" s="1"/>
  <c r="O76" i="16" s="1"/>
  <c r="J75" i="16"/>
  <c r="L75" i="16" s="1"/>
  <c r="O75" i="16" s="1"/>
  <c r="J62" i="16"/>
  <c r="L62" i="16" s="1"/>
  <c r="O62" i="16" s="1"/>
  <c r="J52" i="16"/>
  <c r="L52" i="16" s="1"/>
  <c r="O52" i="16" s="1"/>
  <c r="J51" i="16"/>
  <c r="L51" i="16" s="1"/>
  <c r="O51" i="16" s="1"/>
  <c r="J38" i="16"/>
  <c r="L38" i="16" s="1"/>
  <c r="O38" i="16" s="1"/>
  <c r="J36" i="16"/>
  <c r="L36" i="16" s="1"/>
  <c r="O36" i="16" s="1"/>
  <c r="J25" i="16"/>
  <c r="L25" i="16" s="1"/>
  <c r="O25" i="16" s="1"/>
  <c r="C6" i="8" l="1"/>
  <c r="S43" i="7"/>
  <c r="S6" i="8" s="1"/>
  <c r="C7" i="7"/>
  <c r="N244" i="15"/>
  <c r="M244" i="15"/>
  <c r="J241" i="15"/>
  <c r="L241" i="15" s="1"/>
  <c r="O241" i="15" s="1"/>
  <c r="J238" i="15"/>
  <c r="L238" i="15" s="1"/>
  <c r="O238" i="15" s="1"/>
  <c r="J237" i="15"/>
  <c r="L237" i="15" s="1"/>
  <c r="O237" i="15" s="1"/>
  <c r="J232" i="15"/>
  <c r="L232" i="15" s="1"/>
  <c r="O232" i="15" s="1"/>
  <c r="J231" i="15"/>
  <c r="L231" i="15" s="1"/>
  <c r="O231" i="15" s="1"/>
  <c r="J164" i="15"/>
  <c r="L164" i="15" s="1"/>
  <c r="O164" i="15" s="1"/>
  <c r="J163" i="15"/>
  <c r="L163" i="15" s="1"/>
  <c r="O163" i="15" s="1"/>
  <c r="J161" i="15"/>
  <c r="L161" i="15" s="1"/>
  <c r="O161" i="15" s="1"/>
  <c r="J160" i="15"/>
  <c r="L160" i="15" s="1"/>
  <c r="O160" i="15" s="1"/>
  <c r="J153" i="15"/>
  <c r="L153" i="15" s="1"/>
  <c r="O153" i="15" s="1"/>
  <c r="J149" i="15"/>
  <c r="L149" i="15" s="1"/>
  <c r="O149" i="15" s="1"/>
  <c r="J125" i="15"/>
  <c r="L125" i="15" s="1"/>
  <c r="O125" i="15" s="1"/>
  <c r="J105" i="15"/>
  <c r="L105" i="15" s="1"/>
  <c r="O105" i="15" s="1"/>
  <c r="J104" i="15"/>
  <c r="L104" i="15" s="1"/>
  <c r="O104" i="15" s="1"/>
  <c r="J103" i="15"/>
  <c r="L103" i="15" s="1"/>
  <c r="O103" i="15" s="1"/>
  <c r="J101" i="15"/>
  <c r="L101" i="15" s="1"/>
  <c r="O101" i="15" s="1"/>
  <c r="J100" i="15"/>
  <c r="L100" i="15" s="1"/>
  <c r="O100" i="15" s="1"/>
  <c r="J99" i="15"/>
  <c r="L99" i="15" s="1"/>
  <c r="O99" i="15" s="1"/>
  <c r="J74" i="15"/>
  <c r="L74" i="15" s="1"/>
  <c r="O74" i="15" s="1"/>
  <c r="C15" i="8" l="1"/>
  <c r="D15" i="8"/>
  <c r="S58" i="7"/>
  <c r="D6" i="12"/>
  <c r="C7" i="8"/>
  <c r="C8" i="7"/>
  <c r="N119" i="14"/>
  <c r="M119" i="14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D35" i="12" l="1"/>
  <c r="S7" i="8"/>
  <c r="S78" i="7"/>
  <c r="S8" i="8" s="1"/>
  <c r="C8" i="8"/>
  <c r="C9" i="8" s="1"/>
  <c r="B5" i="17" s="1"/>
  <c r="W23" i="4"/>
  <c r="W22" i="4"/>
  <c r="W24" i="4" l="1"/>
  <c r="X15" i="8"/>
  <c r="W15" i="8"/>
  <c r="N15" i="8"/>
  <c r="M15" i="8"/>
  <c r="D5" i="17"/>
  <c r="C5" i="17"/>
  <c r="B6" i="17"/>
  <c r="D50" i="12"/>
  <c r="S80" i="7"/>
  <c r="D66" i="8"/>
  <c r="I5" i="12"/>
  <c r="T66" i="13"/>
  <c r="T65" i="13"/>
  <c r="T60" i="13"/>
  <c r="D70" i="12" l="1"/>
  <c r="S9" i="8"/>
  <c r="E5" i="17"/>
  <c r="F5" i="17" s="1"/>
  <c r="B7" i="17"/>
  <c r="C6" i="17"/>
  <c r="D6" i="17"/>
  <c r="E6" i="17" s="1"/>
  <c r="I2" i="12"/>
  <c r="I3" i="12"/>
  <c r="I4" i="12"/>
  <c r="J5" i="12"/>
  <c r="F66" i="8"/>
  <c r="E66" i="8"/>
  <c r="G66" i="8" s="1"/>
  <c r="C66" i="8"/>
  <c r="D67" i="8"/>
  <c r="T67" i="4"/>
  <c r="T63" i="4"/>
  <c r="T60" i="4"/>
  <c r="T59" i="4"/>
  <c r="B65" i="13"/>
  <c r="R65" i="13"/>
  <c r="F6" i="17" l="1"/>
  <c r="B8" i="17"/>
  <c r="C7" i="17"/>
  <c r="D7" i="17"/>
  <c r="E7" i="17" s="1"/>
  <c r="J2" i="12"/>
  <c r="J3" i="12"/>
  <c r="K5" i="12"/>
  <c r="J4" i="12"/>
  <c r="F67" i="8"/>
  <c r="C67" i="8"/>
  <c r="E67" i="8"/>
  <c r="G67" i="8" s="1"/>
  <c r="D68" i="8"/>
  <c r="F7" i="17" l="1"/>
  <c r="C8" i="17"/>
  <c r="B9" i="17"/>
  <c r="D8" i="17"/>
  <c r="K2" i="12"/>
  <c r="D69" i="8"/>
  <c r="E68" i="8"/>
  <c r="G68" i="8" s="1"/>
  <c r="F68" i="8"/>
  <c r="C68" i="8"/>
  <c r="K3" i="12"/>
  <c r="L5" i="12"/>
  <c r="K4" i="12"/>
  <c r="L89" i="6"/>
  <c r="O89" i="6" s="1"/>
  <c r="L87" i="6"/>
  <c r="O87" i="6" s="1"/>
  <c r="L86" i="6"/>
  <c r="O86" i="6" s="1"/>
  <c r="L85" i="6"/>
  <c r="O85" i="6" s="1"/>
  <c r="L84" i="6"/>
  <c r="O84" i="6" s="1"/>
  <c r="E8" i="17" l="1"/>
  <c r="F8" i="17" s="1"/>
  <c r="C9" i="17"/>
  <c r="B10" i="17"/>
  <c r="D9" i="17"/>
  <c r="L2" i="12"/>
  <c r="L3" i="12"/>
  <c r="L4" i="12"/>
  <c r="M5" i="12"/>
  <c r="D70" i="8"/>
  <c r="F69" i="8"/>
  <c r="E69" i="8"/>
  <c r="G69" i="8" s="1"/>
  <c r="I69" i="8" s="1"/>
  <c r="C69" i="8"/>
  <c r="L93" i="6"/>
  <c r="O93" i="6" s="1"/>
  <c r="L92" i="6"/>
  <c r="O92" i="6" s="1"/>
  <c r="L91" i="6"/>
  <c r="O91" i="6" s="1"/>
  <c r="L81" i="6"/>
  <c r="O81" i="6" s="1"/>
  <c r="L80" i="6"/>
  <c r="O80" i="6" s="1"/>
  <c r="L79" i="6"/>
  <c r="O79" i="6" s="1"/>
  <c r="L78" i="6"/>
  <c r="O78" i="6" s="1"/>
  <c r="G73" i="6"/>
  <c r="G72" i="6"/>
  <c r="G70" i="6"/>
  <c r="G69" i="6"/>
  <c r="G68" i="6"/>
  <c r="L67" i="6"/>
  <c r="O67" i="6" s="1"/>
  <c r="L65" i="6"/>
  <c r="O65" i="6" s="1"/>
  <c r="L62" i="6"/>
  <c r="O62" i="6" s="1"/>
  <c r="L61" i="6"/>
  <c r="O61" i="6" s="1"/>
  <c r="L60" i="6"/>
  <c r="O60" i="6" s="1"/>
  <c r="L59" i="6"/>
  <c r="O59" i="6" s="1"/>
  <c r="L57" i="6"/>
  <c r="O57" i="6" s="1"/>
  <c r="L83" i="6"/>
  <c r="O83" i="6" s="1"/>
  <c r="L55" i="6"/>
  <c r="O55" i="6" s="1"/>
  <c r="E9" i="17" l="1"/>
  <c r="F9" i="17" s="1"/>
  <c r="D10" i="17"/>
  <c r="B11" i="17"/>
  <c r="C10" i="17"/>
  <c r="M2" i="12"/>
  <c r="N5" i="12"/>
  <c r="M4" i="12"/>
  <c r="M3" i="12"/>
  <c r="C70" i="8"/>
  <c r="D71" i="8"/>
  <c r="E70" i="8"/>
  <c r="G70" i="8" s="1"/>
  <c r="I70" i="8" s="1"/>
  <c r="F70" i="8"/>
  <c r="E10" i="17" l="1"/>
  <c r="F10" i="17" s="1"/>
  <c r="D11" i="17"/>
  <c r="B12" i="17"/>
  <c r="C11" i="17"/>
  <c r="N2" i="12"/>
  <c r="E71" i="8"/>
  <c r="G71" i="8" s="1"/>
  <c r="I71" i="8" s="1"/>
  <c r="C71" i="8"/>
  <c r="D72" i="8"/>
  <c r="F71" i="8"/>
  <c r="O5" i="12"/>
  <c r="N3" i="12"/>
  <c r="N4" i="12"/>
  <c r="L53" i="6"/>
  <c r="L43" i="6"/>
  <c r="L42" i="6"/>
  <c r="L41" i="6"/>
  <c r="L40" i="6"/>
  <c r="L8" i="6"/>
  <c r="E11" i="17" l="1"/>
  <c r="F11" i="17" s="1"/>
  <c r="C12" i="17"/>
  <c r="B13" i="17"/>
  <c r="D12" i="17"/>
  <c r="O2" i="12"/>
  <c r="O3" i="12"/>
  <c r="O4" i="12"/>
  <c r="P5" i="12"/>
  <c r="F72" i="8"/>
  <c r="E72" i="8"/>
  <c r="G72" i="8" s="1"/>
  <c r="I72" i="8" s="1"/>
  <c r="C72" i="8"/>
  <c r="D73" i="8"/>
  <c r="G49" i="6"/>
  <c r="G48" i="6"/>
  <c r="O53" i="6"/>
  <c r="O43" i="6"/>
  <c r="O41" i="6"/>
  <c r="B7" i="6"/>
  <c r="G20" i="6"/>
  <c r="G19" i="6"/>
  <c r="G16" i="6"/>
  <c r="G14" i="6"/>
  <c r="G12" i="6"/>
  <c r="G9" i="6"/>
  <c r="R71" i="13"/>
  <c r="B71" i="13"/>
  <c r="B70" i="13"/>
  <c r="B69" i="13"/>
  <c r="B68" i="13"/>
  <c r="T67" i="13"/>
  <c r="B67" i="13"/>
  <c r="B66" i="13"/>
  <c r="T64" i="13"/>
  <c r="B64" i="13"/>
  <c r="B63" i="13"/>
  <c r="T62" i="13"/>
  <c r="B62" i="13"/>
  <c r="T61" i="13"/>
  <c r="B61" i="13"/>
  <c r="B60" i="13"/>
  <c r="T59" i="13"/>
  <c r="B59" i="13"/>
  <c r="T58" i="13"/>
  <c r="B58" i="13"/>
  <c r="B57" i="13"/>
  <c r="C9" i="2"/>
  <c r="D19" i="2" s="1"/>
  <c r="O42" i="6"/>
  <c r="O8" i="6"/>
  <c r="E12" i="17" l="1"/>
  <c r="F12" i="17" s="1"/>
  <c r="B14" i="17"/>
  <c r="C13" i="17"/>
  <c r="D13" i="17"/>
  <c r="P2" i="12"/>
  <c r="P3" i="12"/>
  <c r="Q5" i="12"/>
  <c r="P4" i="12"/>
  <c r="F73" i="8"/>
  <c r="E73" i="8"/>
  <c r="G73" i="8" s="1"/>
  <c r="I73" i="8" s="1"/>
  <c r="D74" i="8"/>
  <c r="C73" i="8"/>
  <c r="B8" i="6"/>
  <c r="C14" i="2"/>
  <c r="I1241" i="11"/>
  <c r="I1240" i="11"/>
  <c r="I1239" i="11"/>
  <c r="I1238" i="11"/>
  <c r="I1237" i="11"/>
  <c r="I1236" i="11"/>
  <c r="I1235" i="11"/>
  <c r="I1234" i="11"/>
  <c r="I1233" i="11"/>
  <c r="I1232" i="11"/>
  <c r="I1231" i="11"/>
  <c r="I1230" i="11"/>
  <c r="I1229" i="11"/>
  <c r="I1228" i="11"/>
  <c r="I1227" i="11"/>
  <c r="I1226" i="11"/>
  <c r="I1225" i="11"/>
  <c r="I1224" i="11"/>
  <c r="I1223" i="11"/>
  <c r="I1222" i="11"/>
  <c r="I1221" i="11"/>
  <c r="I1220" i="11"/>
  <c r="I1219" i="11"/>
  <c r="I1218" i="11"/>
  <c r="I1217" i="11"/>
  <c r="I1216" i="11"/>
  <c r="I1215" i="11"/>
  <c r="I1214" i="11"/>
  <c r="I1213" i="11"/>
  <c r="I1212" i="11"/>
  <c r="I1211" i="11"/>
  <c r="I1210" i="11"/>
  <c r="I1209" i="11"/>
  <c r="I1208" i="11"/>
  <c r="I1207" i="11"/>
  <c r="I1206" i="11"/>
  <c r="I1205" i="11"/>
  <c r="I1204" i="11"/>
  <c r="I1203" i="11"/>
  <c r="I1202" i="11"/>
  <c r="I1201" i="11"/>
  <c r="I1200" i="11"/>
  <c r="I1199" i="11"/>
  <c r="I1198" i="11"/>
  <c r="I1197" i="11"/>
  <c r="I1196" i="11"/>
  <c r="I1195" i="11"/>
  <c r="I1194" i="11"/>
  <c r="I1193" i="11"/>
  <c r="I1192" i="11"/>
  <c r="I1191" i="11"/>
  <c r="I1190" i="11"/>
  <c r="I1189" i="11"/>
  <c r="I1188" i="11"/>
  <c r="I1187" i="11"/>
  <c r="I1186" i="11"/>
  <c r="I1185" i="11"/>
  <c r="I1184" i="11"/>
  <c r="I1183" i="11"/>
  <c r="I1182" i="11"/>
  <c r="I1181" i="11"/>
  <c r="I1180" i="11"/>
  <c r="I1179" i="11"/>
  <c r="I1178" i="11"/>
  <c r="I1177" i="11"/>
  <c r="I1176" i="11"/>
  <c r="I1175" i="11"/>
  <c r="I1174" i="11"/>
  <c r="I1173" i="11"/>
  <c r="I1172" i="11"/>
  <c r="I1171" i="11"/>
  <c r="I1170" i="11"/>
  <c r="I1169" i="11"/>
  <c r="I1168" i="11"/>
  <c r="I1167" i="11"/>
  <c r="I1166" i="11"/>
  <c r="I1165" i="11"/>
  <c r="I1164" i="11"/>
  <c r="I1163" i="11"/>
  <c r="I1162" i="11"/>
  <c r="I1161" i="11"/>
  <c r="I1160" i="11"/>
  <c r="I1159" i="11"/>
  <c r="I1158" i="11"/>
  <c r="I1157" i="11"/>
  <c r="I1156" i="11"/>
  <c r="I1155" i="11"/>
  <c r="I1154" i="11"/>
  <c r="I1153" i="11"/>
  <c r="I1152" i="11"/>
  <c r="I1151" i="11"/>
  <c r="I1150" i="11"/>
  <c r="I1149" i="11"/>
  <c r="I1148" i="11"/>
  <c r="I1147" i="11"/>
  <c r="I1146" i="11"/>
  <c r="I1145" i="11"/>
  <c r="I1144" i="11"/>
  <c r="I1143" i="11"/>
  <c r="I1142" i="11"/>
  <c r="I1141" i="11"/>
  <c r="I1140" i="11"/>
  <c r="I1139" i="11"/>
  <c r="I1138" i="11"/>
  <c r="I1137" i="11"/>
  <c r="I1136" i="11"/>
  <c r="I1135" i="11"/>
  <c r="I1134" i="11"/>
  <c r="I1133" i="11"/>
  <c r="I1132" i="11"/>
  <c r="I1131" i="11"/>
  <c r="I1130" i="11"/>
  <c r="I1129" i="11"/>
  <c r="I1128" i="11"/>
  <c r="I1127" i="11"/>
  <c r="I1126" i="11"/>
  <c r="I1125" i="11"/>
  <c r="I1124" i="11"/>
  <c r="I1123" i="11"/>
  <c r="I1122" i="11"/>
  <c r="I1121" i="11"/>
  <c r="I1120" i="11"/>
  <c r="I1119" i="11"/>
  <c r="I1118" i="11"/>
  <c r="I1117" i="11"/>
  <c r="I1116" i="11"/>
  <c r="I1115" i="11"/>
  <c r="I1114" i="11"/>
  <c r="I1113" i="11"/>
  <c r="I1112" i="11"/>
  <c r="I1111" i="11"/>
  <c r="I1110" i="11"/>
  <c r="I1109" i="11"/>
  <c r="I1108" i="11"/>
  <c r="I1107" i="11"/>
  <c r="I1106" i="11"/>
  <c r="I1105" i="11"/>
  <c r="I1104" i="11"/>
  <c r="I1103" i="11"/>
  <c r="I1102" i="11"/>
  <c r="I1101" i="11"/>
  <c r="I1100" i="11"/>
  <c r="I1099" i="11"/>
  <c r="I1098" i="11"/>
  <c r="I1097" i="11"/>
  <c r="I1096" i="11"/>
  <c r="I1095" i="11"/>
  <c r="I1094" i="11"/>
  <c r="I1093" i="11"/>
  <c r="I1092" i="11"/>
  <c r="I1091" i="11"/>
  <c r="I1090" i="11"/>
  <c r="I1089" i="11"/>
  <c r="I1088" i="11"/>
  <c r="I1087" i="11"/>
  <c r="I1086" i="11"/>
  <c r="I1085" i="11"/>
  <c r="I1084" i="11"/>
  <c r="I1083" i="11"/>
  <c r="I1082" i="11"/>
  <c r="I1081" i="11"/>
  <c r="I1080" i="11"/>
  <c r="I1079" i="11"/>
  <c r="I1078" i="11"/>
  <c r="I1077" i="11"/>
  <c r="I1076" i="11"/>
  <c r="I1075" i="11"/>
  <c r="I1074" i="11"/>
  <c r="I1073" i="11"/>
  <c r="I1072" i="11"/>
  <c r="I1071" i="11"/>
  <c r="I1070" i="11"/>
  <c r="I1069" i="11"/>
  <c r="I1068" i="11"/>
  <c r="I1067" i="11"/>
  <c r="I1066" i="11"/>
  <c r="I1065" i="11"/>
  <c r="I1064" i="11"/>
  <c r="I1063" i="11"/>
  <c r="I1062" i="11"/>
  <c r="I1061" i="11"/>
  <c r="I1060" i="11"/>
  <c r="I1059" i="11"/>
  <c r="I1058" i="11"/>
  <c r="I1057" i="11"/>
  <c r="I1056" i="11"/>
  <c r="I1055" i="11"/>
  <c r="I1054" i="11"/>
  <c r="I1053" i="11"/>
  <c r="I1052" i="11"/>
  <c r="I1051" i="11"/>
  <c r="I1050" i="11"/>
  <c r="I1049" i="11"/>
  <c r="I1048" i="11"/>
  <c r="I1047" i="11"/>
  <c r="I1046" i="11"/>
  <c r="I1045" i="11"/>
  <c r="I1044" i="11"/>
  <c r="I1043" i="11"/>
  <c r="I1042" i="11"/>
  <c r="I1041" i="11"/>
  <c r="I1040" i="11"/>
  <c r="I1039" i="11"/>
  <c r="I1038" i="11"/>
  <c r="I1037" i="11"/>
  <c r="I1036" i="11"/>
  <c r="I1035" i="11"/>
  <c r="I1034" i="11"/>
  <c r="I1033" i="11"/>
  <c r="I1032" i="11"/>
  <c r="I1031" i="11"/>
  <c r="I1030" i="11"/>
  <c r="I1029" i="11"/>
  <c r="I1028" i="11"/>
  <c r="I1027" i="11"/>
  <c r="I1026" i="11"/>
  <c r="I1025" i="11"/>
  <c r="I1024" i="11"/>
  <c r="I1023" i="11"/>
  <c r="I1022" i="11"/>
  <c r="I1021" i="11"/>
  <c r="I1020" i="11"/>
  <c r="I1019" i="11"/>
  <c r="I1018" i="11"/>
  <c r="I1017" i="11"/>
  <c r="I1016" i="11"/>
  <c r="I1015" i="11"/>
  <c r="I1014" i="11"/>
  <c r="I1013" i="11"/>
  <c r="I1012" i="11"/>
  <c r="I1011" i="11"/>
  <c r="I1010" i="11"/>
  <c r="I1009" i="11"/>
  <c r="I1008" i="11"/>
  <c r="I1007" i="11"/>
  <c r="I1006" i="11"/>
  <c r="I1005" i="11"/>
  <c r="I1004" i="11"/>
  <c r="I1003" i="11"/>
  <c r="I1002" i="11"/>
  <c r="I1001" i="11"/>
  <c r="I1000" i="11"/>
  <c r="I999" i="11"/>
  <c r="I998" i="11"/>
  <c r="I997" i="11"/>
  <c r="I996" i="11"/>
  <c r="I995" i="11"/>
  <c r="I994" i="11"/>
  <c r="I993" i="11"/>
  <c r="I992" i="11"/>
  <c r="I991" i="11"/>
  <c r="I990" i="11"/>
  <c r="I989" i="11"/>
  <c r="I988" i="11"/>
  <c r="I987" i="11"/>
  <c r="I986" i="11"/>
  <c r="I985" i="11"/>
  <c r="I984" i="11"/>
  <c r="I983" i="11"/>
  <c r="I982" i="11"/>
  <c r="I981" i="11"/>
  <c r="I980" i="11"/>
  <c r="I979" i="11"/>
  <c r="I978" i="11"/>
  <c r="I977" i="11"/>
  <c r="I976" i="11"/>
  <c r="I975" i="11"/>
  <c r="I974" i="11"/>
  <c r="I973" i="11"/>
  <c r="I972" i="11"/>
  <c r="I971" i="11"/>
  <c r="I970" i="11"/>
  <c r="I969" i="11"/>
  <c r="I968" i="11"/>
  <c r="I967" i="11"/>
  <c r="I966" i="11"/>
  <c r="I965" i="11"/>
  <c r="I964" i="11"/>
  <c r="I963" i="11"/>
  <c r="I962" i="11"/>
  <c r="I961" i="11"/>
  <c r="I960" i="11"/>
  <c r="I959" i="11"/>
  <c r="I958" i="11"/>
  <c r="I957" i="11"/>
  <c r="I956" i="11"/>
  <c r="I955" i="11"/>
  <c r="I954" i="11"/>
  <c r="I953" i="11"/>
  <c r="I952" i="11"/>
  <c r="I951" i="11"/>
  <c r="I950" i="11"/>
  <c r="I949" i="11"/>
  <c r="I948" i="11"/>
  <c r="I947" i="11"/>
  <c r="I946" i="11"/>
  <c r="I945" i="11"/>
  <c r="I944" i="11"/>
  <c r="I943" i="11"/>
  <c r="I942" i="11"/>
  <c r="I941" i="11"/>
  <c r="I940" i="11"/>
  <c r="I939" i="11"/>
  <c r="I938" i="11"/>
  <c r="I937" i="11"/>
  <c r="I936" i="11"/>
  <c r="I935" i="11"/>
  <c r="I934" i="11"/>
  <c r="I933" i="11"/>
  <c r="I932" i="11"/>
  <c r="I931" i="11"/>
  <c r="I930" i="11"/>
  <c r="I929" i="11"/>
  <c r="I928" i="11"/>
  <c r="I927" i="11"/>
  <c r="I926" i="11"/>
  <c r="I925" i="11"/>
  <c r="I924" i="11"/>
  <c r="I923" i="11"/>
  <c r="I922" i="11"/>
  <c r="I921" i="11"/>
  <c r="I920" i="11"/>
  <c r="I919" i="11"/>
  <c r="I918" i="11"/>
  <c r="I917" i="11"/>
  <c r="I916" i="11"/>
  <c r="I915" i="11"/>
  <c r="I914" i="11"/>
  <c r="I913" i="11"/>
  <c r="I912" i="11"/>
  <c r="I911" i="11"/>
  <c r="I910" i="11"/>
  <c r="I909" i="11"/>
  <c r="I908" i="11"/>
  <c r="I907" i="11"/>
  <c r="I906" i="11"/>
  <c r="I905" i="11"/>
  <c r="I904" i="11"/>
  <c r="I903" i="11"/>
  <c r="I902" i="11"/>
  <c r="I901" i="11"/>
  <c r="I900" i="11"/>
  <c r="I899" i="11"/>
  <c r="I898" i="11"/>
  <c r="I897" i="11"/>
  <c r="I896" i="11"/>
  <c r="I895" i="11"/>
  <c r="I894" i="11"/>
  <c r="I893" i="11"/>
  <c r="I892" i="11"/>
  <c r="I891" i="11"/>
  <c r="I890" i="11"/>
  <c r="I889" i="11"/>
  <c r="I888" i="11"/>
  <c r="I887" i="11"/>
  <c r="I886" i="11"/>
  <c r="I885" i="11"/>
  <c r="I884" i="11"/>
  <c r="I883" i="11"/>
  <c r="I882" i="11"/>
  <c r="I881" i="11"/>
  <c r="I880" i="11"/>
  <c r="I879" i="11"/>
  <c r="I878" i="11"/>
  <c r="I877" i="11"/>
  <c r="I876" i="11"/>
  <c r="I875" i="11"/>
  <c r="I874" i="11"/>
  <c r="I873" i="11"/>
  <c r="I872" i="11"/>
  <c r="I871" i="11"/>
  <c r="I870" i="11"/>
  <c r="I869" i="11"/>
  <c r="I868" i="11"/>
  <c r="I867" i="11"/>
  <c r="I866" i="11"/>
  <c r="I865" i="11"/>
  <c r="I864" i="11"/>
  <c r="I863" i="11"/>
  <c r="I862" i="11"/>
  <c r="I861" i="11"/>
  <c r="I860" i="11"/>
  <c r="I859" i="11"/>
  <c r="I858" i="11"/>
  <c r="I857" i="11"/>
  <c r="I856" i="11"/>
  <c r="I855" i="11"/>
  <c r="I854" i="11"/>
  <c r="I853" i="11"/>
  <c r="I852" i="11"/>
  <c r="I851" i="11"/>
  <c r="I850" i="11"/>
  <c r="I849" i="11"/>
  <c r="I848" i="11"/>
  <c r="I847" i="11"/>
  <c r="I846" i="11"/>
  <c r="I845" i="11"/>
  <c r="I844" i="11"/>
  <c r="I843" i="11"/>
  <c r="I842" i="11"/>
  <c r="I841" i="11"/>
  <c r="I840" i="11"/>
  <c r="I839" i="11"/>
  <c r="I838" i="11"/>
  <c r="I837" i="11"/>
  <c r="I836" i="11"/>
  <c r="I835" i="11"/>
  <c r="I834" i="11"/>
  <c r="I833" i="11"/>
  <c r="I832" i="11"/>
  <c r="I831" i="11"/>
  <c r="I830" i="11"/>
  <c r="I829" i="11"/>
  <c r="I828" i="11"/>
  <c r="I827" i="11"/>
  <c r="I826" i="11"/>
  <c r="I825" i="11"/>
  <c r="I824" i="11"/>
  <c r="I823" i="11"/>
  <c r="I822" i="11"/>
  <c r="I821" i="11"/>
  <c r="I820" i="11"/>
  <c r="I819" i="11"/>
  <c r="I818" i="11"/>
  <c r="I817" i="11"/>
  <c r="I816" i="11"/>
  <c r="I815" i="11"/>
  <c r="I814" i="11"/>
  <c r="I813" i="11"/>
  <c r="I812" i="11"/>
  <c r="I811" i="11"/>
  <c r="I810" i="11"/>
  <c r="I809" i="11"/>
  <c r="I808" i="11"/>
  <c r="I807" i="11"/>
  <c r="I806" i="11"/>
  <c r="I805" i="11"/>
  <c r="I804" i="11"/>
  <c r="I803" i="11"/>
  <c r="I802" i="11"/>
  <c r="I801" i="11"/>
  <c r="I800" i="11"/>
  <c r="I799" i="11"/>
  <c r="I798" i="11"/>
  <c r="I797" i="11"/>
  <c r="I796" i="11"/>
  <c r="I795" i="11"/>
  <c r="I794" i="11"/>
  <c r="I793" i="11"/>
  <c r="I792" i="11"/>
  <c r="I791" i="11"/>
  <c r="I790" i="11"/>
  <c r="I789" i="11"/>
  <c r="I788" i="11"/>
  <c r="I787" i="11"/>
  <c r="I786" i="11"/>
  <c r="I785" i="11"/>
  <c r="I784" i="11"/>
  <c r="I783" i="11"/>
  <c r="I782" i="11"/>
  <c r="I781" i="11"/>
  <c r="I780" i="11"/>
  <c r="I779" i="11"/>
  <c r="I778" i="11"/>
  <c r="I777" i="11"/>
  <c r="I776" i="11"/>
  <c r="I775" i="11"/>
  <c r="I774" i="11"/>
  <c r="I773" i="11"/>
  <c r="I772" i="11"/>
  <c r="I771" i="11"/>
  <c r="I770" i="11"/>
  <c r="I769" i="11"/>
  <c r="I768" i="11"/>
  <c r="I767" i="11"/>
  <c r="I766" i="11"/>
  <c r="I765" i="11"/>
  <c r="I764" i="11"/>
  <c r="I763" i="11"/>
  <c r="I762" i="11"/>
  <c r="I761" i="11"/>
  <c r="I760" i="11"/>
  <c r="I759" i="11"/>
  <c r="I758" i="11"/>
  <c r="I757" i="11"/>
  <c r="I756" i="11"/>
  <c r="I755" i="11"/>
  <c r="I754" i="11"/>
  <c r="I753" i="11"/>
  <c r="I752" i="11"/>
  <c r="I751" i="11"/>
  <c r="I750" i="11"/>
  <c r="I749" i="11"/>
  <c r="I748" i="11"/>
  <c r="I747" i="11"/>
  <c r="I746" i="11"/>
  <c r="I745" i="11"/>
  <c r="I744" i="11"/>
  <c r="I743" i="11"/>
  <c r="I742" i="11"/>
  <c r="I741" i="11"/>
  <c r="I740" i="11"/>
  <c r="I739" i="11"/>
  <c r="I738" i="11"/>
  <c r="I737" i="11"/>
  <c r="I736" i="11"/>
  <c r="I735" i="11"/>
  <c r="I734" i="11"/>
  <c r="I733" i="11"/>
  <c r="I732" i="11"/>
  <c r="I731" i="11"/>
  <c r="I730" i="11"/>
  <c r="I729" i="11"/>
  <c r="I728" i="11"/>
  <c r="I727" i="11"/>
  <c r="I726" i="11"/>
  <c r="I725" i="11"/>
  <c r="I724" i="11"/>
  <c r="I723" i="11"/>
  <c r="I722" i="11"/>
  <c r="I721" i="11"/>
  <c r="I720" i="11"/>
  <c r="I719" i="11"/>
  <c r="I718" i="11"/>
  <c r="I717" i="11"/>
  <c r="I716" i="11"/>
  <c r="I715" i="11"/>
  <c r="I714" i="11"/>
  <c r="I713" i="11"/>
  <c r="I712" i="11"/>
  <c r="I711" i="11"/>
  <c r="I710" i="11"/>
  <c r="I709" i="11"/>
  <c r="I708" i="11"/>
  <c r="I707" i="11"/>
  <c r="I706" i="11"/>
  <c r="I705" i="11"/>
  <c r="I704" i="11"/>
  <c r="I703" i="11"/>
  <c r="I702" i="11"/>
  <c r="I701" i="11"/>
  <c r="I700" i="11"/>
  <c r="I699" i="11"/>
  <c r="I698" i="11"/>
  <c r="I697" i="11"/>
  <c r="I696" i="11"/>
  <c r="I695" i="11"/>
  <c r="I694" i="11"/>
  <c r="I693" i="11"/>
  <c r="I692" i="11"/>
  <c r="I691" i="11"/>
  <c r="I690" i="11"/>
  <c r="I689" i="11"/>
  <c r="I688" i="11"/>
  <c r="I687" i="11"/>
  <c r="I686" i="11"/>
  <c r="I685" i="11"/>
  <c r="I684" i="11"/>
  <c r="I683" i="11"/>
  <c r="I682" i="11"/>
  <c r="I681" i="11"/>
  <c r="I680" i="11"/>
  <c r="I679" i="11"/>
  <c r="I678" i="11"/>
  <c r="I677" i="11"/>
  <c r="I676" i="11"/>
  <c r="I675" i="11"/>
  <c r="I674" i="11"/>
  <c r="I673" i="11"/>
  <c r="I672" i="11"/>
  <c r="I671" i="11"/>
  <c r="I670" i="11"/>
  <c r="I669" i="11"/>
  <c r="I668" i="11"/>
  <c r="I667" i="11"/>
  <c r="I666" i="11"/>
  <c r="I665" i="11"/>
  <c r="I664" i="11"/>
  <c r="I663" i="11"/>
  <c r="I662" i="11"/>
  <c r="I661" i="11"/>
  <c r="I660" i="11"/>
  <c r="I659" i="11"/>
  <c r="I658" i="11"/>
  <c r="I657" i="11"/>
  <c r="I656" i="11"/>
  <c r="I655" i="11"/>
  <c r="I654" i="11"/>
  <c r="I653" i="11"/>
  <c r="I652" i="11"/>
  <c r="I651" i="11"/>
  <c r="I650" i="11"/>
  <c r="I649" i="11"/>
  <c r="I648" i="11"/>
  <c r="I647" i="11"/>
  <c r="I646" i="11"/>
  <c r="I645" i="11"/>
  <c r="I644" i="11"/>
  <c r="I643" i="11"/>
  <c r="I642" i="11"/>
  <c r="I641" i="11"/>
  <c r="I640" i="11"/>
  <c r="I639" i="11"/>
  <c r="I638" i="11"/>
  <c r="I637" i="11"/>
  <c r="I636" i="11"/>
  <c r="I635" i="11"/>
  <c r="I634" i="11"/>
  <c r="I633" i="11"/>
  <c r="I632" i="11"/>
  <c r="I631" i="11"/>
  <c r="I630" i="11"/>
  <c r="I629" i="11"/>
  <c r="I628" i="11"/>
  <c r="I627" i="11"/>
  <c r="I626" i="11"/>
  <c r="I625" i="11"/>
  <c r="I624" i="11"/>
  <c r="I623" i="11"/>
  <c r="I622" i="11"/>
  <c r="I621" i="11"/>
  <c r="I620" i="11"/>
  <c r="I619" i="11"/>
  <c r="I618" i="11"/>
  <c r="I617" i="11"/>
  <c r="I616" i="11"/>
  <c r="I615" i="11"/>
  <c r="I614" i="11"/>
  <c r="I613" i="11"/>
  <c r="I612" i="11"/>
  <c r="I611" i="11"/>
  <c r="I610" i="11"/>
  <c r="I609" i="11"/>
  <c r="I608" i="11"/>
  <c r="I607" i="11"/>
  <c r="I606" i="11"/>
  <c r="I605" i="11"/>
  <c r="I604" i="11"/>
  <c r="I603" i="11"/>
  <c r="I602" i="11"/>
  <c r="I601" i="11"/>
  <c r="I600" i="11"/>
  <c r="I599" i="11"/>
  <c r="I598" i="11"/>
  <c r="I597" i="11"/>
  <c r="I596" i="11"/>
  <c r="I595" i="11"/>
  <c r="I594" i="11"/>
  <c r="I593" i="11"/>
  <c r="I592" i="11"/>
  <c r="I591" i="11"/>
  <c r="I590" i="11"/>
  <c r="I589" i="11"/>
  <c r="I588" i="11"/>
  <c r="I587" i="11"/>
  <c r="I586" i="11"/>
  <c r="I585" i="11"/>
  <c r="I584" i="11"/>
  <c r="I583" i="11"/>
  <c r="I582" i="11"/>
  <c r="I581" i="11"/>
  <c r="I580" i="11"/>
  <c r="I579" i="11"/>
  <c r="I578" i="11"/>
  <c r="I577" i="11"/>
  <c r="I576" i="11"/>
  <c r="I575" i="11"/>
  <c r="I574" i="11"/>
  <c r="I573" i="11"/>
  <c r="I572" i="11"/>
  <c r="I571" i="11"/>
  <c r="I570" i="11"/>
  <c r="I569" i="11"/>
  <c r="I568" i="11"/>
  <c r="I567" i="11"/>
  <c r="I566" i="11"/>
  <c r="I565" i="11"/>
  <c r="I564" i="11"/>
  <c r="I563" i="11"/>
  <c r="I562" i="11"/>
  <c r="I561" i="11"/>
  <c r="I560" i="11"/>
  <c r="I559" i="11"/>
  <c r="I558" i="11"/>
  <c r="I557" i="11"/>
  <c r="I556" i="11"/>
  <c r="I555" i="11"/>
  <c r="I554" i="11"/>
  <c r="I553" i="11"/>
  <c r="I552" i="11"/>
  <c r="I551" i="11"/>
  <c r="I550" i="11"/>
  <c r="I549" i="11"/>
  <c r="I548" i="11"/>
  <c r="I547" i="11"/>
  <c r="I546" i="11"/>
  <c r="I545" i="11"/>
  <c r="I544" i="11"/>
  <c r="I543" i="11"/>
  <c r="I542" i="11"/>
  <c r="I541" i="11"/>
  <c r="I540" i="11"/>
  <c r="I539" i="11"/>
  <c r="I538" i="11"/>
  <c r="I537" i="11"/>
  <c r="I536" i="11"/>
  <c r="I535" i="11"/>
  <c r="I534" i="11"/>
  <c r="I533" i="11"/>
  <c r="I532" i="11"/>
  <c r="I531" i="11"/>
  <c r="I530" i="11"/>
  <c r="I529" i="11"/>
  <c r="I528" i="11"/>
  <c r="I527" i="11"/>
  <c r="I526" i="11"/>
  <c r="I525" i="11"/>
  <c r="I524" i="11"/>
  <c r="I523" i="11"/>
  <c r="I522" i="11"/>
  <c r="I521" i="11"/>
  <c r="I520" i="11"/>
  <c r="I519" i="11"/>
  <c r="I518" i="11"/>
  <c r="I517" i="11"/>
  <c r="I516" i="11"/>
  <c r="I515" i="11"/>
  <c r="I514" i="11"/>
  <c r="I513" i="11"/>
  <c r="I512" i="11"/>
  <c r="I511" i="11"/>
  <c r="I510" i="11"/>
  <c r="I509" i="11"/>
  <c r="I508" i="11"/>
  <c r="I507" i="11"/>
  <c r="I506" i="11"/>
  <c r="I505" i="11"/>
  <c r="I504" i="11"/>
  <c r="I503" i="11"/>
  <c r="I502" i="11"/>
  <c r="I501" i="11"/>
  <c r="I500" i="11"/>
  <c r="I499" i="11"/>
  <c r="I498" i="11"/>
  <c r="I497" i="11"/>
  <c r="I496" i="11"/>
  <c r="I495" i="11"/>
  <c r="I494" i="11"/>
  <c r="I493" i="11"/>
  <c r="I492" i="11"/>
  <c r="I491" i="11"/>
  <c r="I490" i="11"/>
  <c r="I489" i="11"/>
  <c r="I488" i="11"/>
  <c r="I487" i="11"/>
  <c r="I486" i="11"/>
  <c r="I485" i="11"/>
  <c r="I484" i="11"/>
  <c r="I483" i="11"/>
  <c r="I482" i="11"/>
  <c r="I481" i="11"/>
  <c r="I480" i="11"/>
  <c r="I479" i="11"/>
  <c r="I478" i="11"/>
  <c r="I477" i="11"/>
  <c r="I476" i="11"/>
  <c r="I475" i="11"/>
  <c r="I474" i="11"/>
  <c r="I473" i="11"/>
  <c r="I472" i="11"/>
  <c r="I471" i="11"/>
  <c r="I470" i="11"/>
  <c r="I469" i="11"/>
  <c r="I468" i="11"/>
  <c r="I467" i="11"/>
  <c r="I466" i="11"/>
  <c r="I465" i="11"/>
  <c r="I464" i="11"/>
  <c r="I463" i="11"/>
  <c r="I462" i="11"/>
  <c r="I461" i="11"/>
  <c r="I460" i="11"/>
  <c r="I459" i="11"/>
  <c r="I458" i="11"/>
  <c r="I457" i="11"/>
  <c r="I456" i="11"/>
  <c r="I455" i="11"/>
  <c r="I454" i="11"/>
  <c r="I453" i="11"/>
  <c r="I452" i="11"/>
  <c r="I451" i="11"/>
  <c r="I450" i="11"/>
  <c r="I449" i="11"/>
  <c r="I448" i="11"/>
  <c r="I447" i="11"/>
  <c r="I446" i="11"/>
  <c r="I445" i="11"/>
  <c r="I444" i="11"/>
  <c r="I443" i="11"/>
  <c r="I442" i="11"/>
  <c r="I441" i="11"/>
  <c r="I440" i="11"/>
  <c r="I439" i="11"/>
  <c r="I438" i="11"/>
  <c r="I437" i="11"/>
  <c r="I436" i="11"/>
  <c r="I435" i="11"/>
  <c r="I434" i="11"/>
  <c r="I433" i="11"/>
  <c r="I432" i="11"/>
  <c r="I431" i="11"/>
  <c r="I430" i="11"/>
  <c r="I429" i="11"/>
  <c r="I428" i="11"/>
  <c r="I427" i="11"/>
  <c r="I426" i="11"/>
  <c r="I425" i="11"/>
  <c r="I424" i="11"/>
  <c r="I423" i="11"/>
  <c r="I422" i="11"/>
  <c r="I421" i="11"/>
  <c r="I420" i="11"/>
  <c r="I419" i="11"/>
  <c r="I418" i="11"/>
  <c r="I417" i="11"/>
  <c r="I416" i="11"/>
  <c r="I415" i="11"/>
  <c r="I414" i="11"/>
  <c r="I413" i="11"/>
  <c r="I412" i="11"/>
  <c r="I411" i="11"/>
  <c r="I410" i="11"/>
  <c r="I409" i="11"/>
  <c r="I408" i="11"/>
  <c r="I407" i="11"/>
  <c r="I406" i="11"/>
  <c r="I405" i="11"/>
  <c r="I404" i="11"/>
  <c r="I403" i="11"/>
  <c r="I402" i="11"/>
  <c r="I401" i="11"/>
  <c r="I400" i="11"/>
  <c r="I399" i="11"/>
  <c r="I398" i="11"/>
  <c r="I397" i="11"/>
  <c r="I396" i="11"/>
  <c r="I395" i="11"/>
  <c r="I394" i="11"/>
  <c r="I393" i="11"/>
  <c r="I392" i="11"/>
  <c r="I391" i="11"/>
  <c r="I390" i="11"/>
  <c r="I389" i="11"/>
  <c r="I388" i="11"/>
  <c r="I387" i="11"/>
  <c r="I386" i="11"/>
  <c r="I385" i="11"/>
  <c r="I384" i="11"/>
  <c r="I383" i="11"/>
  <c r="I382" i="11"/>
  <c r="I381" i="11"/>
  <c r="I380" i="11"/>
  <c r="I379" i="11"/>
  <c r="I378" i="11"/>
  <c r="I377" i="11"/>
  <c r="I376" i="11"/>
  <c r="I375" i="11"/>
  <c r="I374" i="11"/>
  <c r="I373" i="11"/>
  <c r="I372" i="11"/>
  <c r="I371" i="11"/>
  <c r="I370" i="11"/>
  <c r="I369" i="11"/>
  <c r="I368" i="11"/>
  <c r="I367" i="11"/>
  <c r="I366" i="11"/>
  <c r="I365" i="11"/>
  <c r="I364" i="11"/>
  <c r="I363" i="11"/>
  <c r="I362" i="11"/>
  <c r="I361" i="11"/>
  <c r="I360" i="11"/>
  <c r="I359" i="11"/>
  <c r="I358" i="11"/>
  <c r="I357" i="11"/>
  <c r="I356" i="11"/>
  <c r="I355" i="11"/>
  <c r="I354" i="11"/>
  <c r="I353" i="11"/>
  <c r="I352" i="11"/>
  <c r="I351" i="11"/>
  <c r="I350" i="11"/>
  <c r="I349" i="11"/>
  <c r="I348" i="11"/>
  <c r="I347" i="11"/>
  <c r="I346" i="11"/>
  <c r="I345" i="11"/>
  <c r="I344" i="11"/>
  <c r="I343" i="11"/>
  <c r="I342" i="11"/>
  <c r="I341" i="11"/>
  <c r="I340" i="11"/>
  <c r="I339" i="11"/>
  <c r="I338" i="11"/>
  <c r="I337" i="11"/>
  <c r="I336" i="11"/>
  <c r="I335" i="11"/>
  <c r="I334" i="11"/>
  <c r="I333" i="11"/>
  <c r="I332" i="11"/>
  <c r="I331" i="11"/>
  <c r="I330" i="11"/>
  <c r="I329" i="11"/>
  <c r="I328" i="11"/>
  <c r="I327" i="11"/>
  <c r="I326" i="11"/>
  <c r="I325" i="11"/>
  <c r="I324" i="11"/>
  <c r="I323" i="11"/>
  <c r="I322" i="11"/>
  <c r="I321" i="11"/>
  <c r="I320" i="11"/>
  <c r="I319" i="11"/>
  <c r="I318" i="11"/>
  <c r="I317" i="11"/>
  <c r="I316" i="11"/>
  <c r="I315" i="11"/>
  <c r="I314" i="11"/>
  <c r="I313" i="11"/>
  <c r="I312" i="11"/>
  <c r="I311" i="11"/>
  <c r="I310" i="11"/>
  <c r="I309" i="11"/>
  <c r="I308" i="11"/>
  <c r="I307" i="11"/>
  <c r="I306" i="11"/>
  <c r="I305" i="11"/>
  <c r="I304" i="11"/>
  <c r="I303" i="11"/>
  <c r="I302" i="11"/>
  <c r="I301" i="11"/>
  <c r="I300" i="11"/>
  <c r="I299" i="11"/>
  <c r="I298" i="11"/>
  <c r="I297" i="11"/>
  <c r="I296" i="11"/>
  <c r="I295" i="11"/>
  <c r="I294" i="11"/>
  <c r="I293" i="11"/>
  <c r="I292" i="11"/>
  <c r="I291" i="11"/>
  <c r="I290" i="11"/>
  <c r="I289" i="11"/>
  <c r="I288" i="11"/>
  <c r="I287" i="11"/>
  <c r="I286" i="11"/>
  <c r="I285" i="11"/>
  <c r="I284" i="11"/>
  <c r="I283" i="11"/>
  <c r="I282" i="11"/>
  <c r="I281" i="11"/>
  <c r="I280" i="11"/>
  <c r="I279" i="11"/>
  <c r="I278" i="11"/>
  <c r="I277" i="11"/>
  <c r="I276" i="11"/>
  <c r="I275" i="11"/>
  <c r="I274" i="11"/>
  <c r="I273" i="11"/>
  <c r="I272" i="11"/>
  <c r="I271" i="11"/>
  <c r="I270" i="11"/>
  <c r="I269" i="11"/>
  <c r="I268" i="11"/>
  <c r="I267" i="11"/>
  <c r="I266" i="11"/>
  <c r="I265" i="11"/>
  <c r="I264" i="11"/>
  <c r="I263" i="11"/>
  <c r="I262" i="11"/>
  <c r="I261" i="11"/>
  <c r="I260" i="11"/>
  <c r="I259" i="11"/>
  <c r="I258" i="11"/>
  <c r="I257" i="11"/>
  <c r="I256" i="11"/>
  <c r="I255" i="11"/>
  <c r="I254" i="11"/>
  <c r="I253" i="11"/>
  <c r="I252" i="11"/>
  <c r="I251" i="11"/>
  <c r="I250" i="11"/>
  <c r="I249" i="11"/>
  <c r="I248" i="11"/>
  <c r="I247" i="11"/>
  <c r="I246" i="11"/>
  <c r="I245" i="11"/>
  <c r="I244" i="11"/>
  <c r="I243" i="11"/>
  <c r="I242" i="11"/>
  <c r="I241" i="11"/>
  <c r="I240" i="11"/>
  <c r="I239" i="11"/>
  <c r="I238" i="11"/>
  <c r="I237" i="11"/>
  <c r="I236" i="11"/>
  <c r="I235" i="11"/>
  <c r="I234" i="11"/>
  <c r="I233" i="11"/>
  <c r="I232" i="11"/>
  <c r="I231" i="11"/>
  <c r="I230" i="11"/>
  <c r="I229" i="11"/>
  <c r="I228" i="11"/>
  <c r="I227" i="11"/>
  <c r="I226" i="11"/>
  <c r="I225" i="11"/>
  <c r="I224" i="11"/>
  <c r="I223" i="11"/>
  <c r="I222" i="11"/>
  <c r="I221" i="11"/>
  <c r="I220" i="11"/>
  <c r="I219" i="11"/>
  <c r="I218" i="11"/>
  <c r="I217" i="11"/>
  <c r="I216" i="11"/>
  <c r="I215" i="11"/>
  <c r="I214" i="11"/>
  <c r="I213" i="11"/>
  <c r="I212" i="11"/>
  <c r="I211" i="11"/>
  <c r="I210" i="11"/>
  <c r="I209" i="11"/>
  <c r="I208" i="11"/>
  <c r="I207" i="11"/>
  <c r="I206" i="11"/>
  <c r="I205" i="11"/>
  <c r="I204" i="11"/>
  <c r="I203" i="11"/>
  <c r="I202" i="11"/>
  <c r="I201" i="11"/>
  <c r="I200" i="11"/>
  <c r="I199" i="11"/>
  <c r="I198" i="11"/>
  <c r="I197" i="11"/>
  <c r="I196" i="11"/>
  <c r="I195" i="11"/>
  <c r="I194" i="11"/>
  <c r="I193" i="11"/>
  <c r="I192" i="11"/>
  <c r="I191" i="11"/>
  <c r="I190" i="11"/>
  <c r="I189" i="11"/>
  <c r="I188" i="11"/>
  <c r="I187" i="11"/>
  <c r="I186" i="11"/>
  <c r="I185" i="11"/>
  <c r="I184" i="11"/>
  <c r="I183" i="11"/>
  <c r="I182" i="11"/>
  <c r="I181" i="11"/>
  <c r="I180" i="11"/>
  <c r="I179" i="11"/>
  <c r="I178" i="11"/>
  <c r="I177" i="11"/>
  <c r="I176" i="11"/>
  <c r="I175" i="11"/>
  <c r="I174" i="11"/>
  <c r="I173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I156" i="11"/>
  <c r="I155" i="11"/>
  <c r="I154" i="11"/>
  <c r="I153" i="11"/>
  <c r="I152" i="11"/>
  <c r="I151" i="11"/>
  <c r="I150" i="11"/>
  <c r="I149" i="11"/>
  <c r="I148" i="11"/>
  <c r="I147" i="11"/>
  <c r="I146" i="11"/>
  <c r="I145" i="11"/>
  <c r="I144" i="11"/>
  <c r="I143" i="11"/>
  <c r="I142" i="11"/>
  <c r="I141" i="11"/>
  <c r="I140" i="11"/>
  <c r="I139" i="11"/>
  <c r="I138" i="11"/>
  <c r="I13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24" i="11"/>
  <c r="I123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I105" i="11"/>
  <c r="I104" i="11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O14" i="10"/>
  <c r="O13" i="10"/>
  <c r="O12" i="10"/>
  <c r="O11" i="10"/>
  <c r="O10" i="10"/>
  <c r="O9" i="10"/>
  <c r="O8" i="10"/>
  <c r="O7" i="10"/>
  <c r="O6" i="10"/>
  <c r="O5" i="10"/>
  <c r="N99" i="6"/>
  <c r="M99" i="6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T68" i="4"/>
  <c r="B68" i="4" s="1"/>
  <c r="R68" i="4"/>
  <c r="B67" i="4"/>
  <c r="T66" i="4"/>
  <c r="B66" i="4" s="1"/>
  <c r="B65" i="4"/>
  <c r="T64" i="4"/>
  <c r="B64" i="4" s="1"/>
  <c r="B63" i="4"/>
  <c r="T62" i="4"/>
  <c r="B62" i="4" s="1"/>
  <c r="B61" i="4"/>
  <c r="B60" i="4"/>
  <c r="B59" i="4"/>
  <c r="T58" i="4"/>
  <c r="B58" i="4" s="1"/>
  <c r="T57" i="4"/>
  <c r="B57" i="4" s="1"/>
  <c r="T56" i="4"/>
  <c r="B56" i="4" s="1"/>
  <c r="T55" i="4"/>
  <c r="B55" i="4" s="1"/>
  <c r="E5" i="3"/>
  <c r="C5" i="3"/>
  <c r="F8" i="2"/>
  <c r="G8" i="9" l="1"/>
  <c r="G6" i="9"/>
  <c r="G7" i="9"/>
  <c r="E13" i="17"/>
  <c r="F13" i="17" s="1"/>
  <c r="F5" i="2"/>
  <c r="O6" i="7"/>
  <c r="C14" i="17"/>
  <c r="D14" i="17"/>
  <c r="B15" i="17"/>
  <c r="O60" i="4"/>
  <c r="N57" i="4"/>
  <c r="Q2" i="12"/>
  <c r="K67" i="4"/>
  <c r="I55" i="4"/>
  <c r="I58" i="4"/>
  <c r="J64" i="4"/>
  <c r="Q58" i="4"/>
  <c r="O67" i="4"/>
  <c r="J67" i="4"/>
  <c r="M62" i="4"/>
  <c r="M65" i="4"/>
  <c r="H65" i="4"/>
  <c r="J61" i="4"/>
  <c r="K56" i="4"/>
  <c r="Q55" i="4"/>
  <c r="K59" i="4"/>
  <c r="H63" i="4"/>
  <c r="H66" i="4"/>
  <c r="F57" i="4"/>
  <c r="G60" i="4"/>
  <c r="P63" i="4"/>
  <c r="P66" i="4"/>
  <c r="F55" i="4"/>
  <c r="H56" i="4"/>
  <c r="K57" i="4"/>
  <c r="N58" i="4"/>
  <c r="P59" i="4"/>
  <c r="G61" i="4"/>
  <c r="G64" i="4"/>
  <c r="J65" i="4"/>
  <c r="G67" i="4"/>
  <c r="G55" i="4"/>
  <c r="I56" i="4"/>
  <c r="L57" i="4"/>
  <c r="O58" i="4"/>
  <c r="Q59" i="4"/>
  <c r="H61" i="4"/>
  <c r="K62" i="4"/>
  <c r="N63" i="4"/>
  <c r="P64" i="4"/>
  <c r="H67" i="4"/>
  <c r="N55" i="4"/>
  <c r="P56" i="4"/>
  <c r="F58" i="4"/>
  <c r="H59" i="4"/>
  <c r="L60" i="4"/>
  <c r="O61" i="4"/>
  <c r="J62" i="4"/>
  <c r="M63" i="4"/>
  <c r="O64" i="4"/>
  <c r="M66" i="4"/>
  <c r="O55" i="4"/>
  <c r="Q56" i="4"/>
  <c r="G58" i="4"/>
  <c r="I59" i="4"/>
  <c r="M60" i="4"/>
  <c r="P61" i="4"/>
  <c r="F63" i="4"/>
  <c r="H64" i="4"/>
  <c r="K65" i="4"/>
  <c r="F66" i="4"/>
  <c r="N66" i="4"/>
  <c r="P67" i="4"/>
  <c r="H55" i="4"/>
  <c r="P55" i="4"/>
  <c r="J56" i="4"/>
  <c r="M57" i="4"/>
  <c r="H58" i="4"/>
  <c r="P58" i="4"/>
  <c r="J59" i="4"/>
  <c r="F60" i="4"/>
  <c r="N60" i="4"/>
  <c r="I61" i="4"/>
  <c r="Q61" i="4"/>
  <c r="L62" i="4"/>
  <c r="G63" i="4"/>
  <c r="O63" i="4"/>
  <c r="I64" i="4"/>
  <c r="Q64" i="4"/>
  <c r="L65" i="4"/>
  <c r="G66" i="4"/>
  <c r="O66" i="4"/>
  <c r="I67" i="4"/>
  <c r="Q67" i="4"/>
  <c r="G57" i="4"/>
  <c r="P60" i="4"/>
  <c r="N62" i="4"/>
  <c r="K64" i="4"/>
  <c r="N65" i="4"/>
  <c r="Q66" i="4"/>
  <c r="K55" i="4"/>
  <c r="M56" i="4"/>
  <c r="H57" i="4"/>
  <c r="P57" i="4"/>
  <c r="K58" i="4"/>
  <c r="M59" i="4"/>
  <c r="I60" i="4"/>
  <c r="Q60" i="4"/>
  <c r="L61" i="4"/>
  <c r="G62" i="4"/>
  <c r="O62" i="4"/>
  <c r="J63" i="4"/>
  <c r="L64" i="4"/>
  <c r="G65" i="4"/>
  <c r="O65" i="4"/>
  <c r="J66" i="4"/>
  <c r="L67" i="4"/>
  <c r="H148" i="16"/>
  <c r="H144" i="16"/>
  <c r="J155" i="16"/>
  <c r="L155" i="16" s="1"/>
  <c r="O155" i="16" s="1"/>
  <c r="J151" i="16"/>
  <c r="L151" i="16" s="1"/>
  <c r="O151" i="16" s="1"/>
  <c r="H139" i="16"/>
  <c r="H133" i="16"/>
  <c r="H130" i="16"/>
  <c r="J123" i="16"/>
  <c r="L123" i="16" s="1"/>
  <c r="O123" i="16" s="1"/>
  <c r="J120" i="16"/>
  <c r="L120" i="16" s="1"/>
  <c r="O120" i="16" s="1"/>
  <c r="H116" i="16"/>
  <c r="H112" i="16"/>
  <c r="J107" i="16"/>
  <c r="L107" i="16" s="1"/>
  <c r="O107" i="16" s="1"/>
  <c r="H103" i="16"/>
  <c r="J98" i="16"/>
  <c r="L98" i="16" s="1"/>
  <c r="O98" i="16" s="1"/>
  <c r="H95" i="16"/>
  <c r="J89" i="16"/>
  <c r="L89" i="16" s="1"/>
  <c r="O89" i="16" s="1"/>
  <c r="J85" i="16"/>
  <c r="L85" i="16" s="1"/>
  <c r="O85" i="16" s="1"/>
  <c r="J79" i="16"/>
  <c r="L79" i="16" s="1"/>
  <c r="O79" i="16" s="1"/>
  <c r="H70" i="16"/>
  <c r="J55" i="16"/>
  <c r="L55" i="16" s="1"/>
  <c r="O55" i="16" s="1"/>
  <c r="J47" i="16"/>
  <c r="L47" i="16" s="1"/>
  <c r="O47" i="16" s="1"/>
  <c r="J44" i="16"/>
  <c r="L44" i="16" s="1"/>
  <c r="O44" i="16" s="1"/>
  <c r="H40" i="16"/>
  <c r="H35" i="16"/>
  <c r="H32" i="16"/>
  <c r="H29" i="16"/>
  <c r="J24" i="16"/>
  <c r="L24" i="16" s="1"/>
  <c r="O24" i="16" s="1"/>
  <c r="J21" i="16"/>
  <c r="L21" i="16" s="1"/>
  <c r="O21" i="16" s="1"/>
  <c r="H18" i="16"/>
  <c r="J15" i="16"/>
  <c r="L15" i="16" s="1"/>
  <c r="O15" i="16" s="1"/>
  <c r="H11" i="16"/>
  <c r="J7" i="16"/>
  <c r="L7" i="16" s="1"/>
  <c r="O7" i="16" s="1"/>
  <c r="H151" i="16"/>
  <c r="J146" i="16"/>
  <c r="L146" i="16" s="1"/>
  <c r="O146" i="16" s="1"/>
  <c r="J143" i="16"/>
  <c r="L143" i="16" s="1"/>
  <c r="O143" i="16" s="1"/>
  <c r="J137" i="16"/>
  <c r="L137" i="16" s="1"/>
  <c r="O137" i="16" s="1"/>
  <c r="J128" i="16"/>
  <c r="L128" i="16" s="1"/>
  <c r="O128" i="16" s="1"/>
  <c r="O127" i="16" s="1"/>
  <c r="F72" i="7" s="1"/>
  <c r="H123" i="16"/>
  <c r="H120" i="16"/>
  <c r="J115" i="16"/>
  <c r="L115" i="16" s="1"/>
  <c r="O115" i="16" s="1"/>
  <c r="J111" i="16"/>
  <c r="L111" i="16" s="1"/>
  <c r="O111" i="16" s="1"/>
  <c r="H107" i="16"/>
  <c r="J102" i="16"/>
  <c r="L102" i="16" s="1"/>
  <c r="O102" i="16" s="1"/>
  <c r="H98" i="16"/>
  <c r="H89" i="16"/>
  <c r="H85" i="16"/>
  <c r="H79" i="16"/>
  <c r="J72" i="16"/>
  <c r="L72" i="16" s="1"/>
  <c r="O72" i="16" s="1"/>
  <c r="J65" i="16"/>
  <c r="L65" i="16" s="1"/>
  <c r="O65" i="16" s="1"/>
  <c r="J61" i="16"/>
  <c r="L61" i="16" s="1"/>
  <c r="O61" i="16" s="1"/>
  <c r="J58" i="16"/>
  <c r="L58" i="16" s="1"/>
  <c r="O58" i="16" s="1"/>
  <c r="H55" i="16"/>
  <c r="J50" i="16"/>
  <c r="L50" i="16" s="1"/>
  <c r="O50" i="16" s="1"/>
  <c r="H47" i="16"/>
  <c r="H44" i="16"/>
  <c r="J31" i="16"/>
  <c r="L31" i="16" s="1"/>
  <c r="O31" i="16" s="1"/>
  <c r="H24" i="16"/>
  <c r="H21" i="16"/>
  <c r="H15" i="16"/>
  <c r="J10" i="16"/>
  <c r="L10" i="16" s="1"/>
  <c r="O10" i="16" s="1"/>
  <c r="H155" i="16"/>
  <c r="J154" i="16"/>
  <c r="L154" i="16" s="1"/>
  <c r="O154" i="16" s="1"/>
  <c r="H154" i="16"/>
  <c r="J150" i="16"/>
  <c r="L150" i="16" s="1"/>
  <c r="O150" i="16" s="1"/>
  <c r="J136" i="16"/>
  <c r="L136" i="16" s="1"/>
  <c r="O136" i="16" s="1"/>
  <c r="H132" i="16"/>
  <c r="J122" i="16"/>
  <c r="L122" i="16" s="1"/>
  <c r="O122" i="16" s="1"/>
  <c r="H119" i="16"/>
  <c r="J114" i="16"/>
  <c r="L114" i="16" s="1"/>
  <c r="O114" i="16" s="1"/>
  <c r="J110" i="16"/>
  <c r="L110" i="16" s="1"/>
  <c r="O110" i="16" s="1"/>
  <c r="J105" i="16"/>
  <c r="L105" i="16" s="1"/>
  <c r="O105" i="16" s="1"/>
  <c r="J101" i="16"/>
  <c r="L101" i="16" s="1"/>
  <c r="O101" i="16" s="1"/>
  <c r="H97" i="16"/>
  <c r="H92" i="16"/>
  <c r="H78" i="16"/>
  <c r="J74" i="16"/>
  <c r="L74" i="16" s="1"/>
  <c r="O74" i="16" s="1"/>
  <c r="H69" i="16"/>
  <c r="J64" i="16"/>
  <c r="L64" i="16" s="1"/>
  <c r="O64" i="16" s="1"/>
  <c r="J57" i="16"/>
  <c r="L57" i="16" s="1"/>
  <c r="O57" i="16" s="1"/>
  <c r="J54" i="16"/>
  <c r="L54" i="16" s="1"/>
  <c r="O54" i="16" s="1"/>
  <c r="J49" i="16"/>
  <c r="L49" i="16" s="1"/>
  <c r="O49" i="16" s="1"/>
  <c r="J46" i="16"/>
  <c r="L46" i="16" s="1"/>
  <c r="O46" i="16" s="1"/>
  <c r="H43" i="16"/>
  <c r="H34" i="16"/>
  <c r="J28" i="16"/>
  <c r="L28" i="16" s="1"/>
  <c r="O28" i="16" s="1"/>
  <c r="J23" i="16"/>
  <c r="L23" i="16" s="1"/>
  <c r="O23" i="16" s="1"/>
  <c r="H20" i="16"/>
  <c r="J17" i="16"/>
  <c r="L17" i="16" s="1"/>
  <c r="O17" i="16" s="1"/>
  <c r="H14" i="16"/>
  <c r="H6" i="16"/>
  <c r="H150" i="16"/>
  <c r="J145" i="16"/>
  <c r="L145" i="16" s="1"/>
  <c r="O145" i="16" s="1"/>
  <c r="H136" i="16"/>
  <c r="J131" i="16"/>
  <c r="L131" i="16" s="1"/>
  <c r="O131" i="16" s="1"/>
  <c r="H122" i="16"/>
  <c r="H114" i="16"/>
  <c r="H110" i="16"/>
  <c r="H105" i="16"/>
  <c r="H101" i="16"/>
  <c r="J81" i="16"/>
  <c r="L81" i="16" s="1"/>
  <c r="O81" i="16" s="1"/>
  <c r="H74" i="16"/>
  <c r="J71" i="16"/>
  <c r="L71" i="16" s="1"/>
  <c r="O71" i="16" s="1"/>
  <c r="J68" i="16"/>
  <c r="L68" i="16" s="1"/>
  <c r="O68" i="16" s="1"/>
  <c r="H64" i="16"/>
  <c r="J60" i="16"/>
  <c r="L60" i="16" s="1"/>
  <c r="O60" i="16" s="1"/>
  <c r="H57" i="16"/>
  <c r="J153" i="16"/>
  <c r="L153" i="16" s="1"/>
  <c r="O153" i="16" s="1"/>
  <c r="H153" i="16"/>
  <c r="J148" i="16"/>
  <c r="L148" i="16" s="1"/>
  <c r="O148" i="16" s="1"/>
  <c r="H145" i="16"/>
  <c r="J140" i="16"/>
  <c r="L140" i="16" s="1"/>
  <c r="O140" i="16" s="1"/>
  <c r="J135" i="16"/>
  <c r="L135" i="16" s="1"/>
  <c r="O135" i="16" s="1"/>
  <c r="H131" i="16"/>
  <c r="J121" i="16"/>
  <c r="L121" i="16" s="1"/>
  <c r="O121" i="16" s="1"/>
  <c r="J118" i="16"/>
  <c r="L118" i="16" s="1"/>
  <c r="O118" i="16" s="1"/>
  <c r="J113" i="16"/>
  <c r="L113" i="16" s="1"/>
  <c r="O113" i="16" s="1"/>
  <c r="J109" i="16"/>
  <c r="L109" i="16" s="1"/>
  <c r="O109" i="16" s="1"/>
  <c r="J104" i="16"/>
  <c r="L104" i="16" s="1"/>
  <c r="O104" i="16" s="1"/>
  <c r="J99" i="16"/>
  <c r="L99" i="16" s="1"/>
  <c r="O99" i="16" s="1"/>
  <c r="J96" i="16"/>
  <c r="L96" i="16" s="1"/>
  <c r="O96" i="16" s="1"/>
  <c r="H81" i="16"/>
  <c r="J77" i="16"/>
  <c r="L77" i="16" s="1"/>
  <c r="O77" i="16" s="1"/>
  <c r="H71" i="16"/>
  <c r="H68" i="16"/>
  <c r="H60" i="16"/>
  <c r="J45" i="16"/>
  <c r="L45" i="16" s="1"/>
  <c r="O45" i="16" s="1"/>
  <c r="H41" i="16"/>
  <c r="H37" i="16"/>
  <c r="H33" i="16"/>
  <c r="J30" i="16"/>
  <c r="L30" i="16" s="1"/>
  <c r="O30" i="16" s="1"/>
  <c r="J27" i="16"/>
  <c r="L27" i="16" s="1"/>
  <c r="O27" i="16" s="1"/>
  <c r="J22" i="16"/>
  <c r="L22" i="16" s="1"/>
  <c r="O22" i="16" s="1"/>
  <c r="J19" i="16"/>
  <c r="L19" i="16" s="1"/>
  <c r="O19" i="16" s="1"/>
  <c r="J16" i="16"/>
  <c r="L16" i="16" s="1"/>
  <c r="O16" i="16" s="1"/>
  <c r="H12" i="16"/>
  <c r="H9" i="16"/>
  <c r="J144" i="16"/>
  <c r="L144" i="16" s="1"/>
  <c r="O144" i="16" s="1"/>
  <c r="H140" i="16"/>
  <c r="H135" i="16"/>
  <c r="J124" i="16"/>
  <c r="L124" i="16" s="1"/>
  <c r="O124" i="16" s="1"/>
  <c r="H121" i="16"/>
  <c r="H118" i="16"/>
  <c r="H113" i="16"/>
  <c r="H109" i="16"/>
  <c r="H104" i="16"/>
  <c r="H99" i="16"/>
  <c r="H96" i="16"/>
  <c r="J90" i="16"/>
  <c r="L90" i="16" s="1"/>
  <c r="O90" i="16" s="1"/>
  <c r="H77" i="16"/>
  <c r="J73" i="16"/>
  <c r="L73" i="16" s="1"/>
  <c r="O73" i="16" s="1"/>
  <c r="J66" i="16"/>
  <c r="L66" i="16" s="1"/>
  <c r="O66" i="16" s="1"/>
  <c r="J63" i="16"/>
  <c r="L63" i="16" s="1"/>
  <c r="O63" i="16" s="1"/>
  <c r="J59" i="16"/>
  <c r="L59" i="16" s="1"/>
  <c r="O59" i="16" s="1"/>
  <c r="J56" i="16"/>
  <c r="L56" i="16" s="1"/>
  <c r="O56" i="16" s="1"/>
  <c r="J48" i="16"/>
  <c r="L48" i="16" s="1"/>
  <c r="O48" i="16" s="1"/>
  <c r="H45" i="16"/>
  <c r="H30" i="16"/>
  <c r="H27" i="16"/>
  <c r="H22" i="16"/>
  <c r="H19" i="16"/>
  <c r="H16" i="16"/>
  <c r="J8" i="16"/>
  <c r="L8" i="16" s="1"/>
  <c r="O8" i="16" s="1"/>
  <c r="H143" i="16"/>
  <c r="J112" i="16"/>
  <c r="L112" i="16" s="1"/>
  <c r="O112" i="16" s="1"/>
  <c r="J95" i="16"/>
  <c r="L95" i="16" s="1"/>
  <c r="O95" i="16" s="1"/>
  <c r="H63" i="16"/>
  <c r="J43" i="16"/>
  <c r="L43" i="16" s="1"/>
  <c r="O43" i="16" s="1"/>
  <c r="J33" i="16"/>
  <c r="L33" i="16" s="1"/>
  <c r="O33" i="16" s="1"/>
  <c r="J6" i="16"/>
  <c r="L6" i="16" s="1"/>
  <c r="H111" i="16"/>
  <c r="J41" i="16"/>
  <c r="L41" i="16" s="1"/>
  <c r="O41" i="16" s="1"/>
  <c r="J32" i="16"/>
  <c r="L32" i="16" s="1"/>
  <c r="O32" i="16" s="1"/>
  <c r="H23" i="16"/>
  <c r="J14" i="16"/>
  <c r="L14" i="16" s="1"/>
  <c r="O14" i="16" s="1"/>
  <c r="J29" i="16"/>
  <c r="L29" i="16" s="1"/>
  <c r="O29" i="16" s="1"/>
  <c r="H90" i="16"/>
  <c r="J18" i="16"/>
  <c r="L18" i="16" s="1"/>
  <c r="O18" i="16" s="1"/>
  <c r="H28" i="16"/>
  <c r="H128" i="16"/>
  <c r="H54" i="16"/>
  <c r="H17" i="16"/>
  <c r="J139" i="16"/>
  <c r="L139" i="16" s="1"/>
  <c r="O139" i="16" s="1"/>
  <c r="H124" i="16"/>
  <c r="J92" i="16"/>
  <c r="L92" i="16" s="1"/>
  <c r="O92" i="16" s="1"/>
  <c r="H73" i="16"/>
  <c r="H61" i="16"/>
  <c r="H50" i="16"/>
  <c r="J40" i="16"/>
  <c r="L40" i="16" s="1"/>
  <c r="O40" i="16" s="1"/>
  <c r="H31" i="16"/>
  <c r="J12" i="16"/>
  <c r="L12" i="16" s="1"/>
  <c r="O12" i="16" s="1"/>
  <c r="J103" i="16"/>
  <c r="L103" i="16" s="1"/>
  <c r="O103" i="16" s="1"/>
  <c r="H58" i="16"/>
  <c r="J37" i="16"/>
  <c r="L37" i="16" s="1"/>
  <c r="O37" i="16" s="1"/>
  <c r="H10" i="16"/>
  <c r="J119" i="16"/>
  <c r="L119" i="16" s="1"/>
  <c r="O119" i="16" s="1"/>
  <c r="J69" i="16"/>
  <c r="L69" i="16" s="1"/>
  <c r="O69" i="16" s="1"/>
  <c r="J9" i="16"/>
  <c r="L9" i="16" s="1"/>
  <c r="O9" i="16" s="1"/>
  <c r="J116" i="16"/>
  <c r="L116" i="16" s="1"/>
  <c r="O116" i="16" s="1"/>
  <c r="H66" i="16"/>
  <c r="H46" i="16"/>
  <c r="H146" i="16"/>
  <c r="J97" i="16"/>
  <c r="L97" i="16" s="1"/>
  <c r="O97" i="16" s="1"/>
  <c r="H65" i="16"/>
  <c r="H137" i="16"/>
  <c r="H72" i="16"/>
  <c r="H59" i="16"/>
  <c r="H49" i="16"/>
  <c r="J20" i="16"/>
  <c r="L20" i="16" s="1"/>
  <c r="O20" i="16" s="1"/>
  <c r="J11" i="16"/>
  <c r="L11" i="16" s="1"/>
  <c r="O11" i="16" s="1"/>
  <c r="J133" i="16"/>
  <c r="L133" i="16" s="1"/>
  <c r="O133" i="16" s="1"/>
  <c r="J70" i="16"/>
  <c r="L70" i="16" s="1"/>
  <c r="O70" i="16" s="1"/>
  <c r="H48" i="16"/>
  <c r="J132" i="16"/>
  <c r="L132" i="16" s="1"/>
  <c r="O132" i="16" s="1"/>
  <c r="H102" i="16"/>
  <c r="H56" i="16"/>
  <c r="J130" i="16"/>
  <c r="L130" i="16" s="1"/>
  <c r="O130" i="16" s="1"/>
  <c r="J78" i="16"/>
  <c r="L78" i="16" s="1"/>
  <c r="O78" i="16" s="1"/>
  <c r="J35" i="16"/>
  <c r="L35" i="16" s="1"/>
  <c r="O35" i="16" s="1"/>
  <c r="H8" i="16"/>
  <c r="H115" i="16"/>
  <c r="J34" i="16"/>
  <c r="L34" i="16" s="1"/>
  <c r="O34" i="16" s="1"/>
  <c r="H7" i="16"/>
  <c r="J233" i="15"/>
  <c r="L233" i="15" s="1"/>
  <c r="O233" i="15" s="1"/>
  <c r="J228" i="15"/>
  <c r="L228" i="15" s="1"/>
  <c r="O228" i="15" s="1"/>
  <c r="J224" i="15"/>
  <c r="L224" i="15" s="1"/>
  <c r="O224" i="15" s="1"/>
  <c r="J220" i="15"/>
  <c r="L220" i="15" s="1"/>
  <c r="O220" i="15" s="1"/>
  <c r="H217" i="15"/>
  <c r="H214" i="15"/>
  <c r="J209" i="15"/>
  <c r="L209" i="15" s="1"/>
  <c r="O209" i="15" s="1"/>
  <c r="J206" i="15"/>
  <c r="L206" i="15" s="1"/>
  <c r="O206" i="15" s="1"/>
  <c r="J202" i="15"/>
  <c r="L202" i="15" s="1"/>
  <c r="O202" i="15" s="1"/>
  <c r="H199" i="15"/>
  <c r="J194" i="15"/>
  <c r="L194" i="15" s="1"/>
  <c r="O194" i="15" s="1"/>
  <c r="J190" i="15"/>
  <c r="L190" i="15" s="1"/>
  <c r="O190" i="15" s="1"/>
  <c r="J182" i="15"/>
  <c r="L182" i="15" s="1"/>
  <c r="O182" i="15" s="1"/>
  <c r="H178" i="15"/>
  <c r="H175" i="15"/>
  <c r="J170" i="15"/>
  <c r="L170" i="15" s="1"/>
  <c r="O170" i="15" s="1"/>
  <c r="J167" i="15"/>
  <c r="L167" i="15" s="1"/>
  <c r="O167" i="15" s="1"/>
  <c r="J156" i="15"/>
  <c r="L156" i="15" s="1"/>
  <c r="O156" i="15" s="1"/>
  <c r="H151" i="15"/>
  <c r="J146" i="15"/>
  <c r="L146" i="15" s="1"/>
  <c r="O146" i="15" s="1"/>
  <c r="J142" i="15"/>
  <c r="L142" i="15" s="1"/>
  <c r="O142" i="15" s="1"/>
  <c r="J138" i="15"/>
  <c r="L138" i="15" s="1"/>
  <c r="O138" i="15" s="1"/>
  <c r="H133" i="15"/>
  <c r="H130" i="15"/>
  <c r="H122" i="15"/>
  <c r="J118" i="15"/>
  <c r="L118" i="15" s="1"/>
  <c r="O118" i="15" s="1"/>
  <c r="H114" i="15"/>
  <c r="J110" i="15"/>
  <c r="L110" i="15" s="1"/>
  <c r="O110" i="15" s="1"/>
  <c r="H95" i="15"/>
  <c r="H90" i="15"/>
  <c r="J86" i="15"/>
  <c r="L86" i="15" s="1"/>
  <c r="O86" i="15" s="1"/>
  <c r="J82" i="15"/>
  <c r="L82" i="15" s="1"/>
  <c r="O82" i="15" s="1"/>
  <c r="H79" i="15"/>
  <c r="J73" i="15"/>
  <c r="L73" i="15" s="1"/>
  <c r="O73" i="15" s="1"/>
  <c r="J69" i="15"/>
  <c r="L69" i="15" s="1"/>
  <c r="O69" i="15" s="1"/>
  <c r="H66" i="15"/>
  <c r="H243" i="15"/>
  <c r="J236" i="15"/>
  <c r="L236" i="15" s="1"/>
  <c r="O236" i="15" s="1"/>
  <c r="J227" i="15"/>
  <c r="L227" i="15" s="1"/>
  <c r="O227" i="15" s="1"/>
  <c r="J219" i="15"/>
  <c r="L219" i="15" s="1"/>
  <c r="O219" i="15" s="1"/>
  <c r="J216" i="15"/>
  <c r="L216" i="15" s="1"/>
  <c r="O216" i="15" s="1"/>
  <c r="H213" i="15"/>
  <c r="J201" i="15"/>
  <c r="L201" i="15" s="1"/>
  <c r="O201" i="15" s="1"/>
  <c r="J198" i="15"/>
  <c r="L198" i="15" s="1"/>
  <c r="O198" i="15" s="1"/>
  <c r="J193" i="15"/>
  <c r="L193" i="15" s="1"/>
  <c r="O193" i="15" s="1"/>
  <c r="J189" i="15"/>
  <c r="L189" i="15" s="1"/>
  <c r="O189" i="15" s="1"/>
  <c r="H185" i="15"/>
  <c r="J177" i="15"/>
  <c r="L177" i="15" s="1"/>
  <c r="O177" i="15" s="1"/>
  <c r="H174" i="15"/>
  <c r="J166" i="15"/>
  <c r="L166" i="15" s="1"/>
  <c r="O166" i="15" s="1"/>
  <c r="J159" i="15"/>
  <c r="L159" i="15" s="1"/>
  <c r="O159" i="15" s="1"/>
  <c r="J155" i="15"/>
  <c r="L155" i="15" s="1"/>
  <c r="O155" i="15" s="1"/>
  <c r="H150" i="15"/>
  <c r="J145" i="15"/>
  <c r="L145" i="15" s="1"/>
  <c r="O145" i="15" s="1"/>
  <c r="J141" i="15"/>
  <c r="L141" i="15" s="1"/>
  <c r="O141" i="15" s="1"/>
  <c r="J136" i="15"/>
  <c r="L136" i="15" s="1"/>
  <c r="O136" i="15" s="1"/>
  <c r="O135" i="15" s="1"/>
  <c r="F24" i="7" s="1"/>
  <c r="J132" i="15"/>
  <c r="L132" i="15" s="1"/>
  <c r="O132" i="15" s="1"/>
  <c r="H129" i="15"/>
  <c r="H121" i="15"/>
  <c r="J117" i="15"/>
  <c r="L117" i="15" s="1"/>
  <c r="O117" i="15" s="1"/>
  <c r="H113" i="15"/>
  <c r="J109" i="15"/>
  <c r="L109" i="15" s="1"/>
  <c r="O109" i="15" s="1"/>
  <c r="H98" i="15"/>
  <c r="H94" i="15"/>
  <c r="H89" i="15"/>
  <c r="J85" i="15"/>
  <c r="L85" i="15" s="1"/>
  <c r="O85" i="15" s="1"/>
  <c r="J81" i="15"/>
  <c r="L81" i="15" s="1"/>
  <c r="O81" i="15" s="1"/>
  <c r="H78" i="15"/>
  <c r="J72" i="15"/>
  <c r="L72" i="15" s="1"/>
  <c r="O72" i="15" s="1"/>
  <c r="H65" i="15"/>
  <c r="H60" i="15"/>
  <c r="H56" i="15"/>
  <c r="H52" i="15"/>
  <c r="H48" i="15"/>
  <c r="H43" i="15"/>
  <c r="J39" i="15"/>
  <c r="L39" i="15" s="1"/>
  <c r="O39" i="15" s="1"/>
  <c r="J34" i="15"/>
  <c r="L34" i="15" s="1"/>
  <c r="O34" i="15" s="1"/>
  <c r="J30" i="15"/>
  <c r="L30" i="15" s="1"/>
  <c r="O30" i="15" s="1"/>
  <c r="J26" i="15"/>
  <c r="L26" i="15" s="1"/>
  <c r="O26" i="15" s="1"/>
  <c r="J22" i="15"/>
  <c r="L22" i="15" s="1"/>
  <c r="O22" i="15" s="1"/>
  <c r="J18" i="15"/>
  <c r="L18" i="15" s="1"/>
  <c r="O18" i="15" s="1"/>
  <c r="J13" i="15"/>
  <c r="L13" i="15" s="1"/>
  <c r="O13" i="15" s="1"/>
  <c r="J9" i="15"/>
  <c r="L9" i="15" s="1"/>
  <c r="O9" i="15" s="1"/>
  <c r="J235" i="15"/>
  <c r="L235" i="15" s="1"/>
  <c r="O235" i="15" s="1"/>
  <c r="J230" i="15"/>
  <c r="L230" i="15" s="1"/>
  <c r="O230" i="15" s="1"/>
  <c r="H222" i="15"/>
  <c r="J212" i="15"/>
  <c r="L212" i="15" s="1"/>
  <c r="O212" i="15" s="1"/>
  <c r="H204" i="15"/>
  <c r="J192" i="15"/>
  <c r="L192" i="15" s="1"/>
  <c r="O192" i="15" s="1"/>
  <c r="H181" i="15"/>
  <c r="J176" i="15"/>
  <c r="L176" i="15" s="1"/>
  <c r="O176" i="15" s="1"/>
  <c r="J148" i="15"/>
  <c r="L148" i="15" s="1"/>
  <c r="O148" i="15" s="1"/>
  <c r="J242" i="15"/>
  <c r="L242" i="15" s="1"/>
  <c r="O242" i="15" s="1"/>
  <c r="H236" i="15"/>
  <c r="H227" i="15"/>
  <c r="J222" i="15"/>
  <c r="L222" i="15" s="1"/>
  <c r="O222" i="15" s="1"/>
  <c r="H219" i="15"/>
  <c r="H216" i="15"/>
  <c r="J208" i="15"/>
  <c r="L208" i="15" s="1"/>
  <c r="O208" i="15" s="1"/>
  <c r="J204" i="15"/>
  <c r="L204" i="15" s="1"/>
  <c r="O204" i="15" s="1"/>
  <c r="H201" i="15"/>
  <c r="H198" i="15"/>
  <c r="H193" i="15"/>
  <c r="H189" i="15"/>
  <c r="J184" i="15"/>
  <c r="L184" i="15" s="1"/>
  <c r="O184" i="15" s="1"/>
  <c r="J181" i="15"/>
  <c r="L181" i="15" s="1"/>
  <c r="O181" i="15" s="1"/>
  <c r="H177" i="15"/>
  <c r="J169" i="15"/>
  <c r="L169" i="15" s="1"/>
  <c r="O169" i="15" s="1"/>
  <c r="H166" i="15"/>
  <c r="H159" i="15"/>
  <c r="H155" i="15"/>
  <c r="H145" i="15"/>
  <c r="H141" i="15"/>
  <c r="H136" i="15"/>
  <c r="H132" i="15"/>
  <c r="J128" i="15"/>
  <c r="L128" i="15" s="1"/>
  <c r="O128" i="15" s="1"/>
  <c r="J124" i="15"/>
  <c r="L124" i="15" s="1"/>
  <c r="O124" i="15" s="1"/>
  <c r="H117" i="15"/>
  <c r="J112" i="15"/>
  <c r="L112" i="15" s="1"/>
  <c r="O112" i="15" s="1"/>
  <c r="H109" i="15"/>
  <c r="J97" i="15"/>
  <c r="L97" i="15" s="1"/>
  <c r="O97" i="15" s="1"/>
  <c r="J92" i="15"/>
  <c r="L92" i="15" s="1"/>
  <c r="O92" i="15" s="1"/>
  <c r="H85" i="15"/>
  <c r="H81" i="15"/>
  <c r="J77" i="15"/>
  <c r="L77" i="15" s="1"/>
  <c r="O77" i="15" s="1"/>
  <c r="H72" i="15"/>
  <c r="J68" i="15"/>
  <c r="L68" i="15" s="1"/>
  <c r="O68" i="15" s="1"/>
  <c r="J63" i="15"/>
  <c r="L63" i="15" s="1"/>
  <c r="O63" i="15" s="1"/>
  <c r="J59" i="15"/>
  <c r="L59" i="15" s="1"/>
  <c r="O59" i="15" s="1"/>
  <c r="J55" i="15"/>
  <c r="L55" i="15" s="1"/>
  <c r="O55" i="15" s="1"/>
  <c r="J51" i="15"/>
  <c r="L51" i="15" s="1"/>
  <c r="O51" i="15" s="1"/>
  <c r="J47" i="15"/>
  <c r="L47" i="15" s="1"/>
  <c r="O47" i="15" s="1"/>
  <c r="H39" i="15"/>
  <c r="H34" i="15"/>
  <c r="H30" i="15"/>
  <c r="H26" i="15"/>
  <c r="H22" i="15"/>
  <c r="H18" i="15"/>
  <c r="H13" i="15"/>
  <c r="H9" i="15"/>
  <c r="H242" i="15"/>
  <c r="J226" i="15"/>
  <c r="L226" i="15" s="1"/>
  <c r="O226" i="15" s="1"/>
  <c r="J215" i="15"/>
  <c r="L215" i="15" s="1"/>
  <c r="O215" i="15" s="1"/>
  <c r="H208" i="15"/>
  <c r="J197" i="15"/>
  <c r="L197" i="15" s="1"/>
  <c r="O197" i="15" s="1"/>
  <c r="J188" i="15"/>
  <c r="L188" i="15" s="1"/>
  <c r="O188" i="15" s="1"/>
  <c r="H184" i="15"/>
  <c r="J173" i="15"/>
  <c r="L173" i="15" s="1"/>
  <c r="O173" i="15" s="1"/>
  <c r="H169" i="15"/>
  <c r="J158" i="15"/>
  <c r="L158" i="15" s="1"/>
  <c r="O158" i="15" s="1"/>
  <c r="J154" i="15"/>
  <c r="L154" i="15" s="1"/>
  <c r="O154" i="15" s="1"/>
  <c r="J144" i="15"/>
  <c r="L144" i="15" s="1"/>
  <c r="O144" i="15" s="1"/>
  <c r="J140" i="15"/>
  <c r="L140" i="15" s="1"/>
  <c r="O140" i="15" s="1"/>
  <c r="J134" i="15"/>
  <c r="L134" i="15" s="1"/>
  <c r="O134" i="15" s="1"/>
  <c r="J240" i="15"/>
  <c r="L240" i="15" s="1"/>
  <c r="O240" i="15" s="1"/>
  <c r="J234" i="15"/>
  <c r="L234" i="15" s="1"/>
  <c r="O234" i="15" s="1"/>
  <c r="J229" i="15"/>
  <c r="L229" i="15" s="1"/>
  <c r="O229" i="15" s="1"/>
  <c r="J225" i="15"/>
  <c r="L225" i="15" s="1"/>
  <c r="O225" i="15" s="1"/>
  <c r="H221" i="15"/>
  <c r="H218" i="15"/>
  <c r="J211" i="15"/>
  <c r="L211" i="15" s="1"/>
  <c r="O211" i="15" s="1"/>
  <c r="H207" i="15"/>
  <c r="H203" i="15"/>
  <c r="H200" i="15"/>
  <c r="J195" i="15"/>
  <c r="L195" i="15" s="1"/>
  <c r="O195" i="15" s="1"/>
  <c r="J191" i="15"/>
  <c r="L191" i="15" s="1"/>
  <c r="O191" i="15" s="1"/>
  <c r="J243" i="15"/>
  <c r="L243" i="15" s="1"/>
  <c r="O243" i="15" s="1"/>
  <c r="J221" i="15"/>
  <c r="L221" i="15" s="1"/>
  <c r="O221" i="15" s="1"/>
  <c r="J213" i="15"/>
  <c r="L213" i="15" s="1"/>
  <c r="O213" i="15" s="1"/>
  <c r="H192" i="15"/>
  <c r="J183" i="15"/>
  <c r="L183" i="15" s="1"/>
  <c r="O183" i="15" s="1"/>
  <c r="H168" i="15"/>
  <c r="J150" i="15"/>
  <c r="L150" i="15" s="1"/>
  <c r="O150" i="15" s="1"/>
  <c r="H143" i="15"/>
  <c r="J133" i="15"/>
  <c r="L133" i="15" s="1"/>
  <c r="O133" i="15" s="1"/>
  <c r="J127" i="15"/>
  <c r="L127" i="15" s="1"/>
  <c r="O127" i="15" s="1"/>
  <c r="J120" i="15"/>
  <c r="L120" i="15" s="1"/>
  <c r="O120" i="15" s="1"/>
  <c r="J114" i="15"/>
  <c r="L114" i="15" s="1"/>
  <c r="O114" i="15" s="1"/>
  <c r="H108" i="15"/>
  <c r="H102" i="15"/>
  <c r="J95" i="15"/>
  <c r="L95" i="15" s="1"/>
  <c r="O95" i="15" s="1"/>
  <c r="H88" i="15"/>
  <c r="H82" i="15"/>
  <c r="H76" i="15"/>
  <c r="H68" i="15"/>
  <c r="J61" i="15"/>
  <c r="L61" i="15" s="1"/>
  <c r="O61" i="15" s="1"/>
  <c r="J56" i="15"/>
  <c r="L56" i="15" s="1"/>
  <c r="O56" i="15" s="1"/>
  <c r="J50" i="15"/>
  <c r="L50" i="15" s="1"/>
  <c r="O50" i="15" s="1"/>
  <c r="J44" i="15"/>
  <c r="L44" i="15" s="1"/>
  <c r="O44" i="15" s="1"/>
  <c r="H40" i="15"/>
  <c r="H33" i="15"/>
  <c r="H28" i="15"/>
  <c r="H23" i="15"/>
  <c r="H16" i="15"/>
  <c r="H11" i="15"/>
  <c r="H6" i="15"/>
  <c r="H55" i="15"/>
  <c r="H50" i="15"/>
  <c r="H44" i="15"/>
  <c r="J38" i="15"/>
  <c r="L38" i="15" s="1"/>
  <c r="O38" i="15" s="1"/>
  <c r="J32" i="15"/>
  <c r="L32" i="15" s="1"/>
  <c r="O32" i="15" s="1"/>
  <c r="J27" i="15"/>
  <c r="L27" i="15" s="1"/>
  <c r="O27" i="15" s="1"/>
  <c r="J21" i="15"/>
  <c r="L21" i="15" s="1"/>
  <c r="O21" i="15" s="1"/>
  <c r="J15" i="15"/>
  <c r="L15" i="15" s="1"/>
  <c r="O15" i="15" s="1"/>
  <c r="J10" i="15"/>
  <c r="L10" i="15" s="1"/>
  <c r="O10" i="15" s="1"/>
  <c r="J84" i="15"/>
  <c r="L84" i="15" s="1"/>
  <c r="O84" i="15" s="1"/>
  <c r="J65" i="15"/>
  <c r="L65" i="15" s="1"/>
  <c r="O65" i="15" s="1"/>
  <c r="H42" i="15"/>
  <c r="H25" i="15"/>
  <c r="H226" i="15"/>
  <c r="H186" i="15"/>
  <c r="H154" i="15"/>
  <c r="H123" i="15"/>
  <c r="H97" i="15"/>
  <c r="H58" i="15"/>
  <c r="J41" i="15"/>
  <c r="L41" i="15" s="1"/>
  <c r="O41" i="15" s="1"/>
  <c r="J12" i="15"/>
  <c r="L12" i="15" s="1"/>
  <c r="O12" i="15" s="1"/>
  <c r="H225" i="15"/>
  <c r="H195" i="15"/>
  <c r="H162" i="15"/>
  <c r="H134" i="15"/>
  <c r="J122" i="15"/>
  <c r="L122" i="15" s="1"/>
  <c r="O122" i="15" s="1"/>
  <c r="J89" i="15"/>
  <c r="L89" i="15" s="1"/>
  <c r="O89" i="15" s="1"/>
  <c r="H70" i="15"/>
  <c r="J57" i="15"/>
  <c r="L57" i="15" s="1"/>
  <c r="O57" i="15" s="1"/>
  <c r="H41" i="15"/>
  <c r="H24" i="15"/>
  <c r="J102" i="15"/>
  <c r="L102" i="15" s="1"/>
  <c r="O102" i="15" s="1"/>
  <c r="H69" i="15"/>
  <c r="H45" i="15"/>
  <c r="J23" i="15"/>
  <c r="L23" i="15" s="1"/>
  <c r="O23" i="15" s="1"/>
  <c r="H212" i="15"/>
  <c r="H202" i="15"/>
  <c r="H191" i="15"/>
  <c r="H183" i="15"/>
  <c r="J175" i="15"/>
  <c r="L175" i="15" s="1"/>
  <c r="O175" i="15" s="1"/>
  <c r="H158" i="15"/>
  <c r="H142" i="15"/>
  <c r="H127" i="15"/>
  <c r="H120" i="15"/>
  <c r="J113" i="15"/>
  <c r="L113" i="15" s="1"/>
  <c r="O113" i="15" s="1"/>
  <c r="J106" i="15"/>
  <c r="L106" i="15" s="1"/>
  <c r="O106" i="15" s="1"/>
  <c r="J94" i="15"/>
  <c r="L94" i="15" s="1"/>
  <c r="O94" i="15" s="1"/>
  <c r="J87" i="15"/>
  <c r="L87" i="15" s="1"/>
  <c r="O87" i="15" s="1"/>
  <c r="J67" i="15"/>
  <c r="L67" i="15" s="1"/>
  <c r="O67" i="15" s="1"/>
  <c r="H61" i="15"/>
  <c r="J151" i="15"/>
  <c r="L151" i="15" s="1"/>
  <c r="O151" i="15" s="1"/>
  <c r="J88" i="15"/>
  <c r="L88" i="15" s="1"/>
  <c r="O88" i="15" s="1"/>
  <c r="H51" i="15"/>
  <c r="J28" i="15"/>
  <c r="L28" i="15" s="1"/>
  <c r="O28" i="15" s="1"/>
  <c r="J6" i="15"/>
  <c r="L6" i="15" s="1"/>
  <c r="H240" i="15"/>
  <c r="H230" i="15"/>
  <c r="H220" i="15"/>
  <c r="H211" i="15"/>
  <c r="J200" i="15"/>
  <c r="L200" i="15" s="1"/>
  <c r="O200" i="15" s="1"/>
  <c r="H190" i="15"/>
  <c r="H182" i="15"/>
  <c r="J174" i="15"/>
  <c r="L174" i="15" s="1"/>
  <c r="O174" i="15" s="1"/>
  <c r="H167" i="15"/>
  <c r="J157" i="15"/>
  <c r="L157" i="15" s="1"/>
  <c r="O157" i="15" s="1"/>
  <c r="H148" i="15"/>
  <c r="H140" i="15"/>
  <c r="J131" i="15"/>
  <c r="L131" i="15" s="1"/>
  <c r="O131" i="15" s="1"/>
  <c r="J119" i="15"/>
  <c r="L119" i="15" s="1"/>
  <c r="O119" i="15" s="1"/>
  <c r="H112" i="15"/>
  <c r="H106" i="15"/>
  <c r="H92" i="15"/>
  <c r="H87" i="15"/>
  <c r="J80" i="15"/>
  <c r="L80" i="15" s="1"/>
  <c r="O80" i="15" s="1"/>
  <c r="H73" i="15"/>
  <c r="H67" i="15"/>
  <c r="J60" i="15"/>
  <c r="L60" i="15" s="1"/>
  <c r="O60" i="15" s="1"/>
  <c r="J54" i="15"/>
  <c r="L54" i="15" s="1"/>
  <c r="O54" i="15" s="1"/>
  <c r="J49" i="15"/>
  <c r="L49" i="15" s="1"/>
  <c r="O49" i="15" s="1"/>
  <c r="J43" i="15"/>
  <c r="L43" i="15" s="1"/>
  <c r="O43" i="15" s="1"/>
  <c r="H38" i="15"/>
  <c r="H32" i="15"/>
  <c r="H27" i="15"/>
  <c r="H21" i="15"/>
  <c r="H15" i="15"/>
  <c r="H10" i="15"/>
  <c r="H86" i="15"/>
  <c r="J71" i="15"/>
  <c r="L71" i="15" s="1"/>
  <c r="O71" i="15" s="1"/>
  <c r="H59" i="15"/>
  <c r="H49" i="15"/>
  <c r="J37" i="15"/>
  <c r="L37" i="15" s="1"/>
  <c r="O37" i="15" s="1"/>
  <c r="J25" i="15"/>
  <c r="L25" i="15" s="1"/>
  <c r="O25" i="15" s="1"/>
  <c r="J14" i="15"/>
  <c r="L14" i="15" s="1"/>
  <c r="O14" i="15" s="1"/>
  <c r="H118" i="15"/>
  <c r="J98" i="15"/>
  <c r="L98" i="15" s="1"/>
  <c r="O98" i="15" s="1"/>
  <c r="J79" i="15"/>
  <c r="L79" i="15" s="1"/>
  <c r="O79" i="15" s="1"/>
  <c r="J58" i="15"/>
  <c r="L58" i="15" s="1"/>
  <c r="O58" i="15" s="1"/>
  <c r="H37" i="15"/>
  <c r="H14" i="15"/>
  <c r="H235" i="15"/>
  <c r="H197" i="15"/>
  <c r="J162" i="15"/>
  <c r="L162" i="15" s="1"/>
  <c r="O162" i="15" s="1"/>
  <c r="J129" i="15"/>
  <c r="L129" i="15" s="1"/>
  <c r="O129" i="15" s="1"/>
  <c r="H84" i="15"/>
  <c r="H63" i="15"/>
  <c r="J35" i="15"/>
  <c r="L35" i="15" s="1"/>
  <c r="O35" i="15" s="1"/>
  <c r="J19" i="15"/>
  <c r="L19" i="15" s="1"/>
  <c r="O19" i="15" s="1"/>
  <c r="H234" i="15"/>
  <c r="H206" i="15"/>
  <c r="H170" i="15"/>
  <c r="H115" i="15"/>
  <c r="J96" i="15"/>
  <c r="L96" i="15" s="1"/>
  <c r="O96" i="15" s="1"/>
  <c r="H77" i="15"/>
  <c r="J52" i="15"/>
  <c r="L52" i="15" s="1"/>
  <c r="O52" i="15" s="1"/>
  <c r="H35" i="15"/>
  <c r="H19" i="15"/>
  <c r="H233" i="15"/>
  <c r="J214" i="15"/>
  <c r="L214" i="15" s="1"/>
  <c r="O214" i="15" s="1"/>
  <c r="H176" i="15"/>
  <c r="J108" i="15"/>
  <c r="L108" i="15" s="1"/>
  <c r="O108" i="15" s="1"/>
  <c r="J76" i="15"/>
  <c r="L76" i="15" s="1"/>
  <c r="O76" i="15" s="1"/>
  <c r="H57" i="15"/>
  <c r="J40" i="15"/>
  <c r="L40" i="15" s="1"/>
  <c r="O40" i="15" s="1"/>
  <c r="J16" i="15"/>
  <c r="L16" i="15" s="1"/>
  <c r="O16" i="15" s="1"/>
  <c r="H229" i="15"/>
  <c r="J218" i="15"/>
  <c r="L218" i="15" s="1"/>
  <c r="O218" i="15" s="1"/>
  <c r="H209" i="15"/>
  <c r="J199" i="15"/>
  <c r="L199" i="15" s="1"/>
  <c r="O199" i="15" s="1"/>
  <c r="H188" i="15"/>
  <c r="J180" i="15"/>
  <c r="L180" i="15" s="1"/>
  <c r="O180" i="15" s="1"/>
  <c r="H173" i="15"/>
  <c r="H157" i="15"/>
  <c r="J147" i="15"/>
  <c r="L147" i="15" s="1"/>
  <c r="O147" i="15" s="1"/>
  <c r="J139" i="15"/>
  <c r="L139" i="15" s="1"/>
  <c r="O139" i="15" s="1"/>
  <c r="H131" i="15"/>
  <c r="H124" i="15"/>
  <c r="H119" i="15"/>
  <c r="J111" i="15"/>
  <c r="L111" i="15" s="1"/>
  <c r="O111" i="15" s="1"/>
  <c r="J91" i="15"/>
  <c r="L91" i="15" s="1"/>
  <c r="O91" i="15" s="1"/>
  <c r="H80" i="15"/>
  <c r="J66" i="15"/>
  <c r="L66" i="15" s="1"/>
  <c r="O66" i="15" s="1"/>
  <c r="H54" i="15"/>
  <c r="J42" i="15"/>
  <c r="L42" i="15" s="1"/>
  <c r="O42" i="15" s="1"/>
  <c r="J31" i="15"/>
  <c r="L31" i="15" s="1"/>
  <c r="O31" i="15" s="1"/>
  <c r="J20" i="15"/>
  <c r="L20" i="15" s="1"/>
  <c r="O20" i="15" s="1"/>
  <c r="J8" i="15"/>
  <c r="L8" i="15" s="1"/>
  <c r="O8" i="15" s="1"/>
  <c r="J53" i="15"/>
  <c r="L53" i="15" s="1"/>
  <c r="O53" i="15" s="1"/>
  <c r="H20" i="15"/>
  <c r="H172" i="15"/>
  <c r="H138" i="15"/>
  <c r="J90" i="15"/>
  <c r="L90" i="15" s="1"/>
  <c r="O90" i="15" s="1"/>
  <c r="J70" i="15"/>
  <c r="L70" i="15" s="1"/>
  <c r="O70" i="15" s="1"/>
  <c r="H47" i="15"/>
  <c r="J24" i="15"/>
  <c r="L24" i="15" s="1"/>
  <c r="O24" i="15" s="1"/>
  <c r="H215" i="15"/>
  <c r="J185" i="15"/>
  <c r="L185" i="15" s="1"/>
  <c r="O185" i="15" s="1"/>
  <c r="H144" i="15"/>
  <c r="H128" i="15"/>
  <c r="H110" i="15"/>
  <c r="J83" i="15"/>
  <c r="L83" i="15" s="1"/>
  <c r="O83" i="15" s="1"/>
  <c r="J62" i="15"/>
  <c r="L62" i="15" s="1"/>
  <c r="O62" i="15" s="1"/>
  <c r="H29" i="15"/>
  <c r="H12" i="15"/>
  <c r="J203" i="15"/>
  <c r="L203" i="15" s="1"/>
  <c r="O203" i="15" s="1"/>
  <c r="J143" i="15"/>
  <c r="L143" i="15" s="1"/>
  <c r="O143" i="15" s="1"/>
  <c r="H96" i="15"/>
  <c r="H62" i="15"/>
  <c r="J33" i="15"/>
  <c r="L33" i="15" s="1"/>
  <c r="O33" i="15" s="1"/>
  <c r="J11" i="15"/>
  <c r="L11" i="15" s="1"/>
  <c r="O11" i="15" s="1"/>
  <c r="H228" i="15"/>
  <c r="J217" i="15"/>
  <c r="L217" i="15" s="1"/>
  <c r="O217" i="15" s="1"/>
  <c r="J207" i="15"/>
  <c r="L207" i="15" s="1"/>
  <c r="O207" i="15" s="1"/>
  <c r="J186" i="15"/>
  <c r="L186" i="15" s="1"/>
  <c r="O186" i="15" s="1"/>
  <c r="H180" i="15"/>
  <c r="J172" i="15"/>
  <c r="L172" i="15" s="1"/>
  <c r="O172" i="15" s="1"/>
  <c r="H156" i="15"/>
  <c r="H147" i="15"/>
  <c r="H139" i="15"/>
  <c r="J130" i="15"/>
  <c r="L130" i="15" s="1"/>
  <c r="O130" i="15" s="1"/>
  <c r="J123" i="15"/>
  <c r="L123" i="15" s="1"/>
  <c r="O123" i="15" s="1"/>
  <c r="H111" i="15"/>
  <c r="H91" i="15"/>
  <c r="H71" i="15"/>
  <c r="J48" i="15"/>
  <c r="L48" i="15" s="1"/>
  <c r="O48" i="15" s="1"/>
  <c r="H31" i="15"/>
  <c r="H8" i="15"/>
  <c r="J178" i="15"/>
  <c r="L178" i="15" s="1"/>
  <c r="O178" i="15" s="1"/>
  <c r="H146" i="15"/>
  <c r="J115" i="15"/>
  <c r="L115" i="15" s="1"/>
  <c r="O115" i="15" s="1"/>
  <c r="J78" i="15"/>
  <c r="L78" i="15" s="1"/>
  <c r="O78" i="15" s="1"/>
  <c r="H53" i="15"/>
  <c r="J29" i="15"/>
  <c r="L29" i="15" s="1"/>
  <c r="O29" i="15" s="1"/>
  <c r="J7" i="15"/>
  <c r="L7" i="15" s="1"/>
  <c r="O7" i="15" s="1"/>
  <c r="J45" i="15"/>
  <c r="L45" i="15" s="1"/>
  <c r="O45" i="15" s="1"/>
  <c r="H7" i="15"/>
  <c r="H224" i="15"/>
  <c r="H194" i="15"/>
  <c r="J168" i="15"/>
  <c r="L168" i="15" s="1"/>
  <c r="O168" i="15" s="1"/>
  <c r="J121" i="15"/>
  <c r="L121" i="15" s="1"/>
  <c r="O121" i="15" s="1"/>
  <c r="H83" i="15"/>
  <c r="J7" i="14"/>
  <c r="L7" i="14" s="1"/>
  <c r="O7" i="14" s="1"/>
  <c r="J16" i="14"/>
  <c r="L16" i="14" s="1"/>
  <c r="O16" i="14" s="1"/>
  <c r="J24" i="14"/>
  <c r="L24" i="14" s="1"/>
  <c r="O24" i="14" s="1"/>
  <c r="J32" i="14"/>
  <c r="L32" i="14" s="1"/>
  <c r="O32" i="14" s="1"/>
  <c r="J41" i="14"/>
  <c r="L41" i="14" s="1"/>
  <c r="O41" i="14" s="1"/>
  <c r="J50" i="14"/>
  <c r="L50" i="14" s="1"/>
  <c r="O50" i="14" s="1"/>
  <c r="J58" i="14"/>
  <c r="L58" i="14" s="1"/>
  <c r="O58" i="14" s="1"/>
  <c r="J67" i="14"/>
  <c r="L67" i="14" s="1"/>
  <c r="O67" i="14" s="1"/>
  <c r="J75" i="14"/>
  <c r="L75" i="14" s="1"/>
  <c r="O75" i="14" s="1"/>
  <c r="J84" i="14"/>
  <c r="L84" i="14" s="1"/>
  <c r="O84" i="14" s="1"/>
  <c r="J93" i="14"/>
  <c r="L93" i="14" s="1"/>
  <c r="O93" i="14" s="1"/>
  <c r="J102" i="14"/>
  <c r="L102" i="14" s="1"/>
  <c r="O102" i="14" s="1"/>
  <c r="J110" i="14"/>
  <c r="L110" i="14" s="1"/>
  <c r="O110" i="14" s="1"/>
  <c r="J118" i="14"/>
  <c r="L118" i="14" s="1"/>
  <c r="O118" i="14" s="1"/>
  <c r="H13" i="14"/>
  <c r="H22" i="14"/>
  <c r="H30" i="14"/>
  <c r="H39" i="14"/>
  <c r="H48" i="14"/>
  <c r="H56" i="14"/>
  <c r="H65" i="14"/>
  <c r="H73" i="14"/>
  <c r="H82" i="14"/>
  <c r="H91" i="14"/>
  <c r="H99" i="14"/>
  <c r="H108" i="14"/>
  <c r="H116" i="14"/>
  <c r="J11" i="14"/>
  <c r="L11" i="14" s="1"/>
  <c r="O11" i="14" s="1"/>
  <c r="J45" i="14"/>
  <c r="L45" i="14" s="1"/>
  <c r="O45" i="14" s="1"/>
  <c r="J79" i="14"/>
  <c r="L79" i="14" s="1"/>
  <c r="O79" i="14" s="1"/>
  <c r="J114" i="14"/>
  <c r="L114" i="14" s="1"/>
  <c r="O114" i="14" s="1"/>
  <c r="H34" i="14"/>
  <c r="H69" i="14"/>
  <c r="H104" i="14"/>
  <c r="J12" i="14"/>
  <c r="L12" i="14" s="1"/>
  <c r="O12" i="14" s="1"/>
  <c r="J29" i="14"/>
  <c r="L29" i="14" s="1"/>
  <c r="O29" i="14" s="1"/>
  <c r="J55" i="14"/>
  <c r="L55" i="14" s="1"/>
  <c r="O55" i="14" s="1"/>
  <c r="J90" i="14"/>
  <c r="L90" i="14" s="1"/>
  <c r="O90" i="14" s="1"/>
  <c r="J115" i="14"/>
  <c r="L115" i="14" s="1"/>
  <c r="O115" i="14" s="1"/>
  <c r="H35" i="14"/>
  <c r="H70" i="14"/>
  <c r="H105" i="14"/>
  <c r="J8" i="14"/>
  <c r="L8" i="14" s="1"/>
  <c r="O8" i="14" s="1"/>
  <c r="J17" i="14"/>
  <c r="L17" i="14" s="1"/>
  <c r="O17" i="14" s="1"/>
  <c r="J25" i="14"/>
  <c r="L25" i="14" s="1"/>
  <c r="O25" i="14" s="1"/>
  <c r="J33" i="14"/>
  <c r="L33" i="14" s="1"/>
  <c r="O33" i="14" s="1"/>
  <c r="J42" i="14"/>
  <c r="L42" i="14" s="1"/>
  <c r="O42" i="14" s="1"/>
  <c r="J51" i="14"/>
  <c r="L51" i="14" s="1"/>
  <c r="O51" i="14" s="1"/>
  <c r="J59" i="14"/>
  <c r="L59" i="14" s="1"/>
  <c r="O59" i="14" s="1"/>
  <c r="J68" i="14"/>
  <c r="L68" i="14" s="1"/>
  <c r="O68" i="14" s="1"/>
  <c r="J76" i="14"/>
  <c r="L76" i="14" s="1"/>
  <c r="O76" i="14" s="1"/>
  <c r="J85" i="14"/>
  <c r="L85" i="14" s="1"/>
  <c r="O85" i="14" s="1"/>
  <c r="J94" i="14"/>
  <c r="L94" i="14" s="1"/>
  <c r="O94" i="14" s="1"/>
  <c r="J103" i="14"/>
  <c r="L103" i="14" s="1"/>
  <c r="O103" i="14" s="1"/>
  <c r="J111" i="14"/>
  <c r="L111" i="14" s="1"/>
  <c r="O111" i="14" s="1"/>
  <c r="H6" i="14"/>
  <c r="H14" i="14"/>
  <c r="H23" i="14"/>
  <c r="H31" i="14"/>
  <c r="H40" i="14"/>
  <c r="H49" i="14"/>
  <c r="H57" i="14"/>
  <c r="H66" i="14"/>
  <c r="H74" i="14"/>
  <c r="H83" i="14"/>
  <c r="H92" i="14"/>
  <c r="H100" i="14"/>
  <c r="H109" i="14"/>
  <c r="H117" i="14"/>
  <c r="J20" i="14"/>
  <c r="L20" i="14" s="1"/>
  <c r="O20" i="14" s="1"/>
  <c r="J54" i="14"/>
  <c r="L54" i="14" s="1"/>
  <c r="O54" i="14" s="1"/>
  <c r="J88" i="14"/>
  <c r="L88" i="14" s="1"/>
  <c r="O88" i="14" s="1"/>
  <c r="H18" i="14"/>
  <c r="H52" i="14"/>
  <c r="H86" i="14"/>
  <c r="J64" i="14"/>
  <c r="L64" i="14" s="1"/>
  <c r="O64" i="14" s="1"/>
  <c r="J107" i="14"/>
  <c r="L107" i="14" s="1"/>
  <c r="O107" i="14" s="1"/>
  <c r="H27" i="14"/>
  <c r="H62" i="14"/>
  <c r="H96" i="14"/>
  <c r="J9" i="14"/>
  <c r="L9" i="14" s="1"/>
  <c r="O9" i="14" s="1"/>
  <c r="J18" i="14"/>
  <c r="L18" i="14" s="1"/>
  <c r="O18" i="14" s="1"/>
  <c r="J26" i="14"/>
  <c r="L26" i="14" s="1"/>
  <c r="O26" i="14" s="1"/>
  <c r="J34" i="14"/>
  <c r="L34" i="14" s="1"/>
  <c r="O34" i="14" s="1"/>
  <c r="J43" i="14"/>
  <c r="L43" i="14" s="1"/>
  <c r="O43" i="14" s="1"/>
  <c r="J52" i="14"/>
  <c r="L52" i="14" s="1"/>
  <c r="O52" i="14" s="1"/>
  <c r="J60" i="14"/>
  <c r="L60" i="14" s="1"/>
  <c r="O60" i="14" s="1"/>
  <c r="J69" i="14"/>
  <c r="L69" i="14" s="1"/>
  <c r="O69" i="14" s="1"/>
  <c r="J77" i="14"/>
  <c r="L77" i="14" s="1"/>
  <c r="O77" i="14" s="1"/>
  <c r="J86" i="14"/>
  <c r="L86" i="14" s="1"/>
  <c r="O86" i="14" s="1"/>
  <c r="J95" i="14"/>
  <c r="L95" i="14" s="1"/>
  <c r="O95" i="14" s="1"/>
  <c r="J104" i="14"/>
  <c r="L104" i="14" s="1"/>
  <c r="O104" i="14" s="1"/>
  <c r="J112" i="14"/>
  <c r="L112" i="14" s="1"/>
  <c r="O112" i="14" s="1"/>
  <c r="H7" i="14"/>
  <c r="H16" i="14"/>
  <c r="H24" i="14"/>
  <c r="H32" i="14"/>
  <c r="H41" i="14"/>
  <c r="H50" i="14"/>
  <c r="H58" i="14"/>
  <c r="H67" i="14"/>
  <c r="H75" i="14"/>
  <c r="H84" i="14"/>
  <c r="H93" i="14"/>
  <c r="H102" i="14"/>
  <c r="H110" i="14"/>
  <c r="H118" i="14"/>
  <c r="J28" i="14"/>
  <c r="L28" i="14" s="1"/>
  <c r="O28" i="14" s="1"/>
  <c r="J63" i="14"/>
  <c r="L63" i="14" s="1"/>
  <c r="O63" i="14" s="1"/>
  <c r="J106" i="14"/>
  <c r="L106" i="14" s="1"/>
  <c r="O106" i="14" s="1"/>
  <c r="H26" i="14"/>
  <c r="H60" i="14"/>
  <c r="H95" i="14"/>
  <c r="J37" i="14"/>
  <c r="L37" i="14" s="1"/>
  <c r="O37" i="14" s="1"/>
  <c r="J72" i="14"/>
  <c r="L72" i="14" s="1"/>
  <c r="O72" i="14" s="1"/>
  <c r="J98" i="14"/>
  <c r="L98" i="14" s="1"/>
  <c r="O98" i="14" s="1"/>
  <c r="H19" i="14"/>
  <c r="H53" i="14"/>
  <c r="H87" i="14"/>
  <c r="J10" i="14"/>
  <c r="L10" i="14" s="1"/>
  <c r="O10" i="14" s="1"/>
  <c r="J19" i="14"/>
  <c r="L19" i="14" s="1"/>
  <c r="O19" i="14" s="1"/>
  <c r="J27" i="14"/>
  <c r="L27" i="14" s="1"/>
  <c r="O27" i="14" s="1"/>
  <c r="J35" i="14"/>
  <c r="L35" i="14" s="1"/>
  <c r="O35" i="14" s="1"/>
  <c r="J44" i="14"/>
  <c r="L44" i="14" s="1"/>
  <c r="O44" i="14" s="1"/>
  <c r="J53" i="14"/>
  <c r="L53" i="14" s="1"/>
  <c r="O53" i="14" s="1"/>
  <c r="J62" i="14"/>
  <c r="L62" i="14" s="1"/>
  <c r="O62" i="14" s="1"/>
  <c r="J70" i="14"/>
  <c r="L70" i="14" s="1"/>
  <c r="O70" i="14" s="1"/>
  <c r="J78" i="14"/>
  <c r="L78" i="14" s="1"/>
  <c r="O78" i="14" s="1"/>
  <c r="J87" i="14"/>
  <c r="L87" i="14" s="1"/>
  <c r="O87" i="14" s="1"/>
  <c r="J96" i="14"/>
  <c r="L96" i="14" s="1"/>
  <c r="O96" i="14" s="1"/>
  <c r="J105" i="14"/>
  <c r="L105" i="14" s="1"/>
  <c r="O105" i="14" s="1"/>
  <c r="J113" i="14"/>
  <c r="L113" i="14" s="1"/>
  <c r="O113" i="14" s="1"/>
  <c r="H8" i="14"/>
  <c r="H17" i="14"/>
  <c r="H25" i="14"/>
  <c r="H33" i="14"/>
  <c r="H42" i="14"/>
  <c r="H51" i="14"/>
  <c r="H59" i="14"/>
  <c r="H68" i="14"/>
  <c r="H76" i="14"/>
  <c r="H85" i="14"/>
  <c r="H94" i="14"/>
  <c r="H103" i="14"/>
  <c r="H111" i="14"/>
  <c r="J36" i="14"/>
  <c r="L36" i="14" s="1"/>
  <c r="O36" i="14" s="1"/>
  <c r="J71" i="14"/>
  <c r="L71" i="14" s="1"/>
  <c r="O71" i="14" s="1"/>
  <c r="J97" i="14"/>
  <c r="L97" i="14" s="1"/>
  <c r="O97" i="14" s="1"/>
  <c r="H9" i="14"/>
  <c r="H43" i="14"/>
  <c r="H77" i="14"/>
  <c r="H112" i="14"/>
  <c r="J21" i="14"/>
  <c r="L21" i="14" s="1"/>
  <c r="O21" i="14" s="1"/>
  <c r="J46" i="14"/>
  <c r="L46" i="14" s="1"/>
  <c r="O46" i="14" s="1"/>
  <c r="J81" i="14"/>
  <c r="L81" i="14" s="1"/>
  <c r="O81" i="14" s="1"/>
  <c r="H10" i="14"/>
  <c r="H44" i="14"/>
  <c r="H78" i="14"/>
  <c r="H113" i="14"/>
  <c r="J13" i="14"/>
  <c r="L13" i="14" s="1"/>
  <c r="O13" i="14" s="1"/>
  <c r="J23" i="14"/>
  <c r="L23" i="14" s="1"/>
  <c r="O23" i="14" s="1"/>
  <c r="J57" i="14"/>
  <c r="L57" i="14" s="1"/>
  <c r="O57" i="14" s="1"/>
  <c r="J92" i="14"/>
  <c r="L92" i="14" s="1"/>
  <c r="O92" i="14" s="1"/>
  <c r="H12" i="14"/>
  <c r="H46" i="14"/>
  <c r="H81" i="14"/>
  <c r="H115" i="14"/>
  <c r="J31" i="14"/>
  <c r="L31" i="14" s="1"/>
  <c r="O31" i="14" s="1"/>
  <c r="J100" i="14"/>
  <c r="L100" i="14" s="1"/>
  <c r="O100" i="14" s="1"/>
  <c r="H55" i="14"/>
  <c r="J73" i="14"/>
  <c r="L73" i="14" s="1"/>
  <c r="O73" i="14" s="1"/>
  <c r="H28" i="14"/>
  <c r="H97" i="14"/>
  <c r="J83" i="14"/>
  <c r="L83" i="14" s="1"/>
  <c r="O83" i="14" s="1"/>
  <c r="H37" i="14"/>
  <c r="H107" i="14"/>
  <c r="J91" i="14"/>
  <c r="L91" i="14" s="1"/>
  <c r="O91" i="14" s="1"/>
  <c r="H11" i="14"/>
  <c r="J30" i="14"/>
  <c r="L30" i="14" s="1"/>
  <c r="O30" i="14" s="1"/>
  <c r="J65" i="14"/>
  <c r="L65" i="14" s="1"/>
  <c r="O65" i="14" s="1"/>
  <c r="J99" i="14"/>
  <c r="L99" i="14" s="1"/>
  <c r="O99" i="14" s="1"/>
  <c r="H20" i="14"/>
  <c r="H54" i="14"/>
  <c r="H88" i="14"/>
  <c r="J66" i="14"/>
  <c r="L66" i="14" s="1"/>
  <c r="O66" i="14" s="1"/>
  <c r="H21" i="14"/>
  <c r="H90" i="14"/>
  <c r="J39" i="14"/>
  <c r="L39" i="14" s="1"/>
  <c r="O39" i="14" s="1"/>
  <c r="J108" i="14"/>
  <c r="L108" i="14" s="1"/>
  <c r="O108" i="14" s="1"/>
  <c r="H63" i="14"/>
  <c r="J14" i="14"/>
  <c r="L14" i="14" s="1"/>
  <c r="O14" i="14" s="1"/>
  <c r="J117" i="14"/>
  <c r="L117" i="14" s="1"/>
  <c r="O117" i="14" s="1"/>
  <c r="J22" i="14"/>
  <c r="L22" i="14" s="1"/>
  <c r="O22" i="14" s="1"/>
  <c r="H45" i="14"/>
  <c r="J40" i="14"/>
  <c r="L40" i="14" s="1"/>
  <c r="O40" i="14" s="1"/>
  <c r="J74" i="14"/>
  <c r="L74" i="14" s="1"/>
  <c r="O74" i="14" s="1"/>
  <c r="J109" i="14"/>
  <c r="L109" i="14" s="1"/>
  <c r="O109" i="14" s="1"/>
  <c r="H29" i="14"/>
  <c r="H64" i="14"/>
  <c r="H98" i="14"/>
  <c r="J6" i="14"/>
  <c r="L6" i="14" s="1"/>
  <c r="J48" i="14"/>
  <c r="L48" i="14" s="1"/>
  <c r="O48" i="14" s="1"/>
  <c r="J82" i="14"/>
  <c r="L82" i="14" s="1"/>
  <c r="O82" i="14" s="1"/>
  <c r="J116" i="14"/>
  <c r="L116" i="14" s="1"/>
  <c r="O116" i="14" s="1"/>
  <c r="H36" i="14"/>
  <c r="H71" i="14"/>
  <c r="H106" i="14"/>
  <c r="J49" i="14"/>
  <c r="L49" i="14" s="1"/>
  <c r="O49" i="14" s="1"/>
  <c r="H72" i="14"/>
  <c r="J56" i="14"/>
  <c r="L56" i="14" s="1"/>
  <c r="O56" i="14" s="1"/>
  <c r="H79" i="14"/>
  <c r="H114" i="14"/>
  <c r="H88" i="6"/>
  <c r="J88" i="6"/>
  <c r="L88" i="6" s="1"/>
  <c r="O88" i="6" s="1"/>
  <c r="H77" i="6"/>
  <c r="J68" i="6"/>
  <c r="L68" i="6" s="1"/>
  <c r="O68" i="6" s="1"/>
  <c r="J63" i="6"/>
  <c r="L63" i="6" s="1"/>
  <c r="O63" i="6" s="1"/>
  <c r="H69" i="6"/>
  <c r="H71" i="6"/>
  <c r="J82" i="6"/>
  <c r="L82" i="6" s="1"/>
  <c r="O82" i="6" s="1"/>
  <c r="J76" i="6"/>
  <c r="L76" i="6" s="1"/>
  <c r="O76" i="6" s="1"/>
  <c r="J74" i="6"/>
  <c r="L74" i="6" s="1"/>
  <c r="O74" i="6" s="1"/>
  <c r="H68" i="6"/>
  <c r="H63" i="6"/>
  <c r="H57" i="6"/>
  <c r="J54" i="6"/>
  <c r="L54" i="6" s="1"/>
  <c r="O54" i="6" s="1"/>
  <c r="J71" i="6"/>
  <c r="L71" i="6" s="1"/>
  <c r="O71" i="6" s="1"/>
  <c r="J66" i="6"/>
  <c r="L66" i="6" s="1"/>
  <c r="O66" i="6" s="1"/>
  <c r="J70" i="6"/>
  <c r="L70" i="6" s="1"/>
  <c r="O70" i="6" s="1"/>
  <c r="H82" i="6"/>
  <c r="H76" i="6"/>
  <c r="H74" i="6"/>
  <c r="H54" i="6"/>
  <c r="H75" i="6"/>
  <c r="H66" i="6"/>
  <c r="J75" i="6"/>
  <c r="L75" i="6" s="1"/>
  <c r="O75" i="6" s="1"/>
  <c r="J72" i="6"/>
  <c r="L72" i="6" s="1"/>
  <c r="O72" i="6" s="1"/>
  <c r="H67" i="6"/>
  <c r="H72" i="6"/>
  <c r="H73" i="6"/>
  <c r="J58" i="6"/>
  <c r="L58" i="6" s="1"/>
  <c r="O58" i="6" s="1"/>
  <c r="O56" i="6" s="1"/>
  <c r="H70" i="6"/>
  <c r="J77" i="6"/>
  <c r="L77" i="6" s="1"/>
  <c r="O77" i="6" s="1"/>
  <c r="J73" i="6"/>
  <c r="L73" i="6" s="1"/>
  <c r="O73" i="6" s="1"/>
  <c r="H65" i="6"/>
  <c r="H58" i="6"/>
  <c r="J69" i="6"/>
  <c r="L69" i="6" s="1"/>
  <c r="O69" i="6" s="1"/>
  <c r="H51" i="6"/>
  <c r="H38" i="6"/>
  <c r="H30" i="6"/>
  <c r="H22" i="6"/>
  <c r="H14" i="6"/>
  <c r="J52" i="6"/>
  <c r="L52" i="6" s="1"/>
  <c r="O52" i="6" s="1"/>
  <c r="J47" i="6"/>
  <c r="L47" i="6" s="1"/>
  <c r="O47" i="6" s="1"/>
  <c r="J39" i="6"/>
  <c r="L39" i="6" s="1"/>
  <c r="O39" i="6" s="1"/>
  <c r="H50" i="6"/>
  <c r="H37" i="6"/>
  <c r="H29" i="6"/>
  <c r="H21" i="6"/>
  <c r="H13" i="6"/>
  <c r="J51" i="6"/>
  <c r="L51" i="6" s="1"/>
  <c r="O51" i="6" s="1"/>
  <c r="J46" i="6"/>
  <c r="L46" i="6" s="1"/>
  <c r="O46" i="6" s="1"/>
  <c r="J38" i="6"/>
  <c r="L38" i="6" s="1"/>
  <c r="O38" i="6" s="1"/>
  <c r="H25" i="6"/>
  <c r="H49" i="6"/>
  <c r="H36" i="6"/>
  <c r="H28" i="6"/>
  <c r="H20" i="6"/>
  <c r="H12" i="6"/>
  <c r="J45" i="6"/>
  <c r="L45" i="6" s="1"/>
  <c r="O45" i="6" s="1"/>
  <c r="J37" i="6"/>
  <c r="L37" i="6" s="1"/>
  <c r="O37" i="6" s="1"/>
  <c r="H48" i="6"/>
  <c r="H35" i="6"/>
  <c r="H27" i="6"/>
  <c r="H19" i="6"/>
  <c r="H11" i="6"/>
  <c r="J44" i="6"/>
  <c r="L44" i="6" s="1"/>
  <c r="O44" i="6" s="1"/>
  <c r="J36" i="6"/>
  <c r="L36" i="6" s="1"/>
  <c r="O36" i="6" s="1"/>
  <c r="J13" i="6"/>
  <c r="L13" i="6" s="1"/>
  <c r="O13" i="6" s="1"/>
  <c r="H47" i="6"/>
  <c r="H34" i="6"/>
  <c r="H26" i="6"/>
  <c r="H18" i="6"/>
  <c r="H10" i="6"/>
  <c r="J34" i="6"/>
  <c r="L34" i="6" s="1"/>
  <c r="O34" i="6" s="1"/>
  <c r="H46" i="6"/>
  <c r="H17" i="6"/>
  <c r="J50" i="6"/>
  <c r="L50" i="6" s="1"/>
  <c r="O50" i="6" s="1"/>
  <c r="H44" i="6"/>
  <c r="H45" i="6"/>
  <c r="H32" i="6"/>
  <c r="H24" i="6"/>
  <c r="H16" i="6"/>
  <c r="H8" i="6"/>
  <c r="J49" i="6"/>
  <c r="L49" i="6" s="1"/>
  <c r="O49" i="6" s="1"/>
  <c r="J29" i="6"/>
  <c r="L29" i="6" s="1"/>
  <c r="O29" i="6" s="1"/>
  <c r="H33" i="6"/>
  <c r="J33" i="6"/>
  <c r="L33" i="6" s="1"/>
  <c r="O33" i="6" s="1"/>
  <c r="H52" i="6"/>
  <c r="H39" i="6"/>
  <c r="H31" i="6"/>
  <c r="H23" i="6"/>
  <c r="H15" i="6"/>
  <c r="H7" i="6"/>
  <c r="J48" i="6"/>
  <c r="L48" i="6" s="1"/>
  <c r="O48" i="6" s="1"/>
  <c r="J35" i="6"/>
  <c r="L35" i="6" s="1"/>
  <c r="O35" i="6" s="1"/>
  <c r="H9" i="6"/>
  <c r="R5" i="12"/>
  <c r="Q3" i="12"/>
  <c r="Q4" i="12"/>
  <c r="J55" i="4"/>
  <c r="L56" i="4"/>
  <c r="J58" i="4"/>
  <c r="H60" i="4"/>
  <c r="F62" i="4"/>
  <c r="Q63" i="4"/>
  <c r="L55" i="4"/>
  <c r="N56" i="4"/>
  <c r="Q57" i="4"/>
  <c r="F59" i="4"/>
  <c r="J60" i="4"/>
  <c r="M61" i="4"/>
  <c r="P62" i="4"/>
  <c r="O57" i="4"/>
  <c r="L59" i="4"/>
  <c r="K61" i="4"/>
  <c r="I63" i="4"/>
  <c r="F65" i="4"/>
  <c r="I66" i="4"/>
  <c r="Q70" i="13"/>
  <c r="P70" i="13"/>
  <c r="H70" i="13"/>
  <c r="M69" i="13"/>
  <c r="J68" i="13"/>
  <c r="P67" i="13"/>
  <c r="H67" i="13"/>
  <c r="M66" i="13"/>
  <c r="K64" i="13"/>
  <c r="P63" i="13"/>
  <c r="H63" i="13"/>
  <c r="N62" i="13"/>
  <c r="F62" i="13"/>
  <c r="L61" i="13"/>
  <c r="Q60" i="13"/>
  <c r="I60" i="13"/>
  <c r="O59" i="13"/>
  <c r="G59" i="13"/>
  <c r="M58" i="13"/>
  <c r="J57" i="13"/>
  <c r="G70" i="13"/>
  <c r="L69" i="13"/>
  <c r="Q68" i="13"/>
  <c r="I68" i="13"/>
  <c r="O67" i="13"/>
  <c r="G67" i="13"/>
  <c r="L66" i="13"/>
  <c r="J64" i="13"/>
  <c r="O63" i="13"/>
  <c r="G63" i="13"/>
  <c r="M62" i="13"/>
  <c r="K61" i="13"/>
  <c r="P60" i="13"/>
  <c r="H60" i="13"/>
  <c r="N59" i="13"/>
  <c r="F59" i="13"/>
  <c r="L58" i="13"/>
  <c r="Q57" i="13"/>
  <c r="I57" i="13"/>
  <c r="J66" i="13"/>
  <c r="H64" i="13"/>
  <c r="Q61" i="13"/>
  <c r="N60" i="13"/>
  <c r="L59" i="13"/>
  <c r="J58" i="13"/>
  <c r="O57" i="13"/>
  <c r="G57" i="13"/>
  <c r="L70" i="13"/>
  <c r="G64" i="13"/>
  <c r="H61" i="13"/>
  <c r="K59" i="13"/>
  <c r="I58" i="13"/>
  <c r="O70" i="13"/>
  <c r="N70" i="13"/>
  <c r="F70" i="13"/>
  <c r="K69" i="13"/>
  <c r="P68" i="13"/>
  <c r="H68" i="13"/>
  <c r="N67" i="13"/>
  <c r="F67" i="13"/>
  <c r="K66" i="13"/>
  <c r="Q64" i="13"/>
  <c r="I64" i="13"/>
  <c r="N63" i="13"/>
  <c r="F63" i="13"/>
  <c r="L62" i="13"/>
  <c r="J61" i="13"/>
  <c r="O60" i="13"/>
  <c r="G60" i="13"/>
  <c r="M59" i="13"/>
  <c r="K58" i="13"/>
  <c r="P57" i="13"/>
  <c r="H57" i="13"/>
  <c r="M70" i="13"/>
  <c r="J69" i="13"/>
  <c r="O68" i="13"/>
  <c r="G68" i="13"/>
  <c r="M67" i="13"/>
  <c r="P64" i="13"/>
  <c r="M63" i="13"/>
  <c r="K62" i="13"/>
  <c r="I61" i="13"/>
  <c r="F60" i="13"/>
  <c r="Q69" i="13"/>
  <c r="L67" i="13"/>
  <c r="O64" i="13"/>
  <c r="J62" i="13"/>
  <c r="M60" i="13"/>
  <c r="Q58" i="13"/>
  <c r="F57" i="13"/>
  <c r="K70" i="13"/>
  <c r="P69" i="13"/>
  <c r="H69" i="13"/>
  <c r="M68" i="13"/>
  <c r="K67" i="13"/>
  <c r="P66" i="13"/>
  <c r="H66" i="13"/>
  <c r="N64" i="13"/>
  <c r="F64" i="13"/>
  <c r="K63" i="13"/>
  <c r="Q62" i="13"/>
  <c r="I62" i="13"/>
  <c r="O61" i="13"/>
  <c r="G61" i="13"/>
  <c r="L60" i="13"/>
  <c r="J59" i="13"/>
  <c r="P58" i="13"/>
  <c r="H58" i="13"/>
  <c r="M57" i="13"/>
  <c r="O58" i="13"/>
  <c r="G58" i="13"/>
  <c r="N69" i="13"/>
  <c r="K68" i="13"/>
  <c r="I67" i="13"/>
  <c r="F66" i="13"/>
  <c r="Q63" i="13"/>
  <c r="O62" i="13"/>
  <c r="M61" i="13"/>
  <c r="J60" i="13"/>
  <c r="H59" i="13"/>
  <c r="F58" i="13"/>
  <c r="N68" i="13"/>
  <c r="Q66" i="13"/>
  <c r="L63" i="13"/>
  <c r="P61" i="13"/>
  <c r="N57" i="13"/>
  <c r="J70" i="13"/>
  <c r="O69" i="13"/>
  <c r="G69" i="13"/>
  <c r="L68" i="13"/>
  <c r="J67" i="13"/>
  <c r="O66" i="13"/>
  <c r="G66" i="13"/>
  <c r="M64" i="13"/>
  <c r="J63" i="13"/>
  <c r="P62" i="13"/>
  <c r="H62" i="13"/>
  <c r="N61" i="13"/>
  <c r="F61" i="13"/>
  <c r="K60" i="13"/>
  <c r="Q59" i="13"/>
  <c r="I59" i="13"/>
  <c r="L57" i="13"/>
  <c r="I70" i="13"/>
  <c r="F69" i="13"/>
  <c r="Q67" i="13"/>
  <c r="N66" i="13"/>
  <c r="L64" i="13"/>
  <c r="I63" i="13"/>
  <c r="G62" i="13"/>
  <c r="P59" i="13"/>
  <c r="N58" i="13"/>
  <c r="K57" i="13"/>
  <c r="I69" i="13"/>
  <c r="F68" i="13"/>
  <c r="I66" i="13"/>
  <c r="F56" i="4"/>
  <c r="I57" i="4"/>
  <c r="L58" i="4"/>
  <c r="N59" i="4"/>
  <c r="H62" i="4"/>
  <c r="K63" i="4"/>
  <c r="M64" i="4"/>
  <c r="P65" i="4"/>
  <c r="K66" i="4"/>
  <c r="M67" i="4"/>
  <c r="M55" i="4"/>
  <c r="G56" i="4"/>
  <c r="O56" i="4"/>
  <c r="J57" i="4"/>
  <c r="M58" i="4"/>
  <c r="G59" i="4"/>
  <c r="O59" i="4"/>
  <c r="K60" i="4"/>
  <c r="F61" i="4"/>
  <c r="N61" i="4"/>
  <c r="I62" i="4"/>
  <c r="Q62" i="4"/>
  <c r="L63" i="4"/>
  <c r="F64" i="4"/>
  <c r="N64" i="4"/>
  <c r="I65" i="4"/>
  <c r="Q65" i="4"/>
  <c r="L66" i="4"/>
  <c r="F67" i="4"/>
  <c r="N67" i="4"/>
  <c r="D8" i="7"/>
  <c r="E8" i="7" s="1"/>
  <c r="D7" i="7"/>
  <c r="E7" i="7" s="1"/>
  <c r="D6" i="7"/>
  <c r="E6" i="7" s="1"/>
  <c r="F74" i="8"/>
  <c r="E74" i="8"/>
  <c r="G74" i="8" s="1"/>
  <c r="I74" i="8" s="1"/>
  <c r="C74" i="8"/>
  <c r="D75" i="8"/>
  <c r="H97" i="6"/>
  <c r="J95" i="6"/>
  <c r="L95" i="6" s="1"/>
  <c r="O95" i="6" s="1"/>
  <c r="H94" i="6"/>
  <c r="J96" i="6"/>
  <c r="L96" i="6" s="1"/>
  <c r="O96" i="6" s="1"/>
  <c r="J94" i="6"/>
  <c r="L94" i="6" s="1"/>
  <c r="O94" i="6" s="1"/>
  <c r="J97" i="6"/>
  <c r="L97" i="6" s="1"/>
  <c r="O97" i="6" s="1"/>
  <c r="H92" i="6"/>
  <c r="H96" i="6"/>
  <c r="H95" i="6"/>
  <c r="J98" i="6"/>
  <c r="L98" i="6" s="1"/>
  <c r="O98" i="6" s="1"/>
  <c r="H98" i="6"/>
  <c r="B9" i="6"/>
  <c r="J11" i="6"/>
  <c r="J9" i="6"/>
  <c r="J10" i="6"/>
  <c r="H6" i="6"/>
  <c r="J15" i="6"/>
  <c r="J7" i="6"/>
  <c r="J14" i="6"/>
  <c r="J12" i="6"/>
  <c r="J6" i="6"/>
  <c r="J32" i="6"/>
  <c r="J28" i="6"/>
  <c r="J25" i="6"/>
  <c r="J18" i="6"/>
  <c r="J31" i="6"/>
  <c r="J27" i="6"/>
  <c r="J24" i="6"/>
  <c r="J17" i="6"/>
  <c r="O40" i="6"/>
  <c r="J30" i="6"/>
  <c r="J26" i="6"/>
  <c r="J21" i="6"/>
  <c r="J16" i="6"/>
  <c r="J23" i="6"/>
  <c r="J22" i="6"/>
  <c r="J20" i="6"/>
  <c r="J19" i="6"/>
  <c r="D36" i="3"/>
  <c r="C28" i="3"/>
  <c r="D14" i="3"/>
  <c r="C15" i="3"/>
  <c r="C30" i="3"/>
  <c r="D38" i="3"/>
  <c r="C23" i="3"/>
  <c r="D39" i="3"/>
  <c r="D31" i="3"/>
  <c r="D43" i="3"/>
  <c r="D42" i="3"/>
  <c r="D41" i="3"/>
  <c r="D40" i="3"/>
  <c r="D13" i="3"/>
  <c r="C13" i="3"/>
  <c r="D9" i="3"/>
  <c r="D16" i="3"/>
  <c r="D29" i="3"/>
  <c r="D25" i="3"/>
  <c r="D15" i="3"/>
  <c r="C43" i="3"/>
  <c r="C42" i="3"/>
  <c r="C41" i="3"/>
  <c r="D12" i="3"/>
  <c r="C18" i="3"/>
  <c r="C9" i="3"/>
  <c r="D26" i="3"/>
  <c r="D19" i="3"/>
  <c r="D11" i="3"/>
  <c r="C17" i="3"/>
  <c r="D8" i="3"/>
  <c r="D28" i="3"/>
  <c r="D24" i="3"/>
  <c r="C16" i="3"/>
  <c r="C19" i="3"/>
  <c r="D18" i="3"/>
  <c r="C11" i="3"/>
  <c r="D10" i="3"/>
  <c r="D17" i="3"/>
  <c r="C10" i="3"/>
  <c r="D30" i="3"/>
  <c r="D27" i="3"/>
  <c r="D23" i="3"/>
  <c r="C8" i="3"/>
  <c r="C29" i="3"/>
  <c r="D37" i="3"/>
  <c r="C31" i="3"/>
  <c r="C25" i="3"/>
  <c r="C26" i="3"/>
  <c r="C27" i="3"/>
  <c r="D35" i="3"/>
  <c r="C12" i="3"/>
  <c r="C40" i="3"/>
  <c r="C24" i="3"/>
  <c r="C14" i="3"/>
  <c r="C35" i="3"/>
  <c r="C36" i="3"/>
  <c r="C37" i="3"/>
  <c r="C38" i="3"/>
  <c r="C39" i="3"/>
  <c r="M72" i="13" l="1"/>
  <c r="D6" i="8"/>
  <c r="X6" i="8" s="1"/>
  <c r="D9" i="8"/>
  <c r="X9" i="8" s="1"/>
  <c r="J69" i="4"/>
  <c r="E14" i="17"/>
  <c r="F14" i="17" s="1"/>
  <c r="N69" i="4"/>
  <c r="D15" i="17"/>
  <c r="C15" i="17"/>
  <c r="B16" i="17"/>
  <c r="P72" i="13"/>
  <c r="H69" i="4"/>
  <c r="O69" i="4"/>
  <c r="O138" i="16"/>
  <c r="F75" i="7" s="1"/>
  <c r="R60" i="4"/>
  <c r="I69" i="4"/>
  <c r="R58" i="4"/>
  <c r="R65" i="4"/>
  <c r="O134" i="16"/>
  <c r="Q69" i="4"/>
  <c r="R64" i="4"/>
  <c r="H72" i="13"/>
  <c r="O89" i="14"/>
  <c r="F51" i="7" s="1"/>
  <c r="O187" i="15"/>
  <c r="F32" i="7" s="1"/>
  <c r="O100" i="16"/>
  <c r="F69" i="7" s="1"/>
  <c r="O149" i="16"/>
  <c r="F77" i="7" s="1"/>
  <c r="P69" i="4"/>
  <c r="R61" i="4"/>
  <c r="M69" i="4"/>
  <c r="R2" i="12"/>
  <c r="R59" i="4"/>
  <c r="K72" i="13"/>
  <c r="R67" i="13"/>
  <c r="R55" i="4"/>
  <c r="R62" i="4"/>
  <c r="O39" i="16"/>
  <c r="F61" i="7" s="1"/>
  <c r="K69" i="4"/>
  <c r="R67" i="4"/>
  <c r="R56" i="4"/>
  <c r="R66" i="4"/>
  <c r="O107" i="15"/>
  <c r="F23" i="7" s="1"/>
  <c r="O116" i="15"/>
  <c r="F25" i="7" s="1"/>
  <c r="R57" i="4"/>
  <c r="C75" i="8"/>
  <c r="F75" i="8"/>
  <c r="E75" i="8"/>
  <c r="G75" i="8" s="1"/>
  <c r="I75" i="8" s="1"/>
  <c r="D76" i="8"/>
  <c r="O46" i="15"/>
  <c r="F20" i="7" s="1"/>
  <c r="R63" i="4"/>
  <c r="R68" i="13"/>
  <c r="R61" i="13"/>
  <c r="R66" i="13"/>
  <c r="R64" i="13"/>
  <c r="R60" i="13"/>
  <c r="F72" i="13"/>
  <c r="N72" i="13"/>
  <c r="O171" i="15"/>
  <c r="F31" i="7" s="1"/>
  <c r="L244" i="15"/>
  <c r="O6" i="15"/>
  <c r="O5" i="15" s="1"/>
  <c r="F16" i="7" s="1"/>
  <c r="O93" i="15"/>
  <c r="F22" i="7" s="1"/>
  <c r="O239" i="15"/>
  <c r="F37" i="7" s="1"/>
  <c r="O223" i="15"/>
  <c r="F36" i="7" s="1"/>
  <c r="O6" i="16"/>
  <c r="O5" i="16" s="1"/>
  <c r="F60" i="7" s="1"/>
  <c r="L157" i="16"/>
  <c r="O82" i="16"/>
  <c r="F67" i="7" s="1"/>
  <c r="O61" i="14"/>
  <c r="F46" i="7" s="1"/>
  <c r="O165" i="15"/>
  <c r="F29" i="7" s="1"/>
  <c r="O129" i="16"/>
  <c r="F73" i="7" s="1"/>
  <c r="O210" i="15"/>
  <c r="F35" i="7" s="1"/>
  <c r="O196" i="15"/>
  <c r="F33" i="7" s="1"/>
  <c r="O17" i="15"/>
  <c r="F18" i="7" s="1"/>
  <c r="O42" i="16"/>
  <c r="F62" i="7" s="1"/>
  <c r="O67" i="16"/>
  <c r="F66" i="7" s="1"/>
  <c r="S5" i="12"/>
  <c r="R4" i="12"/>
  <c r="R3" i="12"/>
  <c r="O64" i="6"/>
  <c r="O38" i="14"/>
  <c r="F49" i="7" s="1"/>
  <c r="O101" i="14"/>
  <c r="F52" i="7" s="1"/>
  <c r="O126" i="15"/>
  <c r="F26" i="7" s="1"/>
  <c r="O205" i="15"/>
  <c r="F34" i="7" s="1"/>
  <c r="O13" i="16"/>
  <c r="F64" i="7" s="1"/>
  <c r="O72" i="13"/>
  <c r="R57" i="13"/>
  <c r="O53" i="16"/>
  <c r="F63" i="7" s="1"/>
  <c r="R69" i="13"/>
  <c r="R58" i="13"/>
  <c r="L72" i="13"/>
  <c r="R63" i="13"/>
  <c r="I72" i="13"/>
  <c r="F69" i="4"/>
  <c r="N45" i="7"/>
  <c r="J72" i="13"/>
  <c r="R70" i="13"/>
  <c r="Q72" i="13"/>
  <c r="O80" i="14"/>
  <c r="F47" i="7" s="1"/>
  <c r="O36" i="15"/>
  <c r="F19" i="7" s="1"/>
  <c r="O64" i="15"/>
  <c r="F17" i="7" s="1"/>
  <c r="O152" i="15"/>
  <c r="F28" i="7" s="1"/>
  <c r="O94" i="16"/>
  <c r="F68" i="7" s="1"/>
  <c r="O108" i="16"/>
  <c r="F70" i="7" s="1"/>
  <c r="R59" i="13"/>
  <c r="L69" i="4"/>
  <c r="O47" i="14"/>
  <c r="F50" i="7" s="1"/>
  <c r="O15" i="14"/>
  <c r="F48" i="7" s="1"/>
  <c r="O179" i="15"/>
  <c r="F30" i="7" s="1"/>
  <c r="O137" i="15"/>
  <c r="F27" i="7" s="1"/>
  <c r="N60" i="7"/>
  <c r="G69" i="4"/>
  <c r="G72" i="13"/>
  <c r="R62" i="13"/>
  <c r="O6" i="14"/>
  <c r="O5" i="14" s="1"/>
  <c r="L119" i="14"/>
  <c r="O75" i="15"/>
  <c r="F21" i="7" s="1"/>
  <c r="O26" i="16"/>
  <c r="F65" i="7" s="1"/>
  <c r="O117" i="16"/>
  <c r="F71" i="7" s="1"/>
  <c r="O142" i="16"/>
  <c r="O90" i="6"/>
  <c r="G19" i="3"/>
  <c r="B10" i="6"/>
  <c r="N51" i="3"/>
  <c r="G51" i="3"/>
  <c r="E51" i="3"/>
  <c r="G49" i="3"/>
  <c r="E49" i="3"/>
  <c r="N49" i="3"/>
  <c r="N50" i="3"/>
  <c r="G50" i="3"/>
  <c r="E50" i="3"/>
  <c r="N48" i="3"/>
  <c r="G48" i="3"/>
  <c r="E48" i="3"/>
  <c r="N47" i="3"/>
  <c r="G47" i="3"/>
  <c r="E47" i="3"/>
  <c r="G52" i="3"/>
  <c r="E52" i="3"/>
  <c r="N52" i="3"/>
  <c r="L27" i="6"/>
  <c r="O27" i="6" s="1"/>
  <c r="L22" i="6"/>
  <c r="O22" i="6" s="1"/>
  <c r="L26" i="6"/>
  <c r="O26" i="6" s="1"/>
  <c r="L18" i="6"/>
  <c r="O18" i="6" s="1"/>
  <c r="L25" i="6"/>
  <c r="O25" i="6" s="1"/>
  <c r="L30" i="6"/>
  <c r="O30" i="6" s="1"/>
  <c r="L28" i="6"/>
  <c r="O28" i="6" s="1"/>
  <c r="L16" i="6"/>
  <c r="O16" i="6" s="1"/>
  <c r="L17" i="6"/>
  <c r="O17" i="6" s="1"/>
  <c r="L6" i="6"/>
  <c r="O6" i="6" s="1"/>
  <c r="L15" i="6"/>
  <c r="O15" i="6" s="1"/>
  <c r="L23" i="6"/>
  <c r="O23" i="6" s="1"/>
  <c r="L32" i="6"/>
  <c r="O32" i="6" s="1"/>
  <c r="L7" i="6"/>
  <c r="L10" i="6"/>
  <c r="O10" i="6" s="1"/>
  <c r="L19" i="6"/>
  <c r="O19" i="6" s="1"/>
  <c r="L21" i="6"/>
  <c r="O21" i="6" s="1"/>
  <c r="L31" i="6"/>
  <c r="O31" i="6" s="1"/>
  <c r="L14" i="6"/>
  <c r="O14" i="6" s="1"/>
  <c r="L9" i="6"/>
  <c r="O9" i="6" s="1"/>
  <c r="L20" i="6"/>
  <c r="O20" i="6" s="1"/>
  <c r="L24" i="6"/>
  <c r="O24" i="6" s="1"/>
  <c r="L12" i="6"/>
  <c r="O12" i="6" s="1"/>
  <c r="L11" i="6"/>
  <c r="O11" i="6" s="1"/>
  <c r="G18" i="3"/>
  <c r="E18" i="3"/>
  <c r="N18" i="3"/>
  <c r="E30" i="3"/>
  <c r="N30" i="3"/>
  <c r="G30" i="3"/>
  <c r="N26" i="3"/>
  <c r="E26" i="3"/>
  <c r="G26" i="3"/>
  <c r="G10" i="3"/>
  <c r="N10" i="3"/>
  <c r="E10" i="3"/>
  <c r="E15" i="3"/>
  <c r="G15" i="3"/>
  <c r="N15" i="3"/>
  <c r="G39" i="3"/>
  <c r="N39" i="3"/>
  <c r="E39" i="3"/>
  <c r="N14" i="3"/>
  <c r="G14" i="3"/>
  <c r="E14" i="3"/>
  <c r="N25" i="3"/>
  <c r="E25" i="3"/>
  <c r="G25" i="3"/>
  <c r="G17" i="3"/>
  <c r="N17" i="3"/>
  <c r="E17" i="3"/>
  <c r="N41" i="3"/>
  <c r="G41" i="3"/>
  <c r="E41" i="3"/>
  <c r="N13" i="3"/>
  <c r="G13" i="3"/>
  <c r="E13" i="3"/>
  <c r="E38" i="3"/>
  <c r="N38" i="3"/>
  <c r="G38" i="3"/>
  <c r="N24" i="3"/>
  <c r="E24" i="3"/>
  <c r="G24" i="3"/>
  <c r="N31" i="3"/>
  <c r="G31" i="3"/>
  <c r="E31" i="3"/>
  <c r="E11" i="3"/>
  <c r="N11" i="3"/>
  <c r="G11" i="3"/>
  <c r="G42" i="3"/>
  <c r="N42" i="3"/>
  <c r="E42" i="3"/>
  <c r="N37" i="3"/>
  <c r="G37" i="3"/>
  <c r="E37" i="3"/>
  <c r="E12" i="3"/>
  <c r="G12" i="3"/>
  <c r="N12" i="3"/>
  <c r="G43" i="3"/>
  <c r="N43" i="3"/>
  <c r="E43" i="3"/>
  <c r="G28" i="3"/>
  <c r="N28" i="3"/>
  <c r="E28" i="3"/>
  <c r="G36" i="3"/>
  <c r="E36" i="3"/>
  <c r="N36" i="3"/>
  <c r="N40" i="3"/>
  <c r="G40" i="3"/>
  <c r="E40" i="3"/>
  <c r="N27" i="3"/>
  <c r="E27" i="3"/>
  <c r="G27" i="3"/>
  <c r="N29" i="3"/>
  <c r="G29" i="3"/>
  <c r="E29" i="3"/>
  <c r="E19" i="3"/>
  <c r="N19" i="3"/>
  <c r="E23" i="3"/>
  <c r="G23" i="3"/>
  <c r="N23" i="3"/>
  <c r="N35" i="3"/>
  <c r="G35" i="3"/>
  <c r="E35" i="3"/>
  <c r="E8" i="3"/>
  <c r="N8" i="3"/>
  <c r="G8" i="3"/>
  <c r="E16" i="3"/>
  <c r="N16" i="3"/>
  <c r="G16" i="3"/>
  <c r="N9" i="3"/>
  <c r="G9" i="3"/>
  <c r="E9" i="3"/>
  <c r="F51" i="3" l="1"/>
  <c r="H51" i="3" s="1"/>
  <c r="I51" i="3" s="1"/>
  <c r="J51" i="3" s="1"/>
  <c r="K51" i="3" s="1"/>
  <c r="L51" i="3" s="1"/>
  <c r="F52" i="3"/>
  <c r="H52" i="3" s="1"/>
  <c r="I52" i="3" s="1"/>
  <c r="J52" i="3" s="1"/>
  <c r="K52" i="3" s="1"/>
  <c r="L52" i="3" s="1"/>
  <c r="F9" i="3"/>
  <c r="H9" i="3" s="1"/>
  <c r="I9" i="3" s="1"/>
  <c r="J9" i="3" s="1"/>
  <c r="O9" i="3" s="1"/>
  <c r="F10" i="3"/>
  <c r="H10" i="3" s="1"/>
  <c r="I10" i="3" s="1"/>
  <c r="J10" i="3" s="1"/>
  <c r="O10" i="3" s="1"/>
  <c r="F12" i="3"/>
  <c r="H12" i="3" s="1"/>
  <c r="I12" i="3" s="1"/>
  <c r="J12" i="3" s="1"/>
  <c r="O12" i="3" s="1"/>
  <c r="F41" i="3"/>
  <c r="H41" i="3" s="1"/>
  <c r="I41" i="3" s="1"/>
  <c r="J41" i="3" s="1"/>
  <c r="K41" i="3" s="1"/>
  <c r="L41" i="3" s="1"/>
  <c r="F50" i="3"/>
  <c r="H50" i="3" s="1"/>
  <c r="I50" i="3" s="1"/>
  <c r="J50" i="3" s="1"/>
  <c r="K50" i="3" s="1"/>
  <c r="L50" i="3" s="1"/>
  <c r="F18" i="3"/>
  <c r="H18" i="3" s="1"/>
  <c r="I18" i="3" s="1"/>
  <c r="J18" i="3" s="1"/>
  <c r="O18" i="3" s="1"/>
  <c r="F37" i="3"/>
  <c r="H37" i="3" s="1"/>
  <c r="I37" i="3" s="1"/>
  <c r="J37" i="3" s="1"/>
  <c r="K37" i="3" s="1"/>
  <c r="L37" i="3" s="1"/>
  <c r="F8" i="3"/>
  <c r="H8" i="3" s="1"/>
  <c r="I8" i="3" s="1"/>
  <c r="J8" i="3" s="1"/>
  <c r="F47" i="3"/>
  <c r="H47" i="3" s="1"/>
  <c r="I47" i="3" s="1"/>
  <c r="J47" i="3" s="1"/>
  <c r="K47" i="3" s="1"/>
  <c r="L47" i="3" s="1"/>
  <c r="F31" i="3"/>
  <c r="H31" i="3" s="1"/>
  <c r="I31" i="3" s="1"/>
  <c r="J31" i="3" s="1"/>
  <c r="K31" i="3" s="1"/>
  <c r="L31" i="3" s="1"/>
  <c r="F30" i="3"/>
  <c r="H30" i="3" s="1"/>
  <c r="I30" i="3" s="1"/>
  <c r="J30" i="3" s="1"/>
  <c r="K30" i="3" s="1"/>
  <c r="L30" i="3" s="1"/>
  <c r="F25" i="3"/>
  <c r="H25" i="3" s="1"/>
  <c r="I25" i="3" s="1"/>
  <c r="J25" i="3" s="1"/>
  <c r="K25" i="3" s="1"/>
  <c r="L25" i="3" s="1"/>
  <c r="F27" i="3"/>
  <c r="H27" i="3" s="1"/>
  <c r="I27" i="3" s="1"/>
  <c r="J27" i="3" s="1"/>
  <c r="K27" i="3" s="1"/>
  <c r="L27" i="3" s="1"/>
  <c r="F42" i="3"/>
  <c r="H42" i="3" s="1"/>
  <c r="I42" i="3" s="1"/>
  <c r="J42" i="3" s="1"/>
  <c r="K42" i="3" s="1"/>
  <c r="L42" i="3" s="1"/>
  <c r="F13" i="3"/>
  <c r="H13" i="3" s="1"/>
  <c r="I13" i="3" s="1"/>
  <c r="J13" i="3" s="1"/>
  <c r="K13" i="3" s="1"/>
  <c r="L13" i="3" s="1"/>
  <c r="F23" i="3"/>
  <c r="H23" i="3" s="1"/>
  <c r="I23" i="3" s="1"/>
  <c r="J23" i="3" s="1"/>
  <c r="K23" i="3" s="1"/>
  <c r="L23" i="3" s="1"/>
  <c r="F36" i="3"/>
  <c r="H36" i="3" s="1"/>
  <c r="I36" i="3" s="1"/>
  <c r="J36" i="3" s="1"/>
  <c r="K36" i="3" s="1"/>
  <c r="L36" i="3" s="1"/>
  <c r="F14" i="3"/>
  <c r="H14" i="3" s="1"/>
  <c r="I14" i="3" s="1"/>
  <c r="J14" i="3" s="1"/>
  <c r="O14" i="3" s="1"/>
  <c r="F16" i="3"/>
  <c r="H16" i="3" s="1"/>
  <c r="I16" i="3" s="1"/>
  <c r="J16" i="3" s="1"/>
  <c r="O16" i="3" s="1"/>
  <c r="F19" i="3"/>
  <c r="H19" i="3" s="1"/>
  <c r="I19" i="3" s="1"/>
  <c r="J19" i="3" s="1"/>
  <c r="F39" i="3"/>
  <c r="H39" i="3" s="1"/>
  <c r="I39" i="3" s="1"/>
  <c r="J39" i="3" s="1"/>
  <c r="K39" i="3" s="1"/>
  <c r="L39" i="3" s="1"/>
  <c r="F43" i="3"/>
  <c r="H43" i="3" s="1"/>
  <c r="I43" i="3" s="1"/>
  <c r="J43" i="3" s="1"/>
  <c r="K43" i="3" s="1"/>
  <c r="L43" i="3" s="1"/>
  <c r="F48" i="3"/>
  <c r="H48" i="3" s="1"/>
  <c r="I48" i="3" s="1"/>
  <c r="J48" i="3" s="1"/>
  <c r="K48" i="3" s="1"/>
  <c r="L48" i="3" s="1"/>
  <c r="F11" i="3"/>
  <c r="H11" i="3" s="1"/>
  <c r="I11" i="3" s="1"/>
  <c r="J11" i="3" s="1"/>
  <c r="F28" i="3"/>
  <c r="H28" i="3" s="1"/>
  <c r="I28" i="3" s="1"/>
  <c r="J28" i="3" s="1"/>
  <c r="K28" i="3" s="1"/>
  <c r="L28" i="3" s="1"/>
  <c r="F38" i="3"/>
  <c r="H38" i="3" s="1"/>
  <c r="I38" i="3" s="1"/>
  <c r="J38" i="3" s="1"/>
  <c r="K38" i="3" s="1"/>
  <c r="L38" i="3" s="1"/>
  <c r="F24" i="3"/>
  <c r="H24" i="3" s="1"/>
  <c r="I24" i="3" s="1"/>
  <c r="J24" i="3" s="1"/>
  <c r="K24" i="3" s="1"/>
  <c r="L24" i="3" s="1"/>
  <c r="F17" i="3"/>
  <c r="H17" i="3" s="1"/>
  <c r="I17" i="3" s="1"/>
  <c r="J17" i="3" s="1"/>
  <c r="O17" i="3" s="1"/>
  <c r="F15" i="3"/>
  <c r="H15" i="3" s="1"/>
  <c r="I15" i="3" s="1"/>
  <c r="J15" i="3" s="1"/>
  <c r="F35" i="3"/>
  <c r="H35" i="3" s="1"/>
  <c r="I35" i="3" s="1"/>
  <c r="J35" i="3" s="1"/>
  <c r="K35" i="3" s="1"/>
  <c r="L35" i="3" s="1"/>
  <c r="F49" i="3"/>
  <c r="H49" i="3" s="1"/>
  <c r="I49" i="3" s="1"/>
  <c r="J49" i="3" s="1"/>
  <c r="K49" i="3" s="1"/>
  <c r="L49" i="3" s="1"/>
  <c r="F29" i="3"/>
  <c r="H29" i="3" s="1"/>
  <c r="I29" i="3" s="1"/>
  <c r="J29" i="3" s="1"/>
  <c r="K29" i="3" s="1"/>
  <c r="L29" i="3" s="1"/>
  <c r="F26" i="3"/>
  <c r="H26" i="3" s="1"/>
  <c r="I26" i="3" s="1"/>
  <c r="J26" i="3" s="1"/>
  <c r="K26" i="3" s="1"/>
  <c r="L26" i="3" s="1"/>
  <c r="F40" i="3"/>
  <c r="H40" i="3" s="1"/>
  <c r="I40" i="3" s="1"/>
  <c r="J40" i="3" s="1"/>
  <c r="K40" i="3" s="1"/>
  <c r="L40" i="3" s="1"/>
  <c r="I25" i="7"/>
  <c r="I52" i="7"/>
  <c r="E15" i="17"/>
  <c r="F15" i="17" s="1"/>
  <c r="F74" i="7"/>
  <c r="D16" i="17"/>
  <c r="C16" i="17"/>
  <c r="B17" i="17"/>
  <c r="F76" i="7"/>
  <c r="I62" i="7"/>
  <c r="I70" i="7"/>
  <c r="S2" i="12"/>
  <c r="I69" i="7"/>
  <c r="I31" i="7"/>
  <c r="I65" i="7"/>
  <c r="I18" i="7"/>
  <c r="I30" i="7"/>
  <c r="I36" i="7"/>
  <c r="I51" i="7"/>
  <c r="I20" i="7"/>
  <c r="I35" i="7"/>
  <c r="I72" i="7"/>
  <c r="I48" i="7"/>
  <c r="I67" i="7"/>
  <c r="I32" i="7"/>
  <c r="I66" i="7"/>
  <c r="I27" i="7"/>
  <c r="I21" i="7"/>
  <c r="I23" i="7"/>
  <c r="I22" i="7"/>
  <c r="I19" i="7"/>
  <c r="I24" i="7"/>
  <c r="I34" i="7"/>
  <c r="I37" i="7"/>
  <c r="R69" i="4"/>
  <c r="O157" i="16"/>
  <c r="C16" i="8"/>
  <c r="D77" i="8"/>
  <c r="E76" i="8"/>
  <c r="G76" i="8" s="1"/>
  <c r="I76" i="8" s="1"/>
  <c r="F76" i="8"/>
  <c r="C76" i="8"/>
  <c r="F45" i="7"/>
  <c r="O119" i="14"/>
  <c r="I73" i="7"/>
  <c r="I64" i="7"/>
  <c r="I28" i="7"/>
  <c r="I71" i="7"/>
  <c r="E15" i="8"/>
  <c r="F15" i="8" s="1"/>
  <c r="D16" i="8"/>
  <c r="S3" i="12"/>
  <c r="T5" i="12"/>
  <c r="S4" i="12"/>
  <c r="I33" i="7"/>
  <c r="O244" i="15"/>
  <c r="R72" i="13"/>
  <c r="X16" i="8"/>
  <c r="W16" i="8"/>
  <c r="Y15" i="8"/>
  <c r="O15" i="8"/>
  <c r="N16" i="8"/>
  <c r="M16" i="8"/>
  <c r="I50" i="7"/>
  <c r="I47" i="7"/>
  <c r="I49" i="7"/>
  <c r="I29" i="7"/>
  <c r="I63" i="7"/>
  <c r="I68" i="7"/>
  <c r="I26" i="7"/>
  <c r="B11" i="6"/>
  <c r="L99" i="6"/>
  <c r="O7" i="6"/>
  <c r="O11" i="3" l="1"/>
  <c r="Z20" i="7"/>
  <c r="J74" i="7" s="1"/>
  <c r="I75" i="7"/>
  <c r="O8" i="3"/>
  <c r="I77" i="7"/>
  <c r="I74" i="7"/>
  <c r="I76" i="7"/>
  <c r="E16" i="17"/>
  <c r="F16" i="17" s="1"/>
  <c r="C17" i="17"/>
  <c r="B18" i="17"/>
  <c r="D17" i="17"/>
  <c r="E17" i="17" s="1"/>
  <c r="K14" i="3"/>
  <c r="L14" i="3" s="1"/>
  <c r="T2" i="12"/>
  <c r="P16" i="8"/>
  <c r="K18" i="3"/>
  <c r="L18" i="3" s="1"/>
  <c r="K12" i="3"/>
  <c r="L12" i="3" s="1"/>
  <c r="K8" i="3"/>
  <c r="L8" i="3" s="1"/>
  <c r="O15" i="3"/>
  <c r="K15" i="3"/>
  <c r="L15" i="3" s="1"/>
  <c r="P15" i="8"/>
  <c r="O19" i="3"/>
  <c r="K19" i="3"/>
  <c r="L19" i="3" s="1"/>
  <c r="I61" i="7"/>
  <c r="F78" i="7"/>
  <c r="O13" i="3"/>
  <c r="G15" i="8"/>
  <c r="H15" i="8" s="1"/>
  <c r="I46" i="7"/>
  <c r="I58" i="7" s="1"/>
  <c r="F58" i="7"/>
  <c r="D17" i="8"/>
  <c r="E16" i="8"/>
  <c r="F16" i="8" s="1"/>
  <c r="C17" i="8"/>
  <c r="K11" i="3"/>
  <c r="L11" i="3" s="1"/>
  <c r="D78" i="8"/>
  <c r="F77" i="8"/>
  <c r="C77" i="8"/>
  <c r="E77" i="8"/>
  <c r="G77" i="8" s="1"/>
  <c r="I77" i="8" s="1"/>
  <c r="W17" i="8"/>
  <c r="X17" i="8"/>
  <c r="Y16" i="8"/>
  <c r="K9" i="3"/>
  <c r="L9" i="3" s="1"/>
  <c r="K17" i="3"/>
  <c r="L17" i="3" s="1"/>
  <c r="K10" i="3"/>
  <c r="L10" i="3" s="1"/>
  <c r="Z15" i="8"/>
  <c r="N17" i="8"/>
  <c r="O16" i="8"/>
  <c r="M17" i="8"/>
  <c r="Z16" i="8"/>
  <c r="F43" i="7"/>
  <c r="I17" i="7"/>
  <c r="I43" i="7" s="1"/>
  <c r="U5" i="12"/>
  <c r="T3" i="12"/>
  <c r="T4" i="12"/>
  <c r="K16" i="3"/>
  <c r="L16" i="3" s="1"/>
  <c r="O99" i="6"/>
  <c r="O5" i="6"/>
  <c r="B12" i="6"/>
  <c r="F55" i="3"/>
  <c r="G16" i="8" l="1"/>
  <c r="H16" i="8" s="1"/>
  <c r="Q15" i="8"/>
  <c r="R15" i="8" s="1"/>
  <c r="AA15" i="8"/>
  <c r="AB15" i="8" s="1"/>
  <c r="J76" i="7"/>
  <c r="J16" i="7"/>
  <c r="J24" i="7"/>
  <c r="J72" i="7"/>
  <c r="J33" i="7"/>
  <c r="J30" i="7"/>
  <c r="J47" i="7"/>
  <c r="J36" i="7"/>
  <c r="J25" i="7"/>
  <c r="J23" i="7"/>
  <c r="J49" i="7"/>
  <c r="J27" i="7"/>
  <c r="J17" i="7"/>
  <c r="J63" i="7"/>
  <c r="J75" i="7"/>
  <c r="J77" i="7"/>
  <c r="J69" i="7"/>
  <c r="J48" i="7"/>
  <c r="J34" i="7"/>
  <c r="J28" i="7"/>
  <c r="J70" i="7"/>
  <c r="J66" i="7"/>
  <c r="J20" i="7"/>
  <c r="J52" i="7"/>
  <c r="J35" i="7"/>
  <c r="J71" i="7"/>
  <c r="J21" i="7"/>
  <c r="J73" i="7"/>
  <c r="J32" i="7"/>
  <c r="J18" i="7"/>
  <c r="J37" i="7"/>
  <c r="J29" i="7"/>
  <c r="J68" i="7"/>
  <c r="J60" i="7"/>
  <c r="J65" i="7"/>
  <c r="J51" i="7"/>
  <c r="J26" i="7"/>
  <c r="J19" i="7"/>
  <c r="J22" i="7"/>
  <c r="J64" i="7"/>
  <c r="J67" i="7"/>
  <c r="J62" i="7"/>
  <c r="J50" i="7"/>
  <c r="J61" i="7"/>
  <c r="J46" i="7"/>
  <c r="J31" i="7"/>
  <c r="J45" i="7"/>
  <c r="I78" i="7"/>
  <c r="F17" i="17"/>
  <c r="D18" i="17"/>
  <c r="E18" i="17" s="1"/>
  <c r="C18" i="17"/>
  <c r="B19" i="17"/>
  <c r="Q16" i="8"/>
  <c r="U2" i="12"/>
  <c r="L53" i="3"/>
  <c r="K6" i="9" s="1"/>
  <c r="AA16" i="8"/>
  <c r="M18" i="8"/>
  <c r="O17" i="8"/>
  <c r="N18" i="8"/>
  <c r="U3" i="12"/>
  <c r="V5" i="12"/>
  <c r="U4" i="12"/>
  <c r="D18" i="8"/>
  <c r="E17" i="8"/>
  <c r="F17" i="8" s="1"/>
  <c r="C18" i="8"/>
  <c r="P17" i="8"/>
  <c r="W18" i="8"/>
  <c r="X18" i="8"/>
  <c r="Y17" i="8"/>
  <c r="Z17" i="8" s="1"/>
  <c r="F80" i="7"/>
  <c r="C78" i="8"/>
  <c r="D79" i="8"/>
  <c r="F78" i="8"/>
  <c r="E78" i="8"/>
  <c r="G78" i="8" s="1"/>
  <c r="B13" i="6"/>
  <c r="R16" i="8" l="1"/>
  <c r="AB16" i="8"/>
  <c r="F18" i="17"/>
  <c r="D19" i="17"/>
  <c r="E19" i="17" s="1"/>
  <c r="C19" i="17"/>
  <c r="B20" i="17"/>
  <c r="K7" i="9"/>
  <c r="V2" i="12"/>
  <c r="P18" i="8"/>
  <c r="K8" i="9"/>
  <c r="W5" i="12"/>
  <c r="V4" i="12"/>
  <c r="V3" i="12"/>
  <c r="Y18" i="8"/>
  <c r="Z18" i="8" s="1"/>
  <c r="X19" i="8"/>
  <c r="W19" i="8"/>
  <c r="Q17" i="8"/>
  <c r="D19" i="8"/>
  <c r="C19" i="8"/>
  <c r="E18" i="8"/>
  <c r="O18" i="8"/>
  <c r="N19" i="8"/>
  <c r="M19" i="8"/>
  <c r="G17" i="8"/>
  <c r="H17" i="8" s="1"/>
  <c r="F18" i="8"/>
  <c r="E79" i="8"/>
  <c r="G79" i="8" s="1"/>
  <c r="C79" i="8"/>
  <c r="D80" i="8"/>
  <c r="F79" i="8"/>
  <c r="AA17" i="8"/>
  <c r="B14" i="6"/>
  <c r="R17" i="8" l="1"/>
  <c r="AB17" i="8"/>
  <c r="AA18" i="8"/>
  <c r="F19" i="17"/>
  <c r="D20" i="17"/>
  <c r="C20" i="17"/>
  <c r="B21" i="17"/>
  <c r="Q18" i="8"/>
  <c r="W2" i="12"/>
  <c r="F19" i="8"/>
  <c r="O19" i="8"/>
  <c r="M20" i="8"/>
  <c r="N20" i="8"/>
  <c r="Y19" i="8"/>
  <c r="Z19" i="8" s="1"/>
  <c r="W20" i="8"/>
  <c r="X20" i="8"/>
  <c r="P19" i="8"/>
  <c r="F80" i="8"/>
  <c r="E80" i="8"/>
  <c r="G80" i="8" s="1"/>
  <c r="C80" i="8"/>
  <c r="D81" i="8"/>
  <c r="G18" i="8"/>
  <c r="H18" i="8" s="1"/>
  <c r="X5" i="12"/>
  <c r="W4" i="12"/>
  <c r="W3" i="12"/>
  <c r="C20" i="8"/>
  <c r="E19" i="8"/>
  <c r="D20" i="8"/>
  <c r="B15" i="6"/>
  <c r="R18" i="8" l="1"/>
  <c r="AB18" i="8"/>
  <c r="AA19" i="8"/>
  <c r="G19" i="8"/>
  <c r="H19" i="8" s="1"/>
  <c r="E20" i="17"/>
  <c r="F20" i="17" s="1"/>
  <c r="B22" i="17"/>
  <c r="D21" i="17"/>
  <c r="C21" i="17"/>
  <c r="F20" i="8"/>
  <c r="X2" i="12"/>
  <c r="C21" i="8"/>
  <c r="E20" i="8"/>
  <c r="D21" i="8"/>
  <c r="O20" i="8"/>
  <c r="P20" i="8" s="1"/>
  <c r="N21" i="8"/>
  <c r="M21" i="8"/>
  <c r="Q19" i="8"/>
  <c r="R19" i="8" s="1"/>
  <c r="X4" i="12"/>
  <c r="Y5" i="12"/>
  <c r="X3" i="12"/>
  <c r="F81" i="8"/>
  <c r="E81" i="8"/>
  <c r="G81" i="8" s="1"/>
  <c r="I81" i="8" s="1"/>
  <c r="D82" i="8"/>
  <c r="C81" i="8"/>
  <c r="W21" i="8"/>
  <c r="Y20" i="8"/>
  <c r="Z20" i="8" s="1"/>
  <c r="X21" i="8"/>
  <c r="B16" i="6"/>
  <c r="AB19" i="8" l="1"/>
  <c r="F21" i="8"/>
  <c r="E21" i="17"/>
  <c r="F21" i="17" s="1"/>
  <c r="C22" i="17"/>
  <c r="B23" i="17"/>
  <c r="D22" i="17"/>
  <c r="G20" i="8"/>
  <c r="H20" i="8" s="1"/>
  <c r="AA20" i="8"/>
  <c r="Y2" i="12"/>
  <c r="Z5" i="12"/>
  <c r="Y4" i="12"/>
  <c r="Y3" i="12"/>
  <c r="F82" i="8"/>
  <c r="E82" i="8"/>
  <c r="G82" i="8" s="1"/>
  <c r="I82" i="8" s="1"/>
  <c r="C82" i="8"/>
  <c r="D83" i="8"/>
  <c r="M22" i="8"/>
  <c r="N22" i="8"/>
  <c r="O21" i="8"/>
  <c r="P21" i="8" s="1"/>
  <c r="X22" i="8"/>
  <c r="Y21" i="8"/>
  <c r="W22" i="8"/>
  <c r="Q20" i="8"/>
  <c r="R20" i="8" s="1"/>
  <c r="C22" i="8"/>
  <c r="D22" i="8"/>
  <c r="E21" i="8"/>
  <c r="Z21" i="8"/>
  <c r="B17" i="6"/>
  <c r="AB20" i="8" l="1"/>
  <c r="Q21" i="8"/>
  <c r="R21" i="8" s="1"/>
  <c r="G21" i="8"/>
  <c r="H21" i="8" s="1"/>
  <c r="F22" i="8"/>
  <c r="E22" i="17"/>
  <c r="F22" i="17" s="1"/>
  <c r="D23" i="17"/>
  <c r="C23" i="17"/>
  <c r="B24" i="17"/>
  <c r="Z2" i="12"/>
  <c r="Z22" i="8"/>
  <c r="F83" i="8"/>
  <c r="E83" i="8"/>
  <c r="G83" i="8" s="1"/>
  <c r="I83" i="8" s="1"/>
  <c r="C83" i="8"/>
  <c r="D84" i="8"/>
  <c r="O22" i="8"/>
  <c r="N23" i="8"/>
  <c r="M23" i="8"/>
  <c r="C23" i="8"/>
  <c r="E22" i="8"/>
  <c r="D23" i="8"/>
  <c r="X23" i="8"/>
  <c r="W23" i="8"/>
  <c r="Y22" i="8"/>
  <c r="AA5" i="12"/>
  <c r="Z4" i="12"/>
  <c r="Z3" i="12"/>
  <c r="AA21" i="8"/>
  <c r="B18" i="6"/>
  <c r="AB21" i="8" l="1"/>
  <c r="G22" i="8"/>
  <c r="H22" i="8" s="1"/>
  <c r="E23" i="17"/>
  <c r="F23" i="17" s="1"/>
  <c r="C24" i="17"/>
  <c r="B25" i="17"/>
  <c r="D24" i="17"/>
  <c r="F23" i="8"/>
  <c r="AA2" i="12"/>
  <c r="AA22" i="8"/>
  <c r="P22" i="8"/>
  <c r="D85" i="8"/>
  <c r="E84" i="8"/>
  <c r="G84" i="8" s="1"/>
  <c r="I84" i="8" s="1"/>
  <c r="F84" i="8"/>
  <c r="C84" i="8"/>
  <c r="C24" i="8"/>
  <c r="E23" i="8"/>
  <c r="D24" i="8"/>
  <c r="X24" i="8"/>
  <c r="Y23" i="8"/>
  <c r="W24" i="8"/>
  <c r="Z23" i="8"/>
  <c r="AA4" i="12"/>
  <c r="AB5" i="12"/>
  <c r="AA3" i="12"/>
  <c r="O23" i="8"/>
  <c r="P23" i="8" s="1"/>
  <c r="M24" i="8"/>
  <c r="N24" i="8"/>
  <c r="B19" i="6"/>
  <c r="AB22" i="8" l="1"/>
  <c r="Q22" i="8"/>
  <c r="R22" i="8" s="1"/>
  <c r="E24" i="17"/>
  <c r="F24" i="17" s="1"/>
  <c r="P24" i="8"/>
  <c r="Q23" i="8"/>
  <c r="D25" i="17"/>
  <c r="C25" i="17"/>
  <c r="B26" i="17"/>
  <c r="G23" i="8"/>
  <c r="H23" i="8" s="1"/>
  <c r="AB2" i="12"/>
  <c r="M25" i="8"/>
  <c r="N25" i="8"/>
  <c r="O24" i="8"/>
  <c r="W25" i="8"/>
  <c r="X25" i="8"/>
  <c r="Y24" i="8"/>
  <c r="AA23" i="8"/>
  <c r="AB3" i="12"/>
  <c r="AB4" i="12"/>
  <c r="AC5" i="12"/>
  <c r="Z24" i="8"/>
  <c r="F85" i="8"/>
  <c r="D86" i="8"/>
  <c r="E85" i="8"/>
  <c r="G85" i="8" s="1"/>
  <c r="I85" i="8" s="1"/>
  <c r="C85" i="8"/>
  <c r="F24" i="8"/>
  <c r="D25" i="8"/>
  <c r="C25" i="8"/>
  <c r="E24" i="8"/>
  <c r="B20" i="6"/>
  <c r="AB23" i="8" l="1"/>
  <c r="R23" i="8"/>
  <c r="Q24" i="8"/>
  <c r="E25" i="17"/>
  <c r="F25" i="17" s="1"/>
  <c r="C26" i="17"/>
  <c r="B27" i="17"/>
  <c r="D26" i="17"/>
  <c r="Z25" i="8"/>
  <c r="AC2" i="12"/>
  <c r="F25" i="8"/>
  <c r="G24" i="8"/>
  <c r="H24" i="8" s="1"/>
  <c r="P25" i="8"/>
  <c r="C26" i="8"/>
  <c r="E25" i="8"/>
  <c r="D26" i="8"/>
  <c r="AA24" i="8"/>
  <c r="W26" i="8"/>
  <c r="Y25" i="8"/>
  <c r="X26" i="8"/>
  <c r="AD5" i="12"/>
  <c r="AC4" i="12"/>
  <c r="AC3" i="12"/>
  <c r="C86" i="8"/>
  <c r="D87" i="8"/>
  <c r="E86" i="8"/>
  <c r="G86" i="8" s="1"/>
  <c r="I86" i="8" s="1"/>
  <c r="F86" i="8"/>
  <c r="N26" i="8"/>
  <c r="M26" i="8"/>
  <c r="O25" i="8"/>
  <c r="B21" i="6"/>
  <c r="AB24" i="8" l="1"/>
  <c r="R24" i="8"/>
  <c r="E26" i="17"/>
  <c r="F26" i="17" s="1"/>
  <c r="B28" i="17"/>
  <c r="D27" i="17"/>
  <c r="C27" i="17"/>
  <c r="G25" i="8"/>
  <c r="H25" i="8" s="1"/>
  <c r="Q25" i="8"/>
  <c r="AA25" i="8"/>
  <c r="AD2" i="12"/>
  <c r="Z26" i="8"/>
  <c r="X27" i="8"/>
  <c r="W27" i="8"/>
  <c r="Y26" i="8"/>
  <c r="AD4" i="12"/>
  <c r="AE5" i="12"/>
  <c r="AD3" i="12"/>
  <c r="P26" i="8"/>
  <c r="E26" i="8"/>
  <c r="D27" i="8"/>
  <c r="C27" i="8"/>
  <c r="O26" i="8"/>
  <c r="M27" i="8"/>
  <c r="N27" i="8"/>
  <c r="E87" i="8"/>
  <c r="G87" i="8" s="1"/>
  <c r="I87" i="8" s="1"/>
  <c r="C87" i="8"/>
  <c r="D88" i="8"/>
  <c r="F87" i="8"/>
  <c r="B22" i="6"/>
  <c r="AB25" i="8" l="1"/>
  <c r="R25" i="8"/>
  <c r="E27" i="17"/>
  <c r="F27" i="17" s="1"/>
  <c r="B29" i="17"/>
  <c r="C28" i="17"/>
  <c r="D28" i="17"/>
  <c r="Q26" i="8"/>
  <c r="AA26" i="8"/>
  <c r="AE2" i="12"/>
  <c r="Z27" i="8"/>
  <c r="P27" i="8"/>
  <c r="F26" i="8"/>
  <c r="N28" i="8"/>
  <c r="O27" i="8"/>
  <c r="M28" i="8"/>
  <c r="AE3" i="12"/>
  <c r="AF5" i="12"/>
  <c r="AE4" i="12"/>
  <c r="E27" i="8"/>
  <c r="D28" i="8"/>
  <c r="C28" i="8"/>
  <c r="F88" i="8"/>
  <c r="E88" i="8"/>
  <c r="G88" i="8" s="1"/>
  <c r="I88" i="8" s="1"/>
  <c r="C88" i="8"/>
  <c r="D89" i="8"/>
  <c r="X28" i="8"/>
  <c r="W28" i="8"/>
  <c r="Y27" i="8"/>
  <c r="B23" i="6"/>
  <c r="AB26" i="8" l="1"/>
  <c r="R26" i="8"/>
  <c r="G26" i="8"/>
  <c r="H26" i="8" s="1"/>
  <c r="E28" i="17"/>
  <c r="F28" i="17" s="1"/>
  <c r="C29" i="17"/>
  <c r="B30" i="17"/>
  <c r="D29" i="17"/>
  <c r="E29" i="17" s="1"/>
  <c r="AA27" i="8"/>
  <c r="AB27" i="8" s="1"/>
  <c r="Q27" i="8"/>
  <c r="AF2" i="12"/>
  <c r="Y28" i="8"/>
  <c r="X29" i="8"/>
  <c r="W29" i="8"/>
  <c r="P28" i="8"/>
  <c r="C29" i="8"/>
  <c r="E28" i="8"/>
  <c r="F28" i="8" s="1"/>
  <c r="D29" i="8"/>
  <c r="F27" i="8"/>
  <c r="M29" i="8"/>
  <c r="N29" i="8"/>
  <c r="O28" i="8"/>
  <c r="Z28" i="8"/>
  <c r="F89" i="8"/>
  <c r="E89" i="8"/>
  <c r="G89" i="8" s="1"/>
  <c r="I89" i="8" s="1"/>
  <c r="C89" i="8"/>
  <c r="D90" i="8"/>
  <c r="AG5" i="12"/>
  <c r="AF4" i="12"/>
  <c r="AF3" i="12"/>
  <c r="B24" i="6"/>
  <c r="R27" i="8" l="1"/>
  <c r="G27" i="8"/>
  <c r="H27" i="8" s="1"/>
  <c r="G28" i="8"/>
  <c r="C30" i="17"/>
  <c r="D30" i="17"/>
  <c r="E30" i="17" s="1"/>
  <c r="B31" i="17"/>
  <c r="F29" i="17"/>
  <c r="P29" i="8"/>
  <c r="Q28" i="8"/>
  <c r="R28" i="8" s="1"/>
  <c r="AG2" i="12"/>
  <c r="M30" i="8"/>
  <c r="N30" i="8"/>
  <c r="O29" i="8"/>
  <c r="C30" i="8"/>
  <c r="D30" i="8"/>
  <c r="E29" i="8"/>
  <c r="F29" i="8" s="1"/>
  <c r="AG4" i="12"/>
  <c r="AH5" i="12"/>
  <c r="AG3" i="12"/>
  <c r="X30" i="8"/>
  <c r="W30" i="8"/>
  <c r="Y29" i="8"/>
  <c r="F90" i="8"/>
  <c r="E90" i="8"/>
  <c r="G90" i="8" s="1"/>
  <c r="C90" i="8"/>
  <c r="D91" i="8"/>
  <c r="AA28" i="8"/>
  <c r="AB28" i="8" s="1"/>
  <c r="B25" i="6"/>
  <c r="H28" i="8" l="1"/>
  <c r="B32" i="17"/>
  <c r="D31" i="17"/>
  <c r="E31" i="17" s="1"/>
  <c r="C31" i="17"/>
  <c r="F30" i="17"/>
  <c r="Q29" i="8"/>
  <c r="R29" i="8" s="1"/>
  <c r="F30" i="8"/>
  <c r="AH2" i="12"/>
  <c r="P30" i="8"/>
  <c r="W31" i="8"/>
  <c r="Y30" i="8"/>
  <c r="Z30" i="8" s="1"/>
  <c r="X31" i="8"/>
  <c r="G29" i="8"/>
  <c r="Z29" i="8"/>
  <c r="E30" i="8"/>
  <c r="C31" i="8"/>
  <c r="D31" i="8"/>
  <c r="C91" i="8"/>
  <c r="F91" i="8"/>
  <c r="E91" i="8"/>
  <c r="G91" i="8" s="1"/>
  <c r="D92" i="8"/>
  <c r="AH3" i="12"/>
  <c r="AI5" i="12"/>
  <c r="AH4" i="12"/>
  <c r="M31" i="8"/>
  <c r="O30" i="8"/>
  <c r="N31" i="8"/>
  <c r="B26" i="6"/>
  <c r="H29" i="8" l="1"/>
  <c r="AA29" i="8"/>
  <c r="AB29" i="8" s="1"/>
  <c r="F31" i="17"/>
  <c r="C32" i="17"/>
  <c r="B33" i="17"/>
  <c r="D32" i="17"/>
  <c r="G30" i="8"/>
  <c r="Q30" i="8"/>
  <c r="R30" i="8" s="1"/>
  <c r="P31" i="8"/>
  <c r="AI2" i="12"/>
  <c r="F31" i="8"/>
  <c r="D93" i="8"/>
  <c r="E92" i="8"/>
  <c r="G92" i="8" s="1"/>
  <c r="F92" i="8"/>
  <c r="C92" i="8"/>
  <c r="O31" i="8"/>
  <c r="N32" i="8"/>
  <c r="M32" i="8"/>
  <c r="AJ5" i="12"/>
  <c r="AI4" i="12"/>
  <c r="AI3" i="12"/>
  <c r="AA30" i="8"/>
  <c r="C32" i="8"/>
  <c r="D32" i="8"/>
  <c r="E31" i="8"/>
  <c r="Y31" i="8"/>
  <c r="X32" i="8"/>
  <c r="W32" i="8"/>
  <c r="R4" i="16"/>
  <c r="R4" i="15"/>
  <c r="R4" i="14"/>
  <c r="B27" i="6"/>
  <c r="R4" i="6"/>
  <c r="H30" i="8" l="1"/>
  <c r="AB30" i="8"/>
  <c r="E32" i="17"/>
  <c r="F32" i="17" s="1"/>
  <c r="C33" i="17"/>
  <c r="B34" i="17"/>
  <c r="D33" i="17"/>
  <c r="Q31" i="8"/>
  <c r="R31" i="8" s="1"/>
  <c r="G31" i="8"/>
  <c r="F32" i="8"/>
  <c r="AJ2" i="12"/>
  <c r="Y32" i="8"/>
  <c r="Z32" i="8" s="1"/>
  <c r="X33" i="8"/>
  <c r="W33" i="8"/>
  <c r="Z31" i="8"/>
  <c r="D94" i="8"/>
  <c r="F93" i="8"/>
  <c r="E93" i="8"/>
  <c r="G93" i="8" s="1"/>
  <c r="I93" i="8" s="1"/>
  <c r="C93" i="8"/>
  <c r="AJ3" i="12"/>
  <c r="AJ4" i="12"/>
  <c r="AK5" i="12"/>
  <c r="D33" i="8"/>
  <c r="C33" i="8"/>
  <c r="E32" i="8"/>
  <c r="N33" i="8"/>
  <c r="M33" i="8"/>
  <c r="O32" i="8"/>
  <c r="B28" i="6"/>
  <c r="H31" i="8" l="1"/>
  <c r="AA31" i="8"/>
  <c r="AB31" i="8" s="1"/>
  <c r="E33" i="17"/>
  <c r="F33" i="17" s="1"/>
  <c r="D34" i="17"/>
  <c r="C34" i="17"/>
  <c r="B35" i="17"/>
  <c r="G32" i="8"/>
  <c r="AK2" i="12"/>
  <c r="N34" i="8"/>
  <c r="M34" i="8"/>
  <c r="O33" i="8"/>
  <c r="W34" i="8"/>
  <c r="Y33" i="8"/>
  <c r="X34" i="8"/>
  <c r="P32" i="8"/>
  <c r="D34" i="8"/>
  <c r="C34" i="8"/>
  <c r="E33" i="8"/>
  <c r="F33" i="8"/>
  <c r="Z33" i="8"/>
  <c r="AL5" i="12"/>
  <c r="AK4" i="12"/>
  <c r="AK3" i="12"/>
  <c r="C94" i="8"/>
  <c r="D95" i="8"/>
  <c r="F94" i="8"/>
  <c r="E94" i="8"/>
  <c r="G94" i="8" s="1"/>
  <c r="I94" i="8" s="1"/>
  <c r="AA32" i="8"/>
  <c r="B29" i="6"/>
  <c r="H32" i="8" l="1"/>
  <c r="AB32" i="8"/>
  <c r="Q32" i="8"/>
  <c r="R32" i="8" s="1"/>
  <c r="E34" i="17"/>
  <c r="F34" i="17" s="1"/>
  <c r="B36" i="17"/>
  <c r="D35" i="17"/>
  <c r="C35" i="17"/>
  <c r="Z34" i="8"/>
  <c r="AL2" i="12"/>
  <c r="M35" i="8"/>
  <c r="O34" i="8"/>
  <c r="P34" i="8" s="1"/>
  <c r="N35" i="8"/>
  <c r="AA33" i="8"/>
  <c r="W35" i="8"/>
  <c r="Y34" i="8"/>
  <c r="X35" i="8"/>
  <c r="AM5" i="12"/>
  <c r="AL3" i="12"/>
  <c r="AL4" i="12"/>
  <c r="P33" i="8"/>
  <c r="E95" i="8"/>
  <c r="G95" i="8" s="1"/>
  <c r="I95" i="8" s="1"/>
  <c r="C95" i="8"/>
  <c r="D96" i="8"/>
  <c r="F95" i="8"/>
  <c r="G33" i="8"/>
  <c r="D35" i="8"/>
  <c r="E34" i="8"/>
  <c r="C35" i="8"/>
  <c r="F34" i="8"/>
  <c r="B30" i="6"/>
  <c r="H33" i="8" l="1"/>
  <c r="AB33" i="8"/>
  <c r="Q34" i="8"/>
  <c r="Q33" i="8"/>
  <c r="R33" i="8" s="1"/>
  <c r="E35" i="17"/>
  <c r="F35" i="17" s="1"/>
  <c r="AA34" i="8"/>
  <c r="C36" i="17"/>
  <c r="B37" i="17"/>
  <c r="D36" i="17"/>
  <c r="Z35" i="8"/>
  <c r="AM2" i="12"/>
  <c r="G34" i="8"/>
  <c r="W36" i="8"/>
  <c r="X36" i="8"/>
  <c r="Y35" i="8"/>
  <c r="E35" i="8"/>
  <c r="D36" i="8"/>
  <c r="C36" i="8"/>
  <c r="F35" i="8"/>
  <c r="F96" i="8"/>
  <c r="E96" i="8"/>
  <c r="G96" i="8" s="1"/>
  <c r="I96" i="8" s="1"/>
  <c r="C96" i="8"/>
  <c r="D97" i="8"/>
  <c r="AM4" i="12"/>
  <c r="AM3" i="12"/>
  <c r="AN5" i="12"/>
  <c r="M36" i="8"/>
  <c r="N36" i="8"/>
  <c r="O35" i="8"/>
  <c r="P35" i="8" s="1"/>
  <c r="B31" i="6"/>
  <c r="H34" i="8" l="1"/>
  <c r="AB34" i="8"/>
  <c r="R34" i="8"/>
  <c r="E36" i="17"/>
  <c r="F36" i="17" s="1"/>
  <c r="Q35" i="8"/>
  <c r="D37" i="17"/>
  <c r="C37" i="17"/>
  <c r="B38" i="17"/>
  <c r="AA35" i="8"/>
  <c r="P36" i="8"/>
  <c r="AN2" i="12"/>
  <c r="Z36" i="8"/>
  <c r="D37" i="8"/>
  <c r="C37" i="8"/>
  <c r="E36" i="8"/>
  <c r="F36" i="8"/>
  <c r="N37" i="8"/>
  <c r="O36" i="8"/>
  <c r="M37" i="8"/>
  <c r="G35" i="8"/>
  <c r="AN3" i="12"/>
  <c r="AO5" i="12"/>
  <c r="AN4" i="12"/>
  <c r="F97" i="8"/>
  <c r="D98" i="8"/>
  <c r="E97" i="8"/>
  <c r="G97" i="8" s="1"/>
  <c r="I97" i="8" s="1"/>
  <c r="C97" i="8"/>
  <c r="W37" i="8"/>
  <c r="X37" i="8"/>
  <c r="Y36" i="8"/>
  <c r="B32" i="6"/>
  <c r="H35" i="8" l="1"/>
  <c r="AB35" i="8"/>
  <c r="R35" i="8"/>
  <c r="E37" i="17"/>
  <c r="F37" i="17" s="1"/>
  <c r="C38" i="17"/>
  <c r="D38" i="17"/>
  <c r="B39" i="17"/>
  <c r="Q36" i="8"/>
  <c r="Z37" i="8"/>
  <c r="AA36" i="8"/>
  <c r="AO2" i="12"/>
  <c r="P37" i="8"/>
  <c r="F37" i="8"/>
  <c r="G36" i="8"/>
  <c r="H36" i="8" s="1"/>
  <c r="C38" i="8"/>
  <c r="D38" i="8"/>
  <c r="E37" i="8"/>
  <c r="F98" i="8"/>
  <c r="E98" i="8"/>
  <c r="G98" i="8" s="1"/>
  <c r="I98" i="8" s="1"/>
  <c r="C98" i="8"/>
  <c r="D99" i="8"/>
  <c r="AO4" i="12"/>
  <c r="AO3" i="12"/>
  <c r="AP5" i="12"/>
  <c r="Y37" i="8"/>
  <c r="W38" i="8"/>
  <c r="X38" i="8"/>
  <c r="M38" i="8"/>
  <c r="O37" i="8"/>
  <c r="N38" i="8"/>
  <c r="B33" i="6"/>
  <c r="AB36" i="8" l="1"/>
  <c r="R36" i="8"/>
  <c r="E38" i="17"/>
  <c r="F38" i="17" s="1"/>
  <c r="AA37" i="8"/>
  <c r="C39" i="17"/>
  <c r="B40" i="17"/>
  <c r="D39" i="17"/>
  <c r="Q37" i="8"/>
  <c r="G37" i="8"/>
  <c r="H37" i="8" s="1"/>
  <c r="P38" i="8"/>
  <c r="AP2" i="12"/>
  <c r="X39" i="8"/>
  <c r="W39" i="8"/>
  <c r="Y38" i="8"/>
  <c r="AP3" i="12"/>
  <c r="AQ5" i="12"/>
  <c r="AP4" i="12"/>
  <c r="M39" i="8"/>
  <c r="N39" i="8"/>
  <c r="O38" i="8"/>
  <c r="F99" i="8"/>
  <c r="E99" i="8"/>
  <c r="G99" i="8" s="1"/>
  <c r="I99" i="8" s="1"/>
  <c r="C99" i="8"/>
  <c r="D100" i="8"/>
  <c r="D39" i="8"/>
  <c r="C39" i="8"/>
  <c r="E38" i="8"/>
  <c r="F38" i="8" s="1"/>
  <c r="Z38" i="8"/>
  <c r="B34" i="6"/>
  <c r="AB37" i="8" l="1"/>
  <c r="R37" i="8"/>
  <c r="G38" i="8"/>
  <c r="H38" i="8" s="1"/>
  <c r="E39" i="17"/>
  <c r="F39" i="17" s="1"/>
  <c r="B41" i="17"/>
  <c r="C40" i="17"/>
  <c r="D40" i="17"/>
  <c r="Q38" i="8"/>
  <c r="AQ2" i="12"/>
  <c r="P39" i="8"/>
  <c r="N40" i="8"/>
  <c r="O39" i="8"/>
  <c r="M40" i="8"/>
  <c r="C40" i="8"/>
  <c r="E39" i="8"/>
  <c r="D40" i="8"/>
  <c r="D101" i="8"/>
  <c r="E100" i="8"/>
  <c r="G100" i="8" s="1"/>
  <c r="I100" i="8" s="1"/>
  <c r="F100" i="8"/>
  <c r="C100" i="8"/>
  <c r="AA38" i="8"/>
  <c r="Y39" i="8"/>
  <c r="X40" i="8"/>
  <c r="W40" i="8"/>
  <c r="AQ3" i="12"/>
  <c r="AQ4" i="12"/>
  <c r="AR5" i="12"/>
  <c r="Z39" i="8"/>
  <c r="B35" i="6"/>
  <c r="AB38" i="8" l="1"/>
  <c r="R38" i="8"/>
  <c r="E40" i="17"/>
  <c r="F40" i="17" s="1"/>
  <c r="D41" i="17"/>
  <c r="E41" i="17" s="1"/>
  <c r="C41" i="17"/>
  <c r="B42" i="17"/>
  <c r="Q39" i="8"/>
  <c r="AR2" i="12"/>
  <c r="P40" i="8"/>
  <c r="AR3" i="12"/>
  <c r="AR4" i="12"/>
  <c r="AS5" i="12"/>
  <c r="D41" i="8"/>
  <c r="C41" i="8"/>
  <c r="E40" i="8"/>
  <c r="N41" i="8"/>
  <c r="M41" i="8"/>
  <c r="O40" i="8"/>
  <c r="X41" i="8"/>
  <c r="W41" i="8"/>
  <c r="Y40" i="8"/>
  <c r="D102" i="8"/>
  <c r="F101" i="8"/>
  <c r="E101" i="8"/>
  <c r="G101" i="8" s="1"/>
  <c r="I101" i="8" s="1"/>
  <c r="C101" i="8"/>
  <c r="Z40" i="8"/>
  <c r="AA39" i="8"/>
  <c r="AB39" i="8" s="1"/>
  <c r="F39" i="8"/>
  <c r="B36" i="6"/>
  <c r="R39" i="8" l="1"/>
  <c r="G39" i="8"/>
  <c r="H39" i="8" s="1"/>
  <c r="F41" i="17"/>
  <c r="C42" i="17"/>
  <c r="B43" i="17"/>
  <c r="D42" i="17"/>
  <c r="E42" i="17" s="1"/>
  <c r="AS2" i="12"/>
  <c r="Q40" i="8"/>
  <c r="P41" i="8"/>
  <c r="C102" i="8"/>
  <c r="D103" i="8"/>
  <c r="F102" i="8"/>
  <c r="E102" i="8"/>
  <c r="G102" i="8" s="1"/>
  <c r="AA40" i="8"/>
  <c r="AB40" i="8" s="1"/>
  <c r="D42" i="8"/>
  <c r="E41" i="8"/>
  <c r="F41" i="8" s="1"/>
  <c r="C42" i="8"/>
  <c r="AT5" i="12"/>
  <c r="AS4" i="12"/>
  <c r="AS3" i="12"/>
  <c r="N42" i="8"/>
  <c r="O41" i="8"/>
  <c r="M42" i="8"/>
  <c r="W42" i="8"/>
  <c r="X42" i="8"/>
  <c r="Y41" i="8"/>
  <c r="F40" i="8"/>
  <c r="B37" i="6"/>
  <c r="R40" i="8" l="1"/>
  <c r="F42" i="17"/>
  <c r="G40" i="8"/>
  <c r="H40" i="8" s="1"/>
  <c r="C43" i="17"/>
  <c r="B44" i="17"/>
  <c r="D43" i="17"/>
  <c r="E43" i="17" s="1"/>
  <c r="G41" i="8"/>
  <c r="AT2" i="12"/>
  <c r="Q41" i="8"/>
  <c r="X43" i="8"/>
  <c r="W43" i="8"/>
  <c r="Y42" i="8"/>
  <c r="N43" i="8"/>
  <c r="O42" i="8"/>
  <c r="M43" i="8"/>
  <c r="E103" i="8"/>
  <c r="G103" i="8" s="1"/>
  <c r="C103" i="8"/>
  <c r="D104" i="8"/>
  <c r="F103" i="8"/>
  <c r="AU5" i="12"/>
  <c r="AT4" i="12"/>
  <c r="AT3" i="12"/>
  <c r="Z41" i="8"/>
  <c r="P42" i="8"/>
  <c r="D43" i="8"/>
  <c r="C43" i="8"/>
  <c r="E42" i="8"/>
  <c r="F42" i="8"/>
  <c r="B38" i="6"/>
  <c r="R41" i="8" l="1"/>
  <c r="F43" i="17"/>
  <c r="H41" i="8"/>
  <c r="AA41" i="8"/>
  <c r="AB41" i="8" s="1"/>
  <c r="B45" i="17"/>
  <c r="D44" i="17"/>
  <c r="C44" i="17"/>
  <c r="AU2" i="12"/>
  <c r="F43" i="8"/>
  <c r="G42" i="8"/>
  <c r="Q42" i="8"/>
  <c r="R42" i="8" s="1"/>
  <c r="E43" i="8"/>
  <c r="C44" i="8"/>
  <c r="D44" i="8"/>
  <c r="P43" i="8"/>
  <c r="M44" i="8"/>
  <c r="O43" i="8"/>
  <c r="N44" i="8"/>
  <c r="Z42" i="8"/>
  <c r="AU4" i="12"/>
  <c r="AU3" i="12"/>
  <c r="AV5" i="12"/>
  <c r="X44" i="8"/>
  <c r="W44" i="8"/>
  <c r="Y43" i="8"/>
  <c r="Z43" i="8" s="1"/>
  <c r="F104" i="8"/>
  <c r="E104" i="8"/>
  <c r="G104" i="8" s="1"/>
  <c r="C104" i="8"/>
  <c r="D105" i="8"/>
  <c r="B39" i="6"/>
  <c r="H42" i="8" l="1"/>
  <c r="AA43" i="8"/>
  <c r="AA42" i="8"/>
  <c r="AB42" i="8" s="1"/>
  <c r="E44" i="17"/>
  <c r="F44" i="17" s="1"/>
  <c r="G43" i="8"/>
  <c r="B46" i="17"/>
  <c r="C45" i="17"/>
  <c r="D45" i="17"/>
  <c r="AW5" i="12"/>
  <c r="F44" i="8"/>
  <c r="AV2" i="12"/>
  <c r="Q43" i="8"/>
  <c r="R43" i="8" s="1"/>
  <c r="D45" i="8"/>
  <c r="C45" i="8"/>
  <c r="E44" i="8"/>
  <c r="N45" i="8"/>
  <c r="M45" i="8"/>
  <c r="O44" i="8"/>
  <c r="X45" i="8"/>
  <c r="W45" i="8"/>
  <c r="Y44" i="8"/>
  <c r="Z44" i="8" s="1"/>
  <c r="F105" i="8"/>
  <c r="E105" i="8"/>
  <c r="G105" i="8" s="1"/>
  <c r="I105" i="8" s="1"/>
  <c r="C105" i="8"/>
  <c r="D106" i="8"/>
  <c r="AV4" i="12"/>
  <c r="AV3" i="12"/>
  <c r="B40" i="6"/>
  <c r="H43" i="8" l="1"/>
  <c r="AB43" i="8"/>
  <c r="AW2" i="12"/>
  <c r="AX5" i="12"/>
  <c r="AW4" i="12"/>
  <c r="E45" i="17"/>
  <c r="F45" i="17" s="1"/>
  <c r="AW3" i="12"/>
  <c r="B47" i="17"/>
  <c r="D46" i="17"/>
  <c r="C46" i="17"/>
  <c r="G44" i="8"/>
  <c r="Z45" i="8"/>
  <c r="N46" i="8"/>
  <c r="O45" i="8"/>
  <c r="M46" i="8"/>
  <c r="P44" i="8"/>
  <c r="AA44" i="8"/>
  <c r="W46" i="8"/>
  <c r="Y45" i="8"/>
  <c r="X46" i="8"/>
  <c r="D46" i="8"/>
  <c r="C46" i="8"/>
  <c r="E45" i="8"/>
  <c r="F106" i="8"/>
  <c r="E106" i="8"/>
  <c r="G106" i="8" s="1"/>
  <c r="I106" i="8" s="1"/>
  <c r="C106" i="8"/>
  <c r="D107" i="8"/>
  <c r="F45" i="8"/>
  <c r="B41" i="6"/>
  <c r="AY5" i="12" l="1"/>
  <c r="AY4" i="12" s="1"/>
  <c r="H44" i="8"/>
  <c r="AB44" i="8"/>
  <c r="Q44" i="8"/>
  <c r="R44" i="8" s="1"/>
  <c r="AX4" i="12"/>
  <c r="AX3" i="12"/>
  <c r="AX2" i="12"/>
  <c r="E46" i="17"/>
  <c r="F46" i="17" s="1"/>
  <c r="D47" i="17"/>
  <c r="C47" i="17"/>
  <c r="B48" i="17"/>
  <c r="AA45" i="8"/>
  <c r="Z46" i="8"/>
  <c r="G45" i="8"/>
  <c r="H45" i="8" s="1"/>
  <c r="C47" i="8"/>
  <c r="E46" i="8"/>
  <c r="D47" i="8"/>
  <c r="P45" i="8"/>
  <c r="O46" i="8"/>
  <c r="P46" i="8" s="1"/>
  <c r="N47" i="8"/>
  <c r="M47" i="8"/>
  <c r="F46" i="8"/>
  <c r="F107" i="8"/>
  <c r="E107" i="8"/>
  <c r="G107" i="8" s="1"/>
  <c r="I107" i="8" s="1"/>
  <c r="C107" i="8"/>
  <c r="D108" i="8"/>
  <c r="W47" i="8"/>
  <c r="Y46" i="8"/>
  <c r="X47" i="8"/>
  <c r="B42" i="6"/>
  <c r="AZ5" i="12" l="1"/>
  <c r="AZ2" i="12" s="1"/>
  <c r="AY3" i="12"/>
  <c r="AY2" i="12"/>
  <c r="AB45" i="8"/>
  <c r="Q45" i="8"/>
  <c r="R45" i="8" s="1"/>
  <c r="C48" i="17"/>
  <c r="B49" i="17"/>
  <c r="D48" i="17"/>
  <c r="E47" i="17"/>
  <c r="F47" i="17" s="1"/>
  <c r="F47" i="8"/>
  <c r="AA46" i="8"/>
  <c r="Z47" i="8"/>
  <c r="E47" i="8"/>
  <c r="C48" i="8"/>
  <c r="D48" i="8"/>
  <c r="O47" i="8"/>
  <c r="P47" i="8" s="1"/>
  <c r="N48" i="8"/>
  <c r="M48" i="8"/>
  <c r="G46" i="8"/>
  <c r="H46" i="8" s="1"/>
  <c r="W48" i="8"/>
  <c r="X48" i="8"/>
  <c r="Y47" i="8"/>
  <c r="Q46" i="8"/>
  <c r="D109" i="8"/>
  <c r="F108" i="8"/>
  <c r="E108" i="8"/>
  <c r="G108" i="8" s="1"/>
  <c r="I108" i="8" s="1"/>
  <c r="C108" i="8"/>
  <c r="B43" i="6"/>
  <c r="AZ4" i="12" l="1"/>
  <c r="AZ3" i="12"/>
  <c r="BA5" i="12"/>
  <c r="BA4" i="12" s="1"/>
  <c r="AB46" i="8"/>
  <c r="R46" i="8"/>
  <c r="E48" i="17"/>
  <c r="F48" i="17" s="1"/>
  <c r="G47" i="8"/>
  <c r="H47" i="8" s="1"/>
  <c r="D49" i="17"/>
  <c r="C49" i="17"/>
  <c r="B50" i="17"/>
  <c r="F48" i="8"/>
  <c r="AA47" i="8"/>
  <c r="Q47" i="8"/>
  <c r="Z48" i="8"/>
  <c r="D49" i="8"/>
  <c r="C49" i="8"/>
  <c r="E48" i="8"/>
  <c r="N49" i="8"/>
  <c r="O48" i="8"/>
  <c r="M49" i="8"/>
  <c r="F109" i="8"/>
  <c r="D110" i="8"/>
  <c r="C109" i="8"/>
  <c r="E109" i="8"/>
  <c r="G109" i="8" s="1"/>
  <c r="I109" i="8" s="1"/>
  <c r="P48" i="8"/>
  <c r="X49" i="8"/>
  <c r="W49" i="8"/>
  <c r="Y48" i="8"/>
  <c r="B44" i="6"/>
  <c r="BA2" i="12" l="1"/>
  <c r="BA3" i="12"/>
  <c r="BB5" i="12"/>
  <c r="BB3" i="12" s="1"/>
  <c r="R47" i="8"/>
  <c r="AB47" i="8"/>
  <c r="E49" i="17"/>
  <c r="F49" i="17" s="1"/>
  <c r="B51" i="17"/>
  <c r="D50" i="17"/>
  <c r="C50" i="17"/>
  <c r="G48" i="8"/>
  <c r="H48" i="8" s="1"/>
  <c r="AA48" i="8"/>
  <c r="Z49" i="8"/>
  <c r="P49" i="8"/>
  <c r="E49" i="8"/>
  <c r="D50" i="8"/>
  <c r="C50" i="8"/>
  <c r="N50" i="8"/>
  <c r="M50" i="8"/>
  <c r="O49" i="8"/>
  <c r="F49" i="8"/>
  <c r="Q48" i="8"/>
  <c r="C110" i="8"/>
  <c r="D111" i="8"/>
  <c r="F110" i="8"/>
  <c r="E110" i="8"/>
  <c r="G110" i="8" s="1"/>
  <c r="I110" i="8" s="1"/>
  <c r="Y49" i="8"/>
  <c r="X50" i="8"/>
  <c r="W50" i="8"/>
  <c r="B45" i="6"/>
  <c r="R48" i="8" l="1"/>
  <c r="BB4" i="12"/>
  <c r="BB2" i="12"/>
  <c r="BC5" i="12"/>
  <c r="BC3" i="12" s="1"/>
  <c r="AB48" i="8"/>
  <c r="E50" i="17"/>
  <c r="F50" i="17" s="1"/>
  <c r="B52" i="17"/>
  <c r="D51" i="17"/>
  <c r="C51" i="17"/>
  <c r="AA49" i="8"/>
  <c r="Q49" i="8"/>
  <c r="Z50" i="8"/>
  <c r="P50" i="8"/>
  <c r="M51" i="8"/>
  <c r="N51" i="8"/>
  <c r="O50" i="8"/>
  <c r="D51" i="8"/>
  <c r="C51" i="8"/>
  <c r="E50" i="8"/>
  <c r="E111" i="8"/>
  <c r="G111" i="8" s="1"/>
  <c r="I111" i="8" s="1"/>
  <c r="C111" i="8"/>
  <c r="D112" i="8"/>
  <c r="F111" i="8"/>
  <c r="W51" i="8"/>
  <c r="Y50" i="8"/>
  <c r="X51" i="8"/>
  <c r="G49" i="8"/>
  <c r="H49" i="8" s="1"/>
  <c r="B46" i="6"/>
  <c r="R49" i="8" l="1"/>
  <c r="AB49" i="8"/>
  <c r="BC2" i="12"/>
  <c r="BC4" i="12"/>
  <c r="E51" i="17"/>
  <c r="F51" i="17" s="1"/>
  <c r="C52" i="17"/>
  <c r="B53" i="17"/>
  <c r="D52" i="17"/>
  <c r="Q50" i="8"/>
  <c r="AA50" i="8"/>
  <c r="Z51" i="8"/>
  <c r="D52" i="8"/>
  <c r="E51" i="8"/>
  <c r="F51" i="8" s="1"/>
  <c r="C52" i="8"/>
  <c r="F50" i="8"/>
  <c r="Y51" i="8"/>
  <c r="W52" i="8"/>
  <c r="X52" i="8"/>
  <c r="F112" i="8"/>
  <c r="E112" i="8"/>
  <c r="G112" i="8" s="1"/>
  <c r="I112" i="8" s="1"/>
  <c r="C112" i="8"/>
  <c r="D113" i="8"/>
  <c r="P51" i="8"/>
  <c r="O51" i="8"/>
  <c r="M52" i="8"/>
  <c r="N52" i="8"/>
  <c r="B47" i="6"/>
  <c r="AB50" i="8" l="1"/>
  <c r="R50" i="8"/>
  <c r="G51" i="8"/>
  <c r="G50" i="8"/>
  <c r="H50" i="8" s="1"/>
  <c r="E52" i="17"/>
  <c r="F52" i="17" s="1"/>
  <c r="C53" i="17"/>
  <c r="D53" i="17"/>
  <c r="E53" i="17" s="1"/>
  <c r="B54" i="17"/>
  <c r="AA51" i="8"/>
  <c r="P52" i="8"/>
  <c r="Z52" i="8"/>
  <c r="D53" i="8"/>
  <c r="C53" i="8"/>
  <c r="E52" i="8"/>
  <c r="F52" i="8" s="1"/>
  <c r="F113" i="8"/>
  <c r="E113" i="8"/>
  <c r="G113" i="8" s="1"/>
  <c r="I113" i="8" s="1"/>
  <c r="C113" i="8"/>
  <c r="D114" i="8"/>
  <c r="M53" i="8"/>
  <c r="N53" i="8"/>
  <c r="O52" i="8"/>
  <c r="Q51" i="8"/>
  <c r="W53" i="8"/>
  <c r="X53" i="8"/>
  <c r="Y52" i="8"/>
  <c r="B48" i="6"/>
  <c r="AB51" i="8" l="1"/>
  <c r="R51" i="8"/>
  <c r="H51" i="8"/>
  <c r="F53" i="17"/>
  <c r="D54" i="17"/>
  <c r="E54" i="17" s="1"/>
  <c r="C54" i="17"/>
  <c r="B55" i="17"/>
  <c r="Q52" i="8"/>
  <c r="P53" i="8"/>
  <c r="AA52" i="8"/>
  <c r="AB52" i="8" s="1"/>
  <c r="X54" i="8"/>
  <c r="W54" i="8"/>
  <c r="Y53" i="8"/>
  <c r="Z53" i="8" s="1"/>
  <c r="F114" i="8"/>
  <c r="E114" i="8"/>
  <c r="G114" i="8" s="1"/>
  <c r="C114" i="8"/>
  <c r="D115" i="8"/>
  <c r="G52" i="8"/>
  <c r="M54" i="8"/>
  <c r="O53" i="8"/>
  <c r="N54" i="8"/>
  <c r="C54" i="8"/>
  <c r="E53" i="8"/>
  <c r="F53" i="8" s="1"/>
  <c r="D54" i="8"/>
  <c r="B49" i="6"/>
  <c r="R52" i="8" l="1"/>
  <c r="H52" i="8"/>
  <c r="AA53" i="8"/>
  <c r="AB53" i="8" s="1"/>
  <c r="F54" i="17"/>
  <c r="D55" i="17"/>
  <c r="E55" i="17" s="1"/>
  <c r="C55" i="17"/>
  <c r="B56" i="17"/>
  <c r="P54" i="8"/>
  <c r="G53" i="8"/>
  <c r="Q53" i="8"/>
  <c r="R53" i="8" s="1"/>
  <c r="F54" i="8"/>
  <c r="F115" i="8"/>
  <c r="C115" i="8"/>
  <c r="E115" i="8"/>
  <c r="G115" i="8" s="1"/>
  <c r="D116" i="8"/>
  <c r="D55" i="8"/>
  <c r="C55" i="8"/>
  <c r="E54" i="8"/>
  <c r="O54" i="8"/>
  <c r="M55" i="8"/>
  <c r="N55" i="8"/>
  <c r="Y54" i="8"/>
  <c r="W55" i="8"/>
  <c r="X55" i="8"/>
  <c r="B50" i="6"/>
  <c r="H53" i="8" l="1"/>
  <c r="F55" i="17"/>
  <c r="P55" i="8"/>
  <c r="Q54" i="8"/>
  <c r="R54" i="8" s="1"/>
  <c r="C56" i="17"/>
  <c r="D56" i="17"/>
  <c r="B57" i="17"/>
  <c r="G54" i="8"/>
  <c r="N56" i="8"/>
  <c r="O55" i="8"/>
  <c r="M56" i="8"/>
  <c r="D117" i="8"/>
  <c r="F116" i="8"/>
  <c r="E116" i="8"/>
  <c r="G116" i="8" s="1"/>
  <c r="C116" i="8"/>
  <c r="D56" i="8"/>
  <c r="C56" i="8"/>
  <c r="E55" i="8"/>
  <c r="Z54" i="8"/>
  <c r="X56" i="8"/>
  <c r="W56" i="8"/>
  <c r="Y55" i="8"/>
  <c r="Z55" i="8" s="1"/>
  <c r="F55" i="8"/>
  <c r="B51" i="6"/>
  <c r="H54" i="8" l="1"/>
  <c r="AA54" i="8"/>
  <c r="AB54" i="8" s="1"/>
  <c r="AA55" i="8"/>
  <c r="E56" i="17"/>
  <c r="F56" i="17" s="1"/>
  <c r="Q55" i="8"/>
  <c r="R55" i="8" s="1"/>
  <c r="D57" i="17"/>
  <c r="C57" i="17"/>
  <c r="B58" i="17"/>
  <c r="F56" i="8"/>
  <c r="X57" i="8"/>
  <c r="W57" i="8"/>
  <c r="Y56" i="8"/>
  <c r="Z56" i="8" s="1"/>
  <c r="G55" i="8"/>
  <c r="D118" i="8"/>
  <c r="F117" i="8"/>
  <c r="E117" i="8"/>
  <c r="G117" i="8" s="1"/>
  <c r="I117" i="8" s="1"/>
  <c r="C117" i="8"/>
  <c r="D57" i="8"/>
  <c r="C57" i="8"/>
  <c r="E56" i="8"/>
  <c r="M57" i="8"/>
  <c r="O56" i="8"/>
  <c r="N57" i="8"/>
  <c r="B52" i="6"/>
  <c r="H55" i="8" l="1"/>
  <c r="AB55" i="8"/>
  <c r="E57" i="17"/>
  <c r="F57" i="17" s="1"/>
  <c r="C58" i="17"/>
  <c r="B59" i="17"/>
  <c r="D58" i="17"/>
  <c r="G56" i="8"/>
  <c r="H56" i="8" s="1"/>
  <c r="F57" i="8"/>
  <c r="AA56" i="8"/>
  <c r="O57" i="8"/>
  <c r="N58" i="8"/>
  <c r="M58" i="8"/>
  <c r="C118" i="8"/>
  <c r="F118" i="8"/>
  <c r="D119" i="8"/>
  <c r="E118" i="8"/>
  <c r="G118" i="8" s="1"/>
  <c r="I118" i="8" s="1"/>
  <c r="P56" i="8"/>
  <c r="Y57" i="8"/>
  <c r="X58" i="8"/>
  <c r="W58" i="8"/>
  <c r="E57" i="8"/>
  <c r="C58" i="8"/>
  <c r="D58" i="8"/>
  <c r="Z57" i="8"/>
  <c r="B53" i="6"/>
  <c r="AB56" i="8" l="1"/>
  <c r="Q56" i="8"/>
  <c r="R56" i="8" s="1"/>
  <c r="E58" i="17"/>
  <c r="F58" i="17" s="1"/>
  <c r="D59" i="17"/>
  <c r="C59" i="17"/>
  <c r="B60" i="17"/>
  <c r="G57" i="8"/>
  <c r="H57" i="8" s="1"/>
  <c r="D59" i="8"/>
  <c r="C59" i="8"/>
  <c r="E58" i="8"/>
  <c r="E119" i="8"/>
  <c r="G119" i="8" s="1"/>
  <c r="I119" i="8" s="1"/>
  <c r="C119" i="8"/>
  <c r="D120" i="8"/>
  <c r="F119" i="8"/>
  <c r="W59" i="8"/>
  <c r="X59" i="8"/>
  <c r="Y58" i="8"/>
  <c r="Z58" i="8"/>
  <c r="O58" i="8"/>
  <c r="P58" i="8" s="1"/>
  <c r="M59" i="8"/>
  <c r="N59" i="8"/>
  <c r="AA57" i="8"/>
  <c r="P57" i="8"/>
  <c r="F58" i="8"/>
  <c r="B54" i="6"/>
  <c r="AB57" i="8" l="1"/>
  <c r="Q57" i="8"/>
  <c r="R57" i="8" s="1"/>
  <c r="E59" i="17"/>
  <c r="F59" i="17" s="1"/>
  <c r="D60" i="17"/>
  <c r="C60" i="17"/>
  <c r="B61" i="17"/>
  <c r="Z59" i="8"/>
  <c r="O59" i="8"/>
  <c r="P59" i="8" s="1"/>
  <c r="M60" i="8"/>
  <c r="N60" i="8"/>
  <c r="G58" i="8"/>
  <c r="H58" i="8" s="1"/>
  <c r="AA58" i="8"/>
  <c r="C60" i="8"/>
  <c r="E59" i="8"/>
  <c r="D60" i="8"/>
  <c r="Q58" i="8"/>
  <c r="F120" i="8"/>
  <c r="E120" i="8"/>
  <c r="G120" i="8" s="1"/>
  <c r="I120" i="8" s="1"/>
  <c r="C120" i="8"/>
  <c r="D121" i="8"/>
  <c r="Y59" i="8"/>
  <c r="W60" i="8"/>
  <c r="X60" i="8"/>
  <c r="F59" i="8"/>
  <c r="B55" i="6"/>
  <c r="AB58" i="8" l="1"/>
  <c r="R58" i="8"/>
  <c r="Q59" i="8"/>
  <c r="E60" i="17"/>
  <c r="F60" i="17" s="1"/>
  <c r="B62" i="17"/>
  <c r="D61" i="17"/>
  <c r="C61" i="17"/>
  <c r="E60" i="8"/>
  <c r="AA59" i="8"/>
  <c r="Y60" i="8"/>
  <c r="P60" i="8"/>
  <c r="G59" i="8"/>
  <c r="H59" i="8" s="1"/>
  <c r="F121" i="8"/>
  <c r="E121" i="8"/>
  <c r="G121" i="8" s="1"/>
  <c r="I121" i="8" s="1"/>
  <c r="C121" i="8"/>
  <c r="D122" i="8"/>
  <c r="O60" i="8"/>
  <c r="Z60" i="8"/>
  <c r="F60" i="8"/>
  <c r="B57" i="6"/>
  <c r="AB59" i="8" l="1"/>
  <c r="R59" i="8"/>
  <c r="E61" i="17"/>
  <c r="F61" i="17" s="1"/>
  <c r="B63" i="17"/>
  <c r="C62" i="17"/>
  <c r="D62" i="17"/>
  <c r="AA60" i="8"/>
  <c r="G60" i="8"/>
  <c r="H60" i="8" s="1"/>
  <c r="Q60" i="8"/>
  <c r="F122" i="8"/>
  <c r="E122" i="8"/>
  <c r="G122" i="8" s="1"/>
  <c r="I122" i="8" s="1"/>
  <c r="C122" i="8"/>
  <c r="D123" i="8"/>
  <c r="B58" i="6"/>
  <c r="AB60" i="8" l="1"/>
  <c r="R60" i="8"/>
  <c r="C63" i="17"/>
  <c r="D63" i="17"/>
  <c r="B64" i="17"/>
  <c r="E62" i="17"/>
  <c r="F62" i="17" s="1"/>
  <c r="F123" i="8"/>
  <c r="E123" i="8"/>
  <c r="G123" i="8" s="1"/>
  <c r="I123" i="8" s="1"/>
  <c r="C123" i="8"/>
  <c r="D124" i="8"/>
  <c r="B59" i="6"/>
  <c r="E63" i="17" l="1"/>
  <c r="F63" i="17" s="1"/>
  <c r="N7" i="7"/>
  <c r="P7" i="7" s="1" a="1"/>
  <c r="P7" i="7" s="1"/>
  <c r="N8" i="7"/>
  <c r="P8" i="7" s="1" a="1"/>
  <c r="P8" i="7" s="1"/>
  <c r="N6" i="7"/>
  <c r="P6" i="7" s="1" a="1"/>
  <c r="P6" i="7" s="1"/>
  <c r="D64" i="17"/>
  <c r="C64" i="17"/>
  <c r="B65" i="17"/>
  <c r="D125" i="8"/>
  <c r="F124" i="8"/>
  <c r="E124" i="8"/>
  <c r="G124" i="8" s="1"/>
  <c r="I124" i="8" s="1"/>
  <c r="C124" i="8"/>
  <c r="B60" i="6"/>
  <c r="Q60" i="7" l="1"/>
  <c r="E64" i="17"/>
  <c r="F64" i="17" s="1"/>
  <c r="Q45" i="7"/>
  <c r="C65" i="17"/>
  <c r="B66" i="17"/>
  <c r="D65" i="17"/>
  <c r="E65" i="17" s="1"/>
  <c r="E125" i="8"/>
  <c r="G125" i="8" s="1"/>
  <c r="I125" i="8" s="1"/>
  <c r="F125" i="8"/>
  <c r="C125" i="8"/>
  <c r="B61" i="6"/>
  <c r="F65" i="17" l="1"/>
  <c r="D66" i="17"/>
  <c r="E66" i="17" s="1"/>
  <c r="B67" i="17"/>
  <c r="C66" i="17"/>
  <c r="B62" i="6"/>
  <c r="F66" i="17" l="1"/>
  <c r="D67" i="17"/>
  <c r="E67" i="17" s="1"/>
  <c r="F67" i="17" s="1"/>
  <c r="C67" i="17"/>
  <c r="B68" i="17"/>
  <c r="B63" i="6"/>
  <c r="B69" i="17" l="1"/>
  <c r="D68" i="17"/>
  <c r="C68" i="17"/>
  <c r="B65" i="6"/>
  <c r="E68" i="17" l="1"/>
  <c r="F68" i="17" s="1"/>
  <c r="B70" i="17"/>
  <c r="D69" i="17"/>
  <c r="C69" i="17"/>
  <c r="B66" i="6"/>
  <c r="E69" i="17" l="1"/>
  <c r="F69" i="17" s="1"/>
  <c r="D70" i="17"/>
  <c r="C70" i="17"/>
  <c r="B71" i="17"/>
  <c r="B67" i="6"/>
  <c r="E70" i="17" l="1"/>
  <c r="F70" i="17" s="1"/>
  <c r="D71" i="17"/>
  <c r="C71" i="17"/>
  <c r="B72" i="17"/>
  <c r="B68" i="6"/>
  <c r="E71" i="17" l="1"/>
  <c r="F71" i="17" s="1"/>
  <c r="B73" i="17"/>
  <c r="D72" i="17"/>
  <c r="C72" i="17"/>
  <c r="B69" i="6"/>
  <c r="E72" i="17" l="1"/>
  <c r="F72" i="17" s="1"/>
  <c r="C73" i="17"/>
  <c r="B74" i="17"/>
  <c r="D73" i="17"/>
  <c r="B70" i="6"/>
  <c r="E73" i="17" l="1"/>
  <c r="F73" i="17" s="1"/>
  <c r="D74" i="17"/>
  <c r="C74" i="17"/>
  <c r="B75" i="17"/>
  <c r="B71" i="6"/>
  <c r="E74" i="17" l="1"/>
  <c r="F74" i="17" s="1"/>
  <c r="D75" i="17"/>
  <c r="C75" i="17"/>
  <c r="B76" i="17"/>
  <c r="B72" i="6"/>
  <c r="B77" i="17" l="1"/>
  <c r="D76" i="17"/>
  <c r="C76" i="17"/>
  <c r="E75" i="17"/>
  <c r="F75" i="17" s="1"/>
  <c r="B73" i="6"/>
  <c r="E76" i="17" l="1"/>
  <c r="F76" i="17" s="1"/>
  <c r="C77" i="17"/>
  <c r="B78" i="17"/>
  <c r="D77" i="17"/>
  <c r="E77" i="17" s="1"/>
  <c r="B74" i="6"/>
  <c r="B79" i="17" l="1"/>
  <c r="D78" i="17"/>
  <c r="E78" i="17" s="1"/>
  <c r="C78" i="17"/>
  <c r="F77" i="17"/>
  <c r="B75" i="6"/>
  <c r="F78" i="17" l="1"/>
  <c r="D79" i="17"/>
  <c r="E79" i="17" s="1"/>
  <c r="C79" i="17"/>
  <c r="B80" i="17"/>
  <c r="B76" i="6"/>
  <c r="F79" i="17" l="1"/>
  <c r="D80" i="17"/>
  <c r="C80" i="17"/>
  <c r="B81" i="17"/>
  <c r="B77" i="6"/>
  <c r="E80" i="17" l="1"/>
  <c r="F80" i="17" s="1"/>
  <c r="C81" i="17"/>
  <c r="D81" i="17"/>
  <c r="B82" i="17"/>
  <c r="B78" i="6"/>
  <c r="E81" i="17" l="1"/>
  <c r="F81" i="17" s="1"/>
  <c r="B83" i="17"/>
  <c r="C82" i="17"/>
  <c r="D82" i="17"/>
  <c r="B79" i="6"/>
  <c r="E82" i="17" l="1"/>
  <c r="F82" i="17" s="1"/>
  <c r="D83" i="17"/>
  <c r="C83" i="17"/>
  <c r="B84" i="17"/>
  <c r="B80" i="6"/>
  <c r="E83" i="17" l="1"/>
  <c r="F83" i="17" s="1"/>
  <c r="D84" i="17"/>
  <c r="C84" i="17"/>
  <c r="B85" i="17"/>
  <c r="B81" i="6"/>
  <c r="C85" i="17" l="1"/>
  <c r="B86" i="17"/>
  <c r="D85" i="17"/>
  <c r="E84" i="17"/>
  <c r="F84" i="17" s="1"/>
  <c r="B82" i="6"/>
  <c r="E85" i="17" l="1"/>
  <c r="F85" i="17" s="1"/>
  <c r="C86" i="17"/>
  <c r="D86" i="17"/>
  <c r="B87" i="17"/>
  <c r="B83" i="6"/>
  <c r="E86" i="17" l="1"/>
  <c r="F86" i="17" s="1"/>
  <c r="C87" i="17"/>
  <c r="D87" i="17"/>
  <c r="B88" i="17"/>
  <c r="B84" i="6"/>
  <c r="E87" i="17" l="1"/>
  <c r="F87" i="17" s="1"/>
  <c r="D88" i="17"/>
  <c r="C88" i="17"/>
  <c r="B89" i="17"/>
  <c r="B85" i="6"/>
  <c r="E88" i="17" l="1"/>
  <c r="F88" i="17" s="1"/>
  <c r="B90" i="17"/>
  <c r="D89" i="17"/>
  <c r="E89" i="17" s="1"/>
  <c r="C89" i="17"/>
  <c r="B86" i="6"/>
  <c r="F89" i="17" l="1"/>
  <c r="B91" i="17"/>
  <c r="D90" i="17"/>
  <c r="E90" i="17" s="1"/>
  <c r="F90" i="17" s="1"/>
  <c r="C90" i="17"/>
  <c r="B87" i="6"/>
  <c r="D91" i="17" l="1"/>
  <c r="E91" i="17" s="1"/>
  <c r="F91" i="17" s="1"/>
  <c r="C91" i="17"/>
  <c r="B92" i="17"/>
  <c r="B88" i="6"/>
  <c r="D92" i="17" l="1"/>
  <c r="C92" i="17"/>
  <c r="B93" i="17"/>
  <c r="B89" i="6"/>
  <c r="C93" i="17" l="1"/>
  <c r="D93" i="17"/>
  <c r="B94" i="17"/>
  <c r="E92" i="17"/>
  <c r="F92" i="17" s="1"/>
  <c r="B91" i="6"/>
  <c r="E93" i="17" l="1"/>
  <c r="F93" i="17" s="1"/>
  <c r="D94" i="17"/>
  <c r="C94" i="17"/>
  <c r="B95" i="17"/>
  <c r="B92" i="6"/>
  <c r="E94" i="17" l="1"/>
  <c r="F94" i="17" s="1"/>
  <c r="D95" i="17"/>
  <c r="B96" i="17"/>
  <c r="C95" i="17"/>
  <c r="B93" i="6"/>
  <c r="B94" i="6" s="1"/>
  <c r="B95" i="6" s="1"/>
  <c r="B96" i="6" s="1"/>
  <c r="B97" i="6" s="1"/>
  <c r="B98" i="6" s="1"/>
  <c r="E95" i="17" l="1"/>
  <c r="F95" i="17" s="1"/>
  <c r="D96" i="17"/>
  <c r="B97" i="17"/>
  <c r="C96" i="17"/>
  <c r="E96" i="17" l="1"/>
  <c r="F96" i="17" s="1"/>
  <c r="B98" i="17"/>
  <c r="D97" i="17"/>
  <c r="C97" i="17"/>
  <c r="E97" i="17" l="1"/>
  <c r="F97" i="17" s="1"/>
  <c r="D98" i="17"/>
  <c r="B99" i="17"/>
  <c r="C98" i="17"/>
  <c r="E98" i="17" l="1"/>
  <c r="F98" i="17" s="1"/>
  <c r="D99" i="17"/>
  <c r="C99" i="17"/>
  <c r="B100" i="17"/>
  <c r="E99" i="17" l="1"/>
  <c r="F99" i="17" s="1"/>
  <c r="C100" i="17"/>
  <c r="D100" i="17"/>
  <c r="B101" i="17"/>
  <c r="E100" i="17" l="1"/>
  <c r="F100" i="17" s="1"/>
  <c r="C101" i="17"/>
  <c r="B102" i="17"/>
  <c r="D101" i="17"/>
  <c r="E101" i="17" s="1"/>
  <c r="F101" i="17" l="1"/>
  <c r="B103" i="17"/>
  <c r="D102" i="17"/>
  <c r="E102" i="17" s="1"/>
  <c r="F102" i="17" s="1"/>
  <c r="C102" i="17"/>
  <c r="D103" i="17" l="1"/>
  <c r="E103" i="17" s="1"/>
  <c r="F103" i="17" s="1"/>
  <c r="C103" i="17"/>
  <c r="B104" i="17"/>
  <c r="C104" i="17" l="1"/>
  <c r="B105" i="17"/>
  <c r="D104" i="17"/>
  <c r="E104" i="17" l="1"/>
  <c r="F104" i="17" s="1"/>
  <c r="C105" i="17"/>
  <c r="D105" i="17"/>
  <c r="B106" i="17"/>
  <c r="E105" i="17" l="1"/>
  <c r="F105" i="17" s="1"/>
  <c r="B107" i="17"/>
  <c r="C106" i="17"/>
  <c r="D106" i="17"/>
  <c r="E106" i="17" l="1"/>
  <c r="F106" i="17" s="1"/>
  <c r="D107" i="17"/>
  <c r="C107" i="17"/>
  <c r="B108" i="17"/>
  <c r="E107" i="17" l="1"/>
  <c r="F107" i="17" s="1"/>
  <c r="D108" i="17"/>
  <c r="C108" i="17"/>
  <c r="B109" i="17"/>
  <c r="E108" i="17" l="1"/>
  <c r="F108" i="17" s="1"/>
  <c r="C109" i="17"/>
  <c r="B110" i="17"/>
  <c r="D109" i="17"/>
  <c r="E109" i="17" l="1"/>
  <c r="F109" i="17" s="1"/>
  <c r="B111" i="17"/>
  <c r="D110" i="17"/>
  <c r="C110" i="17"/>
  <c r="E110" i="17" l="1"/>
  <c r="F110" i="17" s="1"/>
  <c r="C111" i="17"/>
  <c r="D111" i="17"/>
  <c r="E111" i="17" s="1"/>
  <c r="F111" i="17" s="1"/>
  <c r="B112" i="17"/>
  <c r="C112" i="17" l="1"/>
  <c r="D112" i="17"/>
  <c r="B113" i="17"/>
  <c r="E112" i="17" l="1"/>
  <c r="F112" i="17" s="1"/>
  <c r="D113" i="17"/>
  <c r="E113" i="17" s="1"/>
  <c r="C113" i="17"/>
  <c r="B114" i="17"/>
  <c r="F113" i="17" l="1"/>
  <c r="B115" i="17"/>
  <c r="D114" i="17"/>
  <c r="E114" i="17" s="1"/>
  <c r="F114" i="17" s="1"/>
  <c r="C114" i="17"/>
  <c r="D115" i="17" l="1"/>
  <c r="E115" i="17" s="1"/>
  <c r="F115" i="17" s="1"/>
  <c r="C115" i="17"/>
  <c r="B116" i="17"/>
  <c r="D116" i="17" l="1"/>
  <c r="C116" i="17"/>
  <c r="B117" i="17"/>
  <c r="E116" i="17" l="1"/>
  <c r="F116" i="17" s="1"/>
  <c r="D117" i="17"/>
  <c r="C117" i="17"/>
  <c r="B118" i="17"/>
  <c r="E117" i="17" l="1"/>
  <c r="F117" i="17" s="1"/>
  <c r="C118" i="17"/>
  <c r="B119" i="17"/>
  <c r="D118" i="17"/>
  <c r="E118" i="17" l="1"/>
  <c r="F118" i="17" s="1"/>
  <c r="D119" i="17"/>
  <c r="C119" i="17"/>
  <c r="B120" i="17"/>
  <c r="E119" i="17" l="1"/>
  <c r="F119" i="17" s="1"/>
  <c r="C120" i="17"/>
  <c r="B121" i="17"/>
  <c r="D120" i="17"/>
  <c r="E120" i="17" l="1"/>
  <c r="F120" i="17" s="1"/>
  <c r="D121" i="17"/>
  <c r="C121" i="17"/>
  <c r="B122" i="17"/>
  <c r="E121" i="17" l="1"/>
  <c r="F121" i="17" s="1"/>
  <c r="D122" i="17"/>
  <c r="C122" i="17"/>
  <c r="B123" i="17"/>
  <c r="D123" i="17" l="1"/>
  <c r="B124" i="17"/>
  <c r="C123" i="17"/>
  <c r="E122" i="17"/>
  <c r="F122" i="17" s="1"/>
  <c r="E123" i="17" l="1"/>
  <c r="F123" i="17" s="1"/>
  <c r="C124" i="17"/>
  <c r="D124" i="17"/>
  <c r="E124" i="17" l="1"/>
  <c r="F124" i="17" s="1"/>
  <c r="R60" i="7" l="1"/>
  <c r="S60" i="7" s="1" a="1"/>
  <c r="S60" i="7" s="1"/>
  <c r="D51" i="12" s="1"/>
  <c r="R45" i="7"/>
  <c r="S45" i="7" s="1" a="1"/>
  <c r="S45" i="7" s="1"/>
  <c r="D36" i="12" s="1"/>
  <c r="K24" i="7" l="1"/>
  <c r="K20" i="7"/>
  <c r="K23" i="7"/>
  <c r="K18" i="7"/>
  <c r="K27" i="7"/>
  <c r="K36" i="7"/>
  <c r="K37" i="7"/>
  <c r="K28" i="7"/>
  <c r="K26" i="7"/>
  <c r="K34" i="7"/>
  <c r="K29" i="7"/>
  <c r="K31" i="7"/>
  <c r="K21" i="7"/>
  <c r="K22" i="7"/>
  <c r="K33" i="7"/>
  <c r="K19" i="7"/>
  <c r="K25" i="7"/>
  <c r="K30" i="7"/>
  <c r="K35" i="7"/>
  <c r="K17" i="7"/>
  <c r="K32" i="7"/>
  <c r="J43" i="7" l="1"/>
  <c r="K16" i="7"/>
  <c r="L23" i="7" l="1"/>
  <c r="L24" i="7" s="1"/>
  <c r="L25" i="7" s="1"/>
  <c r="L16" i="7" s="1"/>
  <c r="K43" i="7"/>
  <c r="G7" i="12" l="1"/>
  <c r="N16" i="7"/>
  <c r="Q16" i="7"/>
  <c r="R16" i="7" s="1"/>
  <c r="S16" i="7" s="1" a="1"/>
  <c r="S16" i="7" s="1"/>
  <c r="D7" i="12" s="1"/>
  <c r="L17" i="7"/>
  <c r="L18" i="7" s="1"/>
  <c r="L32" i="7"/>
  <c r="L26" i="7"/>
  <c r="M25" i="7"/>
  <c r="M18" i="7" l="1"/>
  <c r="L19" i="7"/>
  <c r="L33" i="7"/>
  <c r="L34" i="7" s="1"/>
  <c r="L35" i="7" s="1"/>
  <c r="L36" i="7" s="1"/>
  <c r="L37" i="7" s="1"/>
  <c r="L27" i="7"/>
  <c r="L28" i="7" s="1"/>
  <c r="L29" i="7"/>
  <c r="L30" i="7" s="1"/>
  <c r="L31" i="7" s="1"/>
  <c r="M31" i="7" s="1"/>
  <c r="M26" i="7"/>
  <c r="G8" i="12"/>
  <c r="Q17" i="7"/>
  <c r="R17" i="7" s="1"/>
  <c r="S17" i="7" s="1" a="1"/>
  <c r="S17" i="7" s="1"/>
  <c r="D8" i="12" s="1"/>
  <c r="N17" i="7"/>
  <c r="M33" i="7" l="1"/>
  <c r="L20" i="7"/>
  <c r="M19" i="7"/>
  <c r="L40" i="7"/>
  <c r="M17" i="7"/>
  <c r="H8" i="12" s="1"/>
  <c r="M16" i="7"/>
  <c r="L39" i="7"/>
  <c r="L38" i="7"/>
  <c r="M34" i="7"/>
  <c r="M27" i="7"/>
  <c r="M28" i="7"/>
  <c r="Z31" i="7" s="1"/>
  <c r="M24" i="7"/>
  <c r="M23" i="7"/>
  <c r="M29" i="7"/>
  <c r="M30" i="7"/>
  <c r="H7" i="12" l="1"/>
  <c r="T16" i="7"/>
  <c r="U16" i="7" s="1"/>
  <c r="V16" i="7" s="1" a="1"/>
  <c r="V16" i="7" s="1"/>
  <c r="E7" i="12" s="1"/>
  <c r="O16" i="7"/>
  <c r="G31" i="12"/>
  <c r="Q40" i="7"/>
  <c r="R40" i="7" s="1"/>
  <c r="S40" i="7" s="1" a="1"/>
  <c r="S40" i="7" s="1"/>
  <c r="D31" i="12" s="1"/>
  <c r="M40" i="7"/>
  <c r="G29" i="12"/>
  <c r="M38" i="7"/>
  <c r="Q38" i="7"/>
  <c r="R38" i="7" s="1"/>
  <c r="S38" i="7" s="1" a="1"/>
  <c r="S38" i="7" s="1"/>
  <c r="D29" i="12" s="1"/>
  <c r="L21" i="7"/>
  <c r="M20" i="7"/>
  <c r="G30" i="12"/>
  <c r="Q39" i="7"/>
  <c r="R39" i="7" s="1"/>
  <c r="S39" i="7" s="1" a="1"/>
  <c r="S39" i="7" s="1"/>
  <c r="D30" i="12" s="1"/>
  <c r="M39" i="7"/>
  <c r="O17" i="7"/>
  <c r="T17" i="7"/>
  <c r="U17" i="7" s="1"/>
  <c r="V17" i="7" s="1" a="1"/>
  <c r="V17" i="7" s="1"/>
  <c r="W17" i="7" s="1"/>
  <c r="F8" i="12" s="1"/>
  <c r="M35" i="7"/>
  <c r="M32" i="7" s="1"/>
  <c r="G9" i="12"/>
  <c r="Q18" i="7"/>
  <c r="R18" i="7" s="1"/>
  <c r="S18" i="7" s="1" a="1"/>
  <c r="S18" i="7" s="1"/>
  <c r="D9" i="12" s="1"/>
  <c r="N18" i="7"/>
  <c r="AF7" i="12" l="1"/>
  <c r="AY7" i="12"/>
  <c r="AB7" i="12"/>
  <c r="U7" i="12"/>
  <c r="AS7" i="12"/>
  <c r="AW7" i="12"/>
  <c r="AQ7" i="12"/>
  <c r="AT7" i="12"/>
  <c r="Q7" i="12"/>
  <c r="AP7" i="12"/>
  <c r="N7" i="12"/>
  <c r="I7" i="12"/>
  <c r="M7" i="12"/>
  <c r="AA7" i="12"/>
  <c r="AU7" i="12"/>
  <c r="AC7" i="12"/>
  <c r="AO7" i="12"/>
  <c r="AN7" i="12"/>
  <c r="AM7" i="12"/>
  <c r="AK7" i="12"/>
  <c r="AE7" i="12"/>
  <c r="T7" i="12"/>
  <c r="J7" i="12"/>
  <c r="K7" i="12"/>
  <c r="P7" i="12"/>
  <c r="AV7" i="12"/>
  <c r="X7" i="12"/>
  <c r="Y7" i="12"/>
  <c r="Z7" i="12"/>
  <c r="V7" i="12"/>
  <c r="AR7" i="12"/>
  <c r="BB7" i="12"/>
  <c r="AL7" i="12"/>
  <c r="AX7" i="12"/>
  <c r="AJ7" i="12"/>
  <c r="S7" i="12"/>
  <c r="W7" i="12"/>
  <c r="E8" i="12"/>
  <c r="Z8" i="12" s="1"/>
  <c r="W16" i="7"/>
  <c r="F7" i="12" s="1"/>
  <c r="H31" i="12"/>
  <c r="T40" i="7"/>
  <c r="U40" i="7" s="1"/>
  <c r="V40" i="7" s="1" a="1"/>
  <c r="V40" i="7" s="1"/>
  <c r="W40" i="7" s="1"/>
  <c r="F31" i="12" s="1"/>
  <c r="H29" i="12"/>
  <c r="L41" i="7"/>
  <c r="T38" i="7"/>
  <c r="U38" i="7" s="1"/>
  <c r="V38" i="7" s="1" a="1"/>
  <c r="V38" i="7" s="1"/>
  <c r="AD7" i="12"/>
  <c r="BC7" i="12"/>
  <c r="AG7" i="12"/>
  <c r="R7" i="12"/>
  <c r="Z34" i="7"/>
  <c r="H30" i="12"/>
  <c r="T39" i="7"/>
  <c r="U39" i="7" s="1"/>
  <c r="V39" i="7" s="1" a="1"/>
  <c r="V39" i="7" s="1"/>
  <c r="E30" i="12" s="1"/>
  <c r="AH30" i="12" s="1"/>
  <c r="AH7" i="12"/>
  <c r="BA7" i="12"/>
  <c r="O7" i="12"/>
  <c r="AZ7" i="12"/>
  <c r="L7" i="12"/>
  <c r="AI7" i="12"/>
  <c r="L22" i="7"/>
  <c r="M22" i="7" s="1"/>
  <c r="Z30" i="7" s="1"/>
  <c r="M21" i="7"/>
  <c r="M36" i="7"/>
  <c r="M37" i="7"/>
  <c r="Z32" i="7" s="1"/>
  <c r="H9" i="12"/>
  <c r="T18" i="7"/>
  <c r="U18" i="7" s="1"/>
  <c r="V18" i="7" s="1" a="1"/>
  <c r="V18" i="7" s="1"/>
  <c r="O18" i="7"/>
  <c r="AN30" i="12" l="1"/>
  <c r="E31" i="12"/>
  <c r="AU31" i="12" s="1"/>
  <c r="R30" i="12"/>
  <c r="AE30" i="12"/>
  <c r="P30" i="12"/>
  <c r="Y30" i="12"/>
  <c r="Z35" i="7"/>
  <c r="L42" i="7" s="1"/>
  <c r="G33" i="12" s="1"/>
  <c r="AL30" i="12"/>
  <c r="BC30" i="12"/>
  <c r="AT8" i="12"/>
  <c r="P8" i="12"/>
  <c r="AB30" i="12"/>
  <c r="AQ30" i="12"/>
  <c r="L8" i="12"/>
  <c r="AX30" i="12"/>
  <c r="AV8" i="12"/>
  <c r="S30" i="12"/>
  <c r="AC8" i="12"/>
  <c r="AR30" i="12"/>
  <c r="AK8" i="12"/>
  <c r="M8" i="12"/>
  <c r="AR8" i="12"/>
  <c r="AB8" i="12"/>
  <c r="BA30" i="12"/>
  <c r="AN8" i="12"/>
  <c r="T30" i="12"/>
  <c r="T8" i="12"/>
  <c r="AD8" i="12"/>
  <c r="AJ8" i="12"/>
  <c r="O8" i="12"/>
  <c r="AZ8" i="12"/>
  <c r="AH8" i="12"/>
  <c r="AF8" i="12"/>
  <c r="AL8" i="12"/>
  <c r="AQ8" i="12"/>
  <c r="AG8" i="12"/>
  <c r="AP8" i="12"/>
  <c r="W39" i="7"/>
  <c r="F30" i="12" s="1"/>
  <c r="Q30" i="12"/>
  <c r="I30" i="12"/>
  <c r="AI30" i="12"/>
  <c r="AI8" i="12"/>
  <c r="BC8" i="12"/>
  <c r="AW8" i="12"/>
  <c r="W8" i="12"/>
  <c r="V8" i="12"/>
  <c r="AO8" i="12"/>
  <c r="N8" i="12"/>
  <c r="AM30" i="12"/>
  <c r="AP30" i="12"/>
  <c r="U30" i="12"/>
  <c r="X8" i="12"/>
  <c r="Y8" i="12"/>
  <c r="J8" i="12"/>
  <c r="AE8" i="12"/>
  <c r="AS8" i="12"/>
  <c r="AA8" i="12"/>
  <c r="AT30" i="12"/>
  <c r="Z30" i="12"/>
  <c r="N30" i="12"/>
  <c r="X30" i="12"/>
  <c r="K8" i="12"/>
  <c r="AM8" i="12"/>
  <c r="BB8" i="12"/>
  <c r="R8" i="12"/>
  <c r="AU8" i="12"/>
  <c r="S8" i="12"/>
  <c r="BA8" i="12"/>
  <c r="AX8" i="12"/>
  <c r="AY8" i="12"/>
  <c r="I8" i="12"/>
  <c r="Q8" i="12"/>
  <c r="AO30" i="12"/>
  <c r="AY30" i="12"/>
  <c r="J30" i="12"/>
  <c r="U8" i="12"/>
  <c r="BB30" i="12"/>
  <c r="AC30" i="12"/>
  <c r="L30" i="12"/>
  <c r="AF30" i="12"/>
  <c r="AZ30" i="12"/>
  <c r="M30" i="12"/>
  <c r="V30" i="12"/>
  <c r="AD30" i="12"/>
  <c r="E29" i="12"/>
  <c r="W38" i="7"/>
  <c r="F29" i="12" s="1"/>
  <c r="G32" i="12"/>
  <c r="M41" i="7"/>
  <c r="Q41" i="7"/>
  <c r="R41" i="7" s="1"/>
  <c r="S41" i="7" s="1" a="1"/>
  <c r="S41" i="7" s="1"/>
  <c r="D32" i="12" s="1"/>
  <c r="AG30" i="12"/>
  <c r="K30" i="12"/>
  <c r="W30" i="12"/>
  <c r="AW30" i="12"/>
  <c r="AK30" i="12"/>
  <c r="AV30" i="12"/>
  <c r="AU30" i="12"/>
  <c r="AS30" i="12"/>
  <c r="AJ30" i="12"/>
  <c r="AA30" i="12"/>
  <c r="O30" i="12"/>
  <c r="AO31" i="12"/>
  <c r="P31" i="12"/>
  <c r="J31" i="12"/>
  <c r="L31" i="12"/>
  <c r="AA31" i="12"/>
  <c r="AS31" i="12"/>
  <c r="S31" i="12"/>
  <c r="AC31" i="12"/>
  <c r="G10" i="12"/>
  <c r="Q19" i="7"/>
  <c r="R19" i="7" s="1"/>
  <c r="S19" i="7" s="1" a="1"/>
  <c r="S19" i="7" s="1"/>
  <c r="D10" i="12" s="1"/>
  <c r="E9" i="12"/>
  <c r="W18" i="7"/>
  <c r="F9" i="12" s="1"/>
  <c r="N19" i="7"/>
  <c r="AJ31" i="12" l="1"/>
  <c r="M31" i="12"/>
  <c r="AX31" i="12"/>
  <c r="AT31" i="12"/>
  <c r="Y31" i="12"/>
  <c r="AR31" i="12"/>
  <c r="AL31" i="12"/>
  <c r="Z31" i="12"/>
  <c r="BB31" i="12"/>
  <c r="BC31" i="12"/>
  <c r="AV31" i="12"/>
  <c r="AY31" i="12"/>
  <c r="X31" i="12"/>
  <c r="BA31" i="12"/>
  <c r="AN31" i="12"/>
  <c r="I31" i="12"/>
  <c r="O31" i="12"/>
  <c r="AZ31" i="12"/>
  <c r="V31" i="12"/>
  <c r="AM31" i="12"/>
  <c r="T31" i="12"/>
  <c r="W31" i="12"/>
  <c r="N31" i="12"/>
  <c r="AH31" i="12"/>
  <c r="AK31" i="12"/>
  <c r="AI31" i="12"/>
  <c r="AF31" i="12"/>
  <c r="R31" i="12"/>
  <c r="AE31" i="12"/>
  <c r="AG31" i="12"/>
  <c r="AP31" i="12"/>
  <c r="AW31" i="12"/>
  <c r="U31" i="12"/>
  <c r="Q31" i="12"/>
  <c r="K31" i="12"/>
  <c r="AB31" i="12"/>
  <c r="AQ31" i="12"/>
  <c r="AD31" i="12"/>
  <c r="Q42" i="7"/>
  <c r="R42" i="7" s="1"/>
  <c r="S42" i="7" s="1" a="1"/>
  <c r="S42" i="7" s="1"/>
  <c r="V42" i="7" s="1" a="1"/>
  <c r="V42" i="7" s="1"/>
  <c r="W42" i="7" s="1"/>
  <c r="F33" i="12" s="1"/>
  <c r="M42" i="7"/>
  <c r="M43" i="7" s="1"/>
  <c r="T43" i="7" s="1"/>
  <c r="T41" i="7"/>
  <c r="U41" i="7" s="1"/>
  <c r="V41" i="7" s="1" a="1"/>
  <c r="V41" i="7" s="1"/>
  <c r="H32" i="12"/>
  <c r="AG29" i="12"/>
  <c r="Z29" i="12"/>
  <c r="AU29" i="12"/>
  <c r="U29" i="12"/>
  <c r="AW29" i="12"/>
  <c r="AT29" i="12"/>
  <c r="M29" i="12"/>
  <c r="AR29" i="12"/>
  <c r="K29" i="12"/>
  <c r="Y29" i="12"/>
  <c r="AP29" i="12"/>
  <c r="AX29" i="12"/>
  <c r="AV29" i="12"/>
  <c r="AY29" i="12"/>
  <c r="AD29" i="12"/>
  <c r="Q29" i="12"/>
  <c r="R29" i="12"/>
  <c r="AZ29" i="12"/>
  <c r="J29" i="12"/>
  <c r="AM29" i="12"/>
  <c r="AQ29" i="12"/>
  <c r="BA29" i="12"/>
  <c r="AN29" i="12"/>
  <c r="AE29" i="12"/>
  <c r="BC29" i="12"/>
  <c r="L29" i="12"/>
  <c r="AO29" i="12"/>
  <c r="O29" i="12"/>
  <c r="AF29" i="12"/>
  <c r="N29" i="12"/>
  <c r="AB29" i="12"/>
  <c r="AA29" i="12"/>
  <c r="AJ29" i="12"/>
  <c r="AK29" i="12"/>
  <c r="S29" i="12"/>
  <c r="W29" i="12"/>
  <c r="BB29" i="12"/>
  <c r="P29" i="12"/>
  <c r="I29" i="12"/>
  <c r="AI29" i="12"/>
  <c r="AS29" i="12"/>
  <c r="T29" i="12"/>
  <c r="X29" i="12"/>
  <c r="V29" i="12"/>
  <c r="AH29" i="12"/>
  <c r="AL29" i="12"/>
  <c r="AC29" i="12"/>
  <c r="AY9" i="12"/>
  <c r="AH9" i="12"/>
  <c r="Q9" i="12"/>
  <c r="AS9" i="12"/>
  <c r="L9" i="12"/>
  <c r="AD9" i="12"/>
  <c r="AQ9" i="12"/>
  <c r="I9" i="12"/>
  <c r="AT9" i="12"/>
  <c r="Z9" i="12"/>
  <c r="AK9" i="12"/>
  <c r="AU9" i="12"/>
  <c r="AI9" i="12"/>
  <c r="R9" i="12"/>
  <c r="AV9" i="12"/>
  <c r="AC9" i="12"/>
  <c r="AM9" i="12"/>
  <c r="AB9" i="12"/>
  <c r="K9" i="12"/>
  <c r="BC9" i="12"/>
  <c r="Y9" i="12"/>
  <c r="AA9" i="12"/>
  <c r="J9" i="12"/>
  <c r="AN9" i="12"/>
  <c r="U9" i="12"/>
  <c r="O9" i="12"/>
  <c r="W9" i="12"/>
  <c r="AO9" i="12"/>
  <c r="AE9" i="12"/>
  <c r="BA9" i="12"/>
  <c r="S9" i="12"/>
  <c r="AW9" i="12"/>
  <c r="AF9" i="12"/>
  <c r="M9" i="12"/>
  <c r="BB9" i="12"/>
  <c r="T9" i="12"/>
  <c r="X9" i="12"/>
  <c r="AR9" i="12"/>
  <c r="AZ9" i="12"/>
  <c r="AX9" i="12"/>
  <c r="AG9" i="12"/>
  <c r="P9" i="12"/>
  <c r="AJ9" i="12"/>
  <c r="V9" i="12"/>
  <c r="AL9" i="12"/>
  <c r="AP9" i="12"/>
  <c r="N9" i="12"/>
  <c r="H10" i="12"/>
  <c r="T19" i="7"/>
  <c r="U19" i="7" s="1"/>
  <c r="V19" i="7" s="1" a="1"/>
  <c r="V19" i="7" s="1"/>
  <c r="O19" i="7"/>
  <c r="T42" i="7" l="1"/>
  <c r="U42" i="7" s="1"/>
  <c r="H33" i="12"/>
  <c r="D33" i="12"/>
  <c r="E33" i="12"/>
  <c r="W41" i="7"/>
  <c r="F32" i="12" s="1"/>
  <c r="E32" i="12"/>
  <c r="G11" i="12"/>
  <c r="Q20" i="7"/>
  <c r="R20" i="7" s="1"/>
  <c r="S20" i="7" s="1" a="1"/>
  <c r="S20" i="7" s="1"/>
  <c r="D11" i="12" s="1"/>
  <c r="E10" i="12"/>
  <c r="W19" i="7"/>
  <c r="F10" i="12" s="1"/>
  <c r="N20" i="7"/>
  <c r="AL33" i="12" l="1"/>
  <c r="N33" i="12"/>
  <c r="M33" i="12"/>
  <c r="AJ33" i="12"/>
  <c r="Q33" i="12"/>
  <c r="AU33" i="12"/>
  <c r="AE33" i="12"/>
  <c r="S33" i="12"/>
  <c r="AZ33" i="12"/>
  <c r="BC33" i="12"/>
  <c r="AK33" i="12"/>
  <c r="AD33" i="12"/>
  <c r="K33" i="12"/>
  <c r="AM33" i="12"/>
  <c r="AR33" i="12"/>
  <c r="AP33" i="12"/>
  <c r="BA33" i="12"/>
  <c r="P33" i="12"/>
  <c r="AA33" i="12"/>
  <c r="AW33" i="12"/>
  <c r="Y33" i="12"/>
  <c r="AB33" i="12"/>
  <c r="AT33" i="12"/>
  <c r="AI33" i="12"/>
  <c r="AH33" i="12"/>
  <c r="X33" i="12"/>
  <c r="R33" i="12"/>
  <c r="O33" i="12"/>
  <c r="AC33" i="12"/>
  <c r="AY33" i="12"/>
  <c r="AV33" i="12"/>
  <c r="AO33" i="12"/>
  <c r="AN33" i="12"/>
  <c r="V33" i="12"/>
  <c r="U33" i="12"/>
  <c r="AX33" i="12"/>
  <c r="J33" i="12"/>
  <c r="AG33" i="12"/>
  <c r="Z33" i="12"/>
  <c r="I33" i="12"/>
  <c r="L33" i="12"/>
  <c r="AQ33" i="12"/>
  <c r="W33" i="12"/>
  <c r="AS33" i="12"/>
  <c r="BB33" i="12"/>
  <c r="AF33" i="12"/>
  <c r="T33" i="12"/>
  <c r="K32" i="12"/>
  <c r="X32" i="12"/>
  <c r="N32" i="12"/>
  <c r="AD32" i="12"/>
  <c r="AW32" i="12"/>
  <c r="AO32" i="12"/>
  <c r="AI32" i="12"/>
  <c r="AR32" i="12"/>
  <c r="BB32" i="12"/>
  <c r="S32" i="12"/>
  <c r="AA32" i="12"/>
  <c r="Y32" i="12"/>
  <c r="AE32" i="12"/>
  <c r="AP32" i="12"/>
  <c r="AC32" i="12"/>
  <c r="AH32" i="12"/>
  <c r="O32" i="12"/>
  <c r="AK32" i="12"/>
  <c r="P32" i="12"/>
  <c r="AV32" i="12"/>
  <c r="M32" i="12"/>
  <c r="AG32" i="12"/>
  <c r="AB32" i="12"/>
  <c r="AM32" i="12"/>
  <c r="AZ32" i="12"/>
  <c r="Z32" i="12"/>
  <c r="R32" i="12"/>
  <c r="AT32" i="12"/>
  <c r="Q32" i="12"/>
  <c r="AN32" i="12"/>
  <c r="BC32" i="12"/>
  <c r="L32" i="12"/>
  <c r="AY32" i="12"/>
  <c r="W32" i="12"/>
  <c r="AF32" i="12"/>
  <c r="AQ32" i="12"/>
  <c r="J32" i="12"/>
  <c r="AL32" i="12"/>
  <c r="V32" i="12"/>
  <c r="AJ32" i="12"/>
  <c r="BA32" i="12"/>
  <c r="AS32" i="12"/>
  <c r="AU32" i="12"/>
  <c r="I32" i="12"/>
  <c r="U32" i="12"/>
  <c r="AX32" i="12"/>
  <c r="T32" i="12"/>
  <c r="AR10" i="12"/>
  <c r="AA10" i="12"/>
  <c r="J10" i="12"/>
  <c r="AT10" i="12"/>
  <c r="AK10" i="12"/>
  <c r="AN10" i="12"/>
  <c r="BC10" i="12"/>
  <c r="Z10" i="12"/>
  <c r="AJ10" i="12"/>
  <c r="S10" i="12"/>
  <c r="AW10" i="12"/>
  <c r="AL10" i="12"/>
  <c r="AF10" i="12"/>
  <c r="O10" i="12"/>
  <c r="AI10" i="12"/>
  <c r="AB10" i="12"/>
  <c r="K10" i="12"/>
  <c r="AO10" i="12"/>
  <c r="AD10" i="12"/>
  <c r="AV10" i="12"/>
  <c r="I10" i="12"/>
  <c r="BB10" i="12"/>
  <c r="T10" i="12"/>
  <c r="AX10" i="12"/>
  <c r="AG10" i="12"/>
  <c r="V10" i="12"/>
  <c r="AC10" i="12"/>
  <c r="M10" i="12"/>
  <c r="AE10" i="12"/>
  <c r="AZ10" i="12"/>
  <c r="W10" i="12"/>
  <c r="L10" i="12"/>
  <c r="AP10" i="12"/>
  <c r="Y10" i="12"/>
  <c r="N10" i="12"/>
  <c r="P10" i="12"/>
  <c r="AS10" i="12"/>
  <c r="AM10" i="12"/>
  <c r="AY10" i="12"/>
  <c r="AH10" i="12"/>
  <c r="Q10" i="12"/>
  <c r="BA10" i="12"/>
  <c r="AU10" i="12"/>
  <c r="U10" i="12"/>
  <c r="AQ10" i="12"/>
  <c r="X10" i="12"/>
  <c r="R10" i="12"/>
  <c r="H11" i="12"/>
  <c r="T20" i="7"/>
  <c r="U20" i="7" s="1"/>
  <c r="V20" i="7" s="1" a="1"/>
  <c r="V20" i="7" s="1"/>
  <c r="O20" i="7"/>
  <c r="E11" i="12" l="1"/>
  <c r="W20" i="7"/>
  <c r="F11" i="12" s="1"/>
  <c r="G12" i="12"/>
  <c r="Q21" i="7"/>
  <c r="R21" i="7" s="1"/>
  <c r="S21" i="7" s="1" a="1"/>
  <c r="S21" i="7" s="1"/>
  <c r="D12" i="12" s="1"/>
  <c r="N21" i="7"/>
  <c r="AS11" i="12" l="1"/>
  <c r="AU11" i="12"/>
  <c r="AK11" i="12"/>
  <c r="T11" i="12"/>
  <c r="AX11" i="12"/>
  <c r="AM11" i="12"/>
  <c r="AD11" i="12"/>
  <c r="N11" i="12"/>
  <c r="AG11" i="12"/>
  <c r="AA11" i="12"/>
  <c r="S11" i="12"/>
  <c r="V11" i="12"/>
  <c r="K11" i="12"/>
  <c r="AC11" i="12"/>
  <c r="L11" i="12"/>
  <c r="AP11" i="12"/>
  <c r="AE11" i="12"/>
  <c r="AT11" i="12"/>
  <c r="BB11" i="12"/>
  <c r="AZ11" i="12"/>
  <c r="R11" i="12"/>
  <c r="J11" i="12"/>
  <c r="AJ11" i="12"/>
  <c r="U11" i="12"/>
  <c r="AY11" i="12"/>
  <c r="AH11" i="12"/>
  <c r="W11" i="12"/>
  <c r="X11" i="12"/>
  <c r="I11" i="12"/>
  <c r="AI11" i="12"/>
  <c r="AW11" i="12"/>
  <c r="AO11" i="12"/>
  <c r="BA11" i="12"/>
  <c r="BC11" i="12"/>
  <c r="AB11" i="12"/>
  <c r="AF11" i="12"/>
  <c r="M11" i="12"/>
  <c r="AQ11" i="12"/>
  <c r="Z11" i="12"/>
  <c r="O11" i="12"/>
  <c r="P11" i="12"/>
  <c r="AN11" i="12"/>
  <c r="AV11" i="12"/>
  <c r="AR11" i="12"/>
  <c r="Y11" i="12"/>
  <c r="AL11" i="12"/>
  <c r="Q11" i="12"/>
  <c r="H12" i="12"/>
  <c r="T21" i="7"/>
  <c r="U21" i="7" s="1"/>
  <c r="V21" i="7" s="1" a="1"/>
  <c r="V21" i="7" s="1"/>
  <c r="O21" i="7"/>
  <c r="W21" i="7" l="1"/>
  <c r="F12" i="12" s="1"/>
  <c r="E12" i="12"/>
  <c r="G13" i="12"/>
  <c r="Q22" i="7"/>
  <c r="R22" i="7" s="1"/>
  <c r="S22" i="7" s="1" a="1"/>
  <c r="S22" i="7" s="1"/>
  <c r="D13" i="12" s="1"/>
  <c r="N22" i="7"/>
  <c r="BB12" i="12" l="1"/>
  <c r="AK12" i="12"/>
  <c r="T12" i="12"/>
  <c r="AV12" i="12"/>
  <c r="Z12" i="12"/>
  <c r="BC12" i="12"/>
  <c r="J12" i="12"/>
  <c r="AT12" i="12"/>
  <c r="AC12" i="12"/>
  <c r="L12" i="12"/>
  <c r="AN12" i="12"/>
  <c r="AU12" i="12"/>
  <c r="AL12" i="12"/>
  <c r="U12" i="12"/>
  <c r="AY12" i="12"/>
  <c r="AF12" i="12"/>
  <c r="AO12" i="12"/>
  <c r="AW12" i="12"/>
  <c r="AM12" i="12"/>
  <c r="K12" i="12"/>
  <c r="AD12" i="12"/>
  <c r="M12" i="12"/>
  <c r="AQ12" i="12"/>
  <c r="X12" i="12"/>
  <c r="R12" i="12"/>
  <c r="Y12" i="12"/>
  <c r="S12" i="12"/>
  <c r="AG12" i="12"/>
  <c r="V12" i="12"/>
  <c r="AZ12" i="12"/>
  <c r="AI12" i="12"/>
  <c r="P12" i="12"/>
  <c r="AX12" i="12"/>
  <c r="AH12" i="12"/>
  <c r="AJ12" i="12"/>
  <c r="W12" i="12"/>
  <c r="AS12" i="12"/>
  <c r="N12" i="12"/>
  <c r="AR12" i="12"/>
  <c r="AA12" i="12"/>
  <c r="AP12" i="12"/>
  <c r="I12" i="12"/>
  <c r="O12" i="12"/>
  <c r="BA12" i="12"/>
  <c r="AE12" i="12"/>
  <c r="AB12" i="12"/>
  <c r="Q12" i="12"/>
  <c r="H13" i="12"/>
  <c r="T22" i="7"/>
  <c r="U22" i="7" s="1"/>
  <c r="V22" i="7" s="1" a="1"/>
  <c r="V22" i="7" s="1"/>
  <c r="O22" i="7"/>
  <c r="W22" i="7" l="1"/>
  <c r="F13" i="12" s="1"/>
  <c r="E13" i="12"/>
  <c r="G14" i="12"/>
  <c r="Q23" i="7"/>
  <c r="R23" i="7" s="1"/>
  <c r="S23" i="7" s="1" a="1"/>
  <c r="S23" i="7" s="1"/>
  <c r="D14" i="12" s="1"/>
  <c r="N23" i="7"/>
  <c r="BC13" i="12" l="1"/>
  <c r="AL13" i="12"/>
  <c r="U13" i="12"/>
  <c r="AW13" i="12"/>
  <c r="AA13" i="12"/>
  <c r="J13" i="12"/>
  <c r="N13" i="12"/>
  <c r="AP13" i="12"/>
  <c r="AS13" i="12"/>
  <c r="P13" i="12"/>
  <c r="T13" i="12"/>
  <c r="K13" i="12"/>
  <c r="AU13" i="12"/>
  <c r="AD13" i="12"/>
  <c r="M13" i="12"/>
  <c r="AO13" i="12"/>
  <c r="Z13" i="12"/>
  <c r="AX13" i="12"/>
  <c r="AR13" i="12"/>
  <c r="I13" i="12"/>
  <c r="X13" i="12"/>
  <c r="L13" i="12"/>
  <c r="AM13" i="12"/>
  <c r="V13" i="12"/>
  <c r="AZ13" i="12"/>
  <c r="AG13" i="12"/>
  <c r="AQ13" i="12"/>
  <c r="AV13" i="12"/>
  <c r="AE13" i="12"/>
  <c r="Y13" i="12"/>
  <c r="S13" i="12"/>
  <c r="AB13" i="12"/>
  <c r="AF13" i="12"/>
  <c r="AK13" i="12"/>
  <c r="AH13" i="12"/>
  <c r="AT13" i="12"/>
  <c r="W13" i="12"/>
  <c r="BA13" i="12"/>
  <c r="AJ13" i="12"/>
  <c r="Q13" i="12"/>
  <c r="AI13" i="12"/>
  <c r="AY13" i="12"/>
  <c r="O13" i="12"/>
  <c r="BB13" i="12"/>
  <c r="AN13" i="12"/>
  <c r="AC13" i="12"/>
  <c r="R13" i="12"/>
  <c r="H14" i="12"/>
  <c r="T23" i="7"/>
  <c r="U23" i="7" s="1"/>
  <c r="V23" i="7" s="1" a="1"/>
  <c r="V23" i="7" s="1"/>
  <c r="O23" i="7"/>
  <c r="G15" i="12" l="1"/>
  <c r="Q24" i="7"/>
  <c r="R24" i="7" s="1"/>
  <c r="S24" i="7" s="1" a="1"/>
  <c r="S24" i="7" s="1"/>
  <c r="D15" i="12" s="1"/>
  <c r="W23" i="7"/>
  <c r="F14" i="12" s="1"/>
  <c r="E14" i="12"/>
  <c r="N24" i="7"/>
  <c r="AN14" i="12" l="1"/>
  <c r="W14" i="12"/>
  <c r="BA14" i="12"/>
  <c r="AH14" i="12"/>
  <c r="AJ14" i="12"/>
  <c r="AR14" i="12"/>
  <c r="AK14" i="12"/>
  <c r="Q14" i="12"/>
  <c r="AC14" i="12"/>
  <c r="AW14" i="12"/>
  <c r="AB14" i="12"/>
  <c r="AP14" i="12"/>
  <c r="AF14" i="12"/>
  <c r="O14" i="12"/>
  <c r="AS14" i="12"/>
  <c r="Z14" i="12"/>
  <c r="AZ14" i="12"/>
  <c r="S14" i="12"/>
  <c r="BB14" i="12"/>
  <c r="AG14" i="12"/>
  <c r="AT14" i="12"/>
  <c r="V14" i="12"/>
  <c r="X14" i="12"/>
  <c r="R14" i="12"/>
  <c r="J14" i="12"/>
  <c r="AX14" i="12"/>
  <c r="P14" i="12"/>
  <c r="K14" i="12"/>
  <c r="Y14" i="12"/>
  <c r="AV14" i="12"/>
  <c r="AO14" i="12"/>
  <c r="BC14" i="12"/>
  <c r="AL14" i="12"/>
  <c r="U14" i="12"/>
  <c r="AI14" i="12"/>
  <c r="AQ14" i="12"/>
  <c r="AA14" i="12"/>
  <c r="AM14" i="12"/>
  <c r="N14" i="12"/>
  <c r="I14" i="12"/>
  <c r="AU14" i="12"/>
  <c r="AD14" i="12"/>
  <c r="M14" i="12"/>
  <c r="L14" i="12"/>
  <c r="AY14" i="12"/>
  <c r="T14" i="12"/>
  <c r="AE14" i="12"/>
  <c r="H15" i="12"/>
  <c r="T24" i="7"/>
  <c r="U24" i="7" s="1"/>
  <c r="V24" i="7" s="1" a="1"/>
  <c r="V24" i="7" s="1"/>
  <c r="O24" i="7"/>
  <c r="G16" i="12" l="1"/>
  <c r="Q25" i="7"/>
  <c r="R25" i="7" s="1"/>
  <c r="S25" i="7" s="1" a="1"/>
  <c r="S25" i="7" s="1"/>
  <c r="D16" i="12" s="1"/>
  <c r="W24" i="7"/>
  <c r="F15" i="12" s="1"/>
  <c r="E15" i="12"/>
  <c r="N25" i="7"/>
  <c r="AW15" i="12" l="1"/>
  <c r="AF15" i="12"/>
  <c r="O15" i="12"/>
  <c r="AQ15" i="12"/>
  <c r="AP15" i="12"/>
  <c r="M15" i="12"/>
  <c r="Y15" i="12"/>
  <c r="AC15" i="12"/>
  <c r="AY15" i="12"/>
  <c r="Z15" i="12"/>
  <c r="AO15" i="12"/>
  <c r="X15" i="12"/>
  <c r="BB15" i="12"/>
  <c r="AI15" i="12"/>
  <c r="AJ15" i="12"/>
  <c r="BA15" i="12"/>
  <c r="BC15" i="12"/>
  <c r="AX15" i="12"/>
  <c r="AE15" i="12"/>
  <c r="R15" i="12"/>
  <c r="AN15" i="12"/>
  <c r="AG15" i="12"/>
  <c r="P15" i="12"/>
  <c r="AT15" i="12"/>
  <c r="AA15" i="12"/>
  <c r="AH15" i="12"/>
  <c r="L15" i="12"/>
  <c r="AL15" i="12"/>
  <c r="S15" i="12"/>
  <c r="AR15" i="12"/>
  <c r="AV15" i="12"/>
  <c r="AS15" i="12"/>
  <c r="J15" i="12"/>
  <c r="Q15" i="12"/>
  <c r="AU15" i="12"/>
  <c r="AD15" i="12"/>
  <c r="K15" i="12"/>
  <c r="AB15" i="12"/>
  <c r="U15" i="12"/>
  <c r="N15" i="12"/>
  <c r="W15" i="12"/>
  <c r="I15" i="12"/>
  <c r="AM15" i="12"/>
  <c r="V15" i="12"/>
  <c r="AZ15" i="12"/>
  <c r="T15" i="12"/>
  <c r="AK15" i="12"/>
  <c r="H16" i="12"/>
  <c r="T25" i="7"/>
  <c r="U25" i="7" s="1"/>
  <c r="V25" i="7" s="1" a="1"/>
  <c r="V25" i="7" s="1"/>
  <c r="O25" i="7"/>
  <c r="G17" i="12" l="1"/>
  <c r="Q26" i="7"/>
  <c r="R26" i="7" s="1"/>
  <c r="S26" i="7" s="1" a="1"/>
  <c r="S26" i="7" s="1"/>
  <c r="D17" i="12" s="1"/>
  <c r="E16" i="12"/>
  <c r="W25" i="7"/>
  <c r="F16" i="12" s="1"/>
  <c r="N26" i="7"/>
  <c r="AP16" i="12" l="1"/>
  <c r="Y16" i="12"/>
  <c r="BC16" i="12"/>
  <c r="AJ16" i="12"/>
  <c r="AS16" i="12"/>
  <c r="AL16" i="12"/>
  <c r="AD16" i="12"/>
  <c r="AG16" i="12"/>
  <c r="AH16" i="12"/>
  <c r="Q16" i="12"/>
  <c r="AU16" i="12"/>
  <c r="AB16" i="12"/>
  <c r="V16" i="12"/>
  <c r="S16" i="12"/>
  <c r="I16" i="12"/>
  <c r="T16" i="12"/>
  <c r="N16" i="12"/>
  <c r="AZ16" i="12"/>
  <c r="K16" i="12"/>
  <c r="Z16" i="12"/>
  <c r="AM16" i="12"/>
  <c r="M16" i="12"/>
  <c r="AY16" i="12"/>
  <c r="X16" i="12"/>
  <c r="AC16" i="12"/>
  <c r="R16" i="12"/>
  <c r="AV16" i="12"/>
  <c r="AE16" i="12"/>
  <c r="L16" i="12"/>
  <c r="AQ16" i="12"/>
  <c r="BB16" i="12"/>
  <c r="BA16" i="12"/>
  <c r="J16" i="12"/>
  <c r="AN16" i="12"/>
  <c r="W16" i="12"/>
  <c r="AT16" i="12"/>
  <c r="U16" i="12"/>
  <c r="AI16" i="12"/>
  <c r="P16" i="12"/>
  <c r="AW16" i="12"/>
  <c r="AF16" i="12"/>
  <c r="O16" i="12"/>
  <c r="AA16" i="12"/>
  <c r="AK16" i="12"/>
  <c r="AO16" i="12"/>
  <c r="AX16" i="12"/>
  <c r="AR16" i="12"/>
  <c r="H17" i="12"/>
  <c r="T26" i="7"/>
  <c r="U26" i="7" s="1"/>
  <c r="V26" i="7" s="1" a="1"/>
  <c r="V26" i="7" s="1"/>
  <c r="O26" i="7"/>
  <c r="G18" i="12" l="1"/>
  <c r="Q27" i="7"/>
  <c r="R27" i="7" s="1"/>
  <c r="S27" i="7" s="1" a="1"/>
  <c r="S27" i="7" s="1"/>
  <c r="D18" i="12" s="1"/>
  <c r="E17" i="12"/>
  <c r="W26" i="7"/>
  <c r="F17" i="12" s="1"/>
  <c r="N27" i="7"/>
  <c r="AQ17" i="12" l="1"/>
  <c r="Z17" i="12"/>
  <c r="I17" i="12"/>
  <c r="AK17" i="12"/>
  <c r="AB17" i="12"/>
  <c r="AU17" i="12"/>
  <c r="AA17" i="12"/>
  <c r="AN17" i="12"/>
  <c r="AM17" i="12"/>
  <c r="BC17" i="12"/>
  <c r="AW17" i="12"/>
  <c r="M17" i="12"/>
  <c r="AJ17" i="12"/>
  <c r="AY17" i="12"/>
  <c r="Q17" i="12"/>
  <c r="AI17" i="12"/>
  <c r="R17" i="12"/>
  <c r="AV17" i="12"/>
  <c r="AC17" i="12"/>
  <c r="AT17" i="12"/>
  <c r="W17" i="12"/>
  <c r="J17" i="12"/>
  <c r="U17" i="12"/>
  <c r="S17" i="12"/>
  <c r="AF17" i="12"/>
  <c r="T17" i="12"/>
  <c r="AS17" i="12"/>
  <c r="L17" i="12"/>
  <c r="K17" i="12"/>
  <c r="AO17" i="12"/>
  <c r="X17" i="12"/>
  <c r="AR17" i="12"/>
  <c r="AD17" i="12"/>
  <c r="N17" i="12"/>
  <c r="AP17" i="12"/>
  <c r="Y17" i="12"/>
  <c r="BA17" i="12"/>
  <c r="BB17" i="12"/>
  <c r="O17" i="12"/>
  <c r="AH17" i="12"/>
  <c r="AE17" i="12"/>
  <c r="AX17" i="12"/>
  <c r="AG17" i="12"/>
  <c r="P17" i="12"/>
  <c r="V17" i="12"/>
  <c r="AL17" i="12"/>
  <c r="AZ17" i="12"/>
  <c r="H18" i="12"/>
  <c r="T27" i="7"/>
  <c r="U27" i="7" s="1"/>
  <c r="V27" i="7" s="1" a="1"/>
  <c r="V27" i="7" s="1"/>
  <c r="O27" i="7"/>
  <c r="G19" i="12" l="1"/>
  <c r="Q28" i="7"/>
  <c r="R28" i="7" s="1"/>
  <c r="S28" i="7" s="1" a="1"/>
  <c r="S28" i="7" s="1"/>
  <c r="D19" i="12" s="1"/>
  <c r="E18" i="12"/>
  <c r="W27" i="7"/>
  <c r="F18" i="12" s="1"/>
  <c r="N28" i="7"/>
  <c r="AR18" i="12" l="1"/>
  <c r="AA18" i="12"/>
  <c r="J18" i="12"/>
  <c r="AT18" i="12"/>
  <c r="X18" i="12"/>
  <c r="AC18" i="12"/>
  <c r="K18" i="12"/>
  <c r="AD18" i="12"/>
  <c r="U18" i="12"/>
  <c r="AG18" i="12"/>
  <c r="L18" i="12"/>
  <c r="O18" i="12"/>
  <c r="AF18" i="12"/>
  <c r="AJ18" i="12"/>
  <c r="S18" i="12"/>
  <c r="AW18" i="12"/>
  <c r="AL18" i="12"/>
  <c r="W18" i="12"/>
  <c r="AS18" i="12"/>
  <c r="AN18" i="12"/>
  <c r="AX18" i="12"/>
  <c r="V18" i="12"/>
  <c r="AP18" i="12"/>
  <c r="N18" i="12"/>
  <c r="AU18" i="12"/>
  <c r="AB18" i="12"/>
  <c r="AO18" i="12"/>
  <c r="AK18" i="12"/>
  <c r="M18" i="12"/>
  <c r="T18" i="12"/>
  <c r="BA18" i="12"/>
  <c r="AE18" i="12"/>
  <c r="BC18" i="12"/>
  <c r="AZ18" i="12"/>
  <c r="AI18" i="12"/>
  <c r="BB18" i="12"/>
  <c r="Y18" i="12"/>
  <c r="AY18" i="12"/>
  <c r="AH18" i="12"/>
  <c r="Q18" i="12"/>
  <c r="AM18" i="12"/>
  <c r="AV18" i="12"/>
  <c r="AQ18" i="12"/>
  <c r="Z18" i="12"/>
  <c r="I18" i="12"/>
  <c r="P18" i="12"/>
  <c r="R18" i="12"/>
  <c r="H19" i="12"/>
  <c r="T28" i="7"/>
  <c r="U28" i="7" s="1"/>
  <c r="V28" i="7" s="1" a="1"/>
  <c r="V28" i="7" s="1"/>
  <c r="O28" i="7"/>
  <c r="G20" i="12" l="1"/>
  <c r="Q29" i="7"/>
  <c r="R29" i="7" s="1"/>
  <c r="S29" i="7" s="1" a="1"/>
  <c r="S29" i="7" s="1"/>
  <c r="D20" i="12" s="1"/>
  <c r="E19" i="12"/>
  <c r="W28" i="7"/>
  <c r="F19" i="12" s="1"/>
  <c r="N29" i="7"/>
  <c r="AS19" i="12" l="1"/>
  <c r="AB19" i="12"/>
  <c r="K19" i="12"/>
  <c r="AU19" i="12"/>
  <c r="BB19" i="12"/>
  <c r="AN19" i="12"/>
  <c r="AM19" i="12"/>
  <c r="AL19" i="12"/>
  <c r="X19" i="12"/>
  <c r="AJ19" i="12"/>
  <c r="AK19" i="12"/>
  <c r="T19" i="12"/>
  <c r="AX19" i="12"/>
  <c r="AF19" i="12"/>
  <c r="W19" i="12"/>
  <c r="AC19" i="12"/>
  <c r="L19" i="12"/>
  <c r="AP19" i="12"/>
  <c r="AE19" i="12"/>
  <c r="I19" i="12"/>
  <c r="AV19" i="12"/>
  <c r="AD19" i="12"/>
  <c r="U19" i="12"/>
  <c r="AY19" i="12"/>
  <c r="AH19" i="12"/>
  <c r="Y19" i="12"/>
  <c r="BC19" i="12"/>
  <c r="M19" i="12"/>
  <c r="AQ19" i="12"/>
  <c r="Z19" i="12"/>
  <c r="O19" i="12"/>
  <c r="V19" i="12"/>
  <c r="AT19" i="12"/>
  <c r="AI19" i="12"/>
  <c r="AG19" i="12"/>
  <c r="P19" i="12"/>
  <c r="N19" i="12"/>
  <c r="Q19" i="12"/>
  <c r="AZ19" i="12"/>
  <c r="R19" i="12"/>
  <c r="AO19" i="12"/>
  <c r="S19" i="12"/>
  <c r="AR19" i="12"/>
  <c r="AA19" i="12"/>
  <c r="J19" i="12"/>
  <c r="AW19" i="12"/>
  <c r="BA19" i="12"/>
  <c r="H20" i="12"/>
  <c r="T29" i="7"/>
  <c r="U29" i="7" s="1"/>
  <c r="V29" i="7" s="1" a="1"/>
  <c r="V29" i="7" s="1"/>
  <c r="O29" i="7"/>
  <c r="W29" i="7" l="1"/>
  <c r="F20" i="12" s="1"/>
  <c r="E20" i="12"/>
  <c r="G21" i="12"/>
  <c r="Q30" i="7"/>
  <c r="R30" i="7" s="1"/>
  <c r="S30" i="7" s="1" a="1"/>
  <c r="S30" i="7" s="1"/>
  <c r="D21" i="12" s="1"/>
  <c r="N30" i="7"/>
  <c r="AT20" i="12" l="1"/>
  <c r="AC20" i="12"/>
  <c r="L20" i="12"/>
  <c r="AN20" i="12"/>
  <c r="O20" i="12"/>
  <c r="Q20" i="12"/>
  <c r="AF20" i="12"/>
  <c r="AH20" i="12"/>
  <c r="Z20" i="12"/>
  <c r="S20" i="12"/>
  <c r="AM20" i="12"/>
  <c r="I20" i="12"/>
  <c r="R20" i="12"/>
  <c r="AL20" i="12"/>
  <c r="U20" i="12"/>
  <c r="AY20" i="12"/>
  <c r="BC20" i="12"/>
  <c r="AA20" i="12"/>
  <c r="BB20" i="12"/>
  <c r="AD20" i="12"/>
  <c r="M20" i="12"/>
  <c r="AQ20" i="12"/>
  <c r="X20" i="12"/>
  <c r="J20" i="12"/>
  <c r="AG20" i="12"/>
  <c r="P20" i="12"/>
  <c r="AP20" i="12"/>
  <c r="AX20" i="12"/>
  <c r="AJ20" i="12"/>
  <c r="AU20" i="12"/>
  <c r="K20" i="12"/>
  <c r="AO20" i="12"/>
  <c r="V20" i="12"/>
  <c r="AZ20" i="12"/>
  <c r="AI20" i="12"/>
  <c r="AW20" i="12"/>
  <c r="AR20" i="12"/>
  <c r="W20" i="12"/>
  <c r="AE20" i="12"/>
  <c r="AS20" i="12"/>
  <c r="Y20" i="12"/>
  <c r="T20" i="12"/>
  <c r="N20" i="12"/>
  <c r="AK20" i="12"/>
  <c r="BA20" i="12"/>
  <c r="AB20" i="12"/>
  <c r="AV20" i="12"/>
  <c r="H21" i="12"/>
  <c r="T30" i="7"/>
  <c r="U30" i="7" s="1"/>
  <c r="V30" i="7" s="1" a="1"/>
  <c r="V30" i="7" s="1"/>
  <c r="O30" i="7"/>
  <c r="E21" i="12" l="1"/>
  <c r="W30" i="7"/>
  <c r="F21" i="12" s="1"/>
  <c r="G22" i="12"/>
  <c r="Q31" i="7"/>
  <c r="R31" i="7" s="1"/>
  <c r="S31" i="7" s="1" a="1"/>
  <c r="S31" i="7" s="1"/>
  <c r="D22" i="12" s="1"/>
  <c r="N31" i="7"/>
  <c r="BC21" i="12" l="1"/>
  <c r="AL21" i="12"/>
  <c r="U21" i="12"/>
  <c r="AW21" i="12"/>
  <c r="AI21" i="12"/>
  <c r="P21" i="12"/>
  <c r="AU21" i="12"/>
  <c r="AD21" i="12"/>
  <c r="M21" i="12"/>
  <c r="AO21" i="12"/>
  <c r="AF21" i="12"/>
  <c r="AY21" i="12"/>
  <c r="AC21" i="12"/>
  <c r="AM21" i="12"/>
  <c r="V21" i="12"/>
  <c r="AZ21" i="12"/>
  <c r="AG21" i="12"/>
  <c r="AX21" i="12"/>
  <c r="AA21" i="12"/>
  <c r="Z21" i="12"/>
  <c r="AE21" i="12"/>
  <c r="N21" i="12"/>
  <c r="AR21" i="12"/>
  <c r="Y21" i="12"/>
  <c r="AQ21" i="12"/>
  <c r="AN21" i="12"/>
  <c r="BA21" i="12"/>
  <c r="Q21" i="12"/>
  <c r="R21" i="12"/>
  <c r="S21" i="12"/>
  <c r="W21" i="12"/>
  <c r="AJ21" i="12"/>
  <c r="X21" i="12"/>
  <c r="O21" i="12"/>
  <c r="AS21" i="12"/>
  <c r="AB21" i="12"/>
  <c r="I21" i="12"/>
  <c r="K21" i="12"/>
  <c r="AH21" i="12"/>
  <c r="AT21" i="12"/>
  <c r="BB21" i="12"/>
  <c r="AK21" i="12"/>
  <c r="T21" i="12"/>
  <c r="AV21" i="12"/>
  <c r="AP21" i="12"/>
  <c r="J21" i="12"/>
  <c r="L21" i="12"/>
  <c r="H22" i="12"/>
  <c r="T31" i="7"/>
  <c r="U31" i="7" s="1"/>
  <c r="V31" i="7" s="1" a="1"/>
  <c r="V31" i="7" s="1"/>
  <c r="O31" i="7"/>
  <c r="G23" i="12" l="1"/>
  <c r="Q32" i="7"/>
  <c r="R32" i="7" s="1"/>
  <c r="S32" i="7" s="1" a="1"/>
  <c r="S32" i="7" s="1"/>
  <c r="D23" i="12" s="1"/>
  <c r="W31" i="7"/>
  <c r="F22" i="12" s="1"/>
  <c r="E22" i="12"/>
  <c r="N32" i="7"/>
  <c r="AV22" i="12" l="1"/>
  <c r="AE22" i="12"/>
  <c r="N22" i="12"/>
  <c r="AP22" i="12"/>
  <c r="AR22" i="12"/>
  <c r="AW22" i="12"/>
  <c r="V22" i="12"/>
  <c r="AN22" i="12"/>
  <c r="W22" i="12"/>
  <c r="BA22" i="12"/>
  <c r="AH22" i="12"/>
  <c r="AO22" i="12"/>
  <c r="Y22" i="12"/>
  <c r="AX22" i="12"/>
  <c r="AF22" i="12"/>
  <c r="O22" i="12"/>
  <c r="AS22" i="12"/>
  <c r="Z22" i="12"/>
  <c r="S22" i="12"/>
  <c r="AI22" i="12"/>
  <c r="AM22" i="12"/>
  <c r="X22" i="12"/>
  <c r="BB22" i="12"/>
  <c r="AK22" i="12"/>
  <c r="R22" i="12"/>
  <c r="K22" i="12"/>
  <c r="L22" i="12"/>
  <c r="P22" i="12"/>
  <c r="AT22" i="12"/>
  <c r="AC22" i="12"/>
  <c r="J22" i="12"/>
  <c r="AB22" i="12"/>
  <c r="AG22" i="12"/>
  <c r="AZ22" i="12"/>
  <c r="BC22" i="12"/>
  <c r="AL22" i="12"/>
  <c r="U22" i="12"/>
  <c r="AQ22" i="12"/>
  <c r="AJ22" i="12"/>
  <c r="AY22" i="12"/>
  <c r="AU22" i="12"/>
  <c r="AD22" i="12"/>
  <c r="M22" i="12"/>
  <c r="T22" i="12"/>
  <c r="Q22" i="12"/>
  <c r="I22" i="12"/>
  <c r="AA22" i="12"/>
  <c r="H23" i="12"/>
  <c r="T32" i="7"/>
  <c r="U32" i="7" s="1"/>
  <c r="V32" i="7" s="1" a="1"/>
  <c r="V32" i="7" s="1"/>
  <c r="O32" i="7"/>
  <c r="G24" i="12" l="1"/>
  <c r="Q33" i="7"/>
  <c r="R33" i="7" s="1"/>
  <c r="S33" i="7" s="1" a="1"/>
  <c r="S33" i="7" s="1"/>
  <c r="D24" i="12" s="1"/>
  <c r="E23" i="12"/>
  <c r="W32" i="7"/>
  <c r="F23" i="12" s="1"/>
  <c r="N33" i="7"/>
  <c r="AO23" i="12" l="1"/>
  <c r="X23" i="12"/>
  <c r="BB23" i="12"/>
  <c r="AI23" i="12"/>
  <c r="AP23" i="12"/>
  <c r="AR23" i="12"/>
  <c r="T23" i="12"/>
  <c r="K23" i="12"/>
  <c r="V23" i="12"/>
  <c r="J23" i="12"/>
  <c r="AW23" i="12"/>
  <c r="AF23" i="12"/>
  <c r="AG23" i="12"/>
  <c r="P23" i="12"/>
  <c r="AT23" i="12"/>
  <c r="AA23" i="12"/>
  <c r="AJ23" i="12"/>
  <c r="AU23" i="12"/>
  <c r="AC23" i="12"/>
  <c r="AK23" i="12"/>
  <c r="AX23" i="12"/>
  <c r="Y23" i="12"/>
  <c r="BC23" i="12"/>
  <c r="AL23" i="12"/>
  <c r="S23" i="12"/>
  <c r="M23" i="12"/>
  <c r="AZ23" i="12"/>
  <c r="AS23" i="12"/>
  <c r="AM23" i="12"/>
  <c r="O23" i="12"/>
  <c r="Q23" i="12"/>
  <c r="AD23" i="12"/>
  <c r="BA23" i="12"/>
  <c r="AQ23" i="12"/>
  <c r="I23" i="12"/>
  <c r="U23" i="12"/>
  <c r="AV23" i="12"/>
  <c r="AE23" i="12"/>
  <c r="N23" i="12"/>
  <c r="R23" i="12"/>
  <c r="AH23" i="12"/>
  <c r="Z23" i="12"/>
  <c r="W23" i="12"/>
  <c r="AY23" i="12"/>
  <c r="L23" i="12"/>
  <c r="AN23" i="12"/>
  <c r="AB23" i="12"/>
  <c r="H24" i="12"/>
  <c r="T33" i="7"/>
  <c r="U33" i="7" s="1"/>
  <c r="V33" i="7" s="1" a="1"/>
  <c r="V33" i="7" s="1"/>
  <c r="O33" i="7"/>
  <c r="E24" i="12" l="1"/>
  <c r="W33" i="7"/>
  <c r="F24" i="12" s="1"/>
  <c r="G25" i="12"/>
  <c r="Q34" i="7"/>
  <c r="R34" i="7" s="1"/>
  <c r="S34" i="7" s="1" a="1"/>
  <c r="S34" i="7" s="1"/>
  <c r="D25" i="12" s="1"/>
  <c r="N34" i="7"/>
  <c r="AX24" i="12" l="1"/>
  <c r="AG24" i="12"/>
  <c r="P24" i="12"/>
  <c r="AR24" i="12"/>
  <c r="V24" i="12"/>
  <c r="AC24" i="12"/>
  <c r="AP24" i="12"/>
  <c r="Y24" i="12"/>
  <c r="BC24" i="12"/>
  <c r="AJ24" i="12"/>
  <c r="S24" i="12"/>
  <c r="N24" i="12"/>
  <c r="AH24" i="12"/>
  <c r="Q24" i="12"/>
  <c r="AU24" i="12"/>
  <c r="AB24" i="12"/>
  <c r="BA24" i="12"/>
  <c r="AT24" i="12"/>
  <c r="Z24" i="12"/>
  <c r="I24" i="12"/>
  <c r="AM24" i="12"/>
  <c r="T24" i="12"/>
  <c r="AD24" i="12"/>
  <c r="AA24" i="12"/>
  <c r="R24" i="12"/>
  <c r="AV24" i="12"/>
  <c r="AE24" i="12"/>
  <c r="L24" i="12"/>
  <c r="K24" i="12"/>
  <c r="AQ24" i="12"/>
  <c r="J24" i="12"/>
  <c r="AN24" i="12"/>
  <c r="W24" i="12"/>
  <c r="BB24" i="12"/>
  <c r="AS24" i="12"/>
  <c r="U24" i="12"/>
  <c r="AW24" i="12"/>
  <c r="AF24" i="12"/>
  <c r="O24" i="12"/>
  <c r="AI24" i="12"/>
  <c r="AL24" i="12"/>
  <c r="AK24" i="12"/>
  <c r="AO24" i="12"/>
  <c r="X24" i="12"/>
  <c r="AZ24" i="12"/>
  <c r="M24" i="12"/>
  <c r="AY24" i="12"/>
  <c r="H25" i="12"/>
  <c r="T34" i="7"/>
  <c r="U34" i="7" s="1"/>
  <c r="V34" i="7" s="1" a="1"/>
  <c r="V34" i="7" s="1"/>
  <c r="O34" i="7"/>
  <c r="G26" i="12" l="1"/>
  <c r="Q35" i="7"/>
  <c r="R35" i="7" s="1"/>
  <c r="S35" i="7" s="1" a="1"/>
  <c r="S35" i="7" s="1"/>
  <c r="D26" i="12" s="1"/>
  <c r="E25" i="12"/>
  <c r="W34" i="7"/>
  <c r="F25" i="12" s="1"/>
  <c r="N35" i="7"/>
  <c r="AY25" i="12" l="1"/>
  <c r="AH25" i="12"/>
  <c r="Q25" i="12"/>
  <c r="AS25" i="12"/>
  <c r="BB25" i="12"/>
  <c r="BC25" i="12"/>
  <c r="AQ25" i="12"/>
  <c r="Z25" i="12"/>
  <c r="I25" i="12"/>
  <c r="AK25" i="12"/>
  <c r="L25" i="12"/>
  <c r="N25" i="12"/>
  <c r="AI25" i="12"/>
  <c r="R25" i="12"/>
  <c r="AV25" i="12"/>
  <c r="AC25" i="12"/>
  <c r="AU25" i="12"/>
  <c r="AE25" i="12"/>
  <c r="AA25" i="12"/>
  <c r="J25" i="12"/>
  <c r="AN25" i="12"/>
  <c r="U25" i="12"/>
  <c r="AB25" i="12"/>
  <c r="AR25" i="12"/>
  <c r="S25" i="12"/>
  <c r="AW25" i="12"/>
  <c r="AF25" i="12"/>
  <c r="M25" i="12"/>
  <c r="O25" i="12"/>
  <c r="V25" i="12"/>
  <c r="K25" i="12"/>
  <c r="AO25" i="12"/>
  <c r="X25" i="12"/>
  <c r="AZ25" i="12"/>
  <c r="AT25" i="12"/>
  <c r="T25" i="12"/>
  <c r="AX25" i="12"/>
  <c r="AG25" i="12"/>
  <c r="P25" i="12"/>
  <c r="AD25" i="12"/>
  <c r="W25" i="12"/>
  <c r="AL25" i="12"/>
  <c r="AP25" i="12"/>
  <c r="Y25" i="12"/>
  <c r="BA25" i="12"/>
  <c r="AJ25" i="12"/>
  <c r="AM25" i="12"/>
  <c r="H26" i="12"/>
  <c r="T35" i="7"/>
  <c r="U35" i="7" s="1"/>
  <c r="V35" i="7" s="1" a="1"/>
  <c r="V35" i="7" s="1"/>
  <c r="O35" i="7"/>
  <c r="E26" i="12" l="1"/>
  <c r="W35" i="7"/>
  <c r="F26" i="12" s="1"/>
  <c r="G27" i="12"/>
  <c r="Q36" i="7"/>
  <c r="R36" i="7" s="1"/>
  <c r="S36" i="7" s="1" a="1"/>
  <c r="S36" i="7" s="1"/>
  <c r="D27" i="12" s="1"/>
  <c r="N36" i="7"/>
  <c r="AR26" i="12" l="1"/>
  <c r="AA26" i="12"/>
  <c r="J26" i="12"/>
  <c r="AT26" i="12"/>
  <c r="AE26" i="12"/>
  <c r="AC26" i="12"/>
  <c r="AM26" i="12"/>
  <c r="P26" i="12"/>
  <c r="Q26" i="12"/>
  <c r="O26" i="12"/>
  <c r="AJ26" i="12"/>
  <c r="S26" i="12"/>
  <c r="AW26" i="12"/>
  <c r="AL26" i="12"/>
  <c r="AV26" i="12"/>
  <c r="AD26" i="12"/>
  <c r="AN26" i="12"/>
  <c r="AZ26" i="12"/>
  <c r="R26" i="12"/>
  <c r="AB26" i="12"/>
  <c r="K26" i="12"/>
  <c r="AO26" i="12"/>
  <c r="AS26" i="12"/>
  <c r="AH26" i="12"/>
  <c r="BA26" i="12"/>
  <c r="T26" i="12"/>
  <c r="AX26" i="12"/>
  <c r="AG26" i="12"/>
  <c r="V26" i="12"/>
  <c r="W26" i="12"/>
  <c r="BC26" i="12"/>
  <c r="AP26" i="12"/>
  <c r="N26" i="12"/>
  <c r="M26" i="12"/>
  <c r="AU26" i="12"/>
  <c r="AK26" i="12"/>
  <c r="L26" i="12"/>
  <c r="Y26" i="12"/>
  <c r="AF26" i="12"/>
  <c r="BB26" i="12"/>
  <c r="AY26" i="12"/>
  <c r="AI26" i="12"/>
  <c r="AQ26" i="12"/>
  <c r="Z26" i="12"/>
  <c r="I26" i="12"/>
  <c r="X26" i="12"/>
  <c r="U26" i="12"/>
  <c r="H27" i="12"/>
  <c r="T36" i="7"/>
  <c r="U36" i="7" s="1"/>
  <c r="V36" i="7" s="1" a="1"/>
  <c r="V36" i="7" s="1"/>
  <c r="O36" i="7"/>
  <c r="G28" i="12" l="1"/>
  <c r="Q37" i="7"/>
  <c r="R37" i="7" s="1"/>
  <c r="S37" i="7" s="1" a="1"/>
  <c r="S37" i="7" s="1"/>
  <c r="D28" i="12" s="1"/>
  <c r="E27" i="12"/>
  <c r="W36" i="7"/>
  <c r="F27" i="12" s="1"/>
  <c r="N37" i="7"/>
  <c r="BA27" i="12" l="1"/>
  <c r="AJ27" i="12"/>
  <c r="S27" i="12"/>
  <c r="BC27" i="12"/>
  <c r="BB27" i="12"/>
  <c r="AF27" i="12"/>
  <c r="V27" i="12"/>
  <c r="AS27" i="12"/>
  <c r="AB27" i="12"/>
  <c r="K27" i="12"/>
  <c r="AU27" i="12"/>
  <c r="I27" i="12"/>
  <c r="Y27" i="12"/>
  <c r="AK27" i="12"/>
  <c r="T27" i="12"/>
  <c r="AX27" i="12"/>
  <c r="AM27" i="12"/>
  <c r="AV27" i="12"/>
  <c r="X27" i="12"/>
  <c r="P27" i="12"/>
  <c r="AC27" i="12"/>
  <c r="L27" i="12"/>
  <c r="AP27" i="12"/>
  <c r="AE27" i="12"/>
  <c r="AT27" i="12"/>
  <c r="AG27" i="12"/>
  <c r="AR27" i="12"/>
  <c r="U27" i="12"/>
  <c r="AY27" i="12"/>
  <c r="AH27" i="12"/>
  <c r="W27" i="12"/>
  <c r="AN27" i="12"/>
  <c r="N27" i="12"/>
  <c r="AA27" i="12"/>
  <c r="M27" i="12"/>
  <c r="AQ27" i="12"/>
  <c r="Z27" i="12"/>
  <c r="O27" i="12"/>
  <c r="Q27" i="12"/>
  <c r="AW27" i="12"/>
  <c r="J27" i="12"/>
  <c r="AZ27" i="12"/>
  <c r="AI27" i="12"/>
  <c r="R27" i="12"/>
  <c r="AO27" i="12"/>
  <c r="AL27" i="12"/>
  <c r="AD27" i="12"/>
  <c r="H28" i="12"/>
  <c r="T37" i="7"/>
  <c r="U37" i="7" s="1"/>
  <c r="V37" i="7" s="1" a="1"/>
  <c r="V37" i="7" s="1"/>
  <c r="V43" i="7" s="1"/>
  <c r="N43" i="7"/>
  <c r="O37" i="7"/>
  <c r="U43" i="7"/>
  <c r="T6" i="8" l="1"/>
  <c r="K6" i="8" a="1"/>
  <c r="K6" i="8" s="1"/>
  <c r="D12" i="18" s="1"/>
  <c r="J6" i="8" a="1"/>
  <c r="J6" i="8" s="1"/>
  <c r="E12" i="18" s="1"/>
  <c r="W43" i="7"/>
  <c r="E6" i="12"/>
  <c r="E28" i="12"/>
  <c r="W37" i="7"/>
  <c r="F28" i="12" s="1"/>
  <c r="O43" i="7"/>
  <c r="I15" i="8" l="1"/>
  <c r="I12" i="18"/>
  <c r="N6" i="8"/>
  <c r="I60" i="8"/>
  <c r="J60" i="8" s="1"/>
  <c r="I54" i="8"/>
  <c r="J54" i="8" s="1"/>
  <c r="I46" i="8"/>
  <c r="J46" i="8" s="1"/>
  <c r="I38" i="8"/>
  <c r="J38" i="8" s="1"/>
  <c r="I30" i="8"/>
  <c r="J30" i="8" s="1"/>
  <c r="I22" i="8"/>
  <c r="J22" i="8" s="1"/>
  <c r="I36" i="8"/>
  <c r="J36" i="8" s="1"/>
  <c r="I59" i="8"/>
  <c r="J59" i="8" s="1"/>
  <c r="I51" i="8"/>
  <c r="J51" i="8" s="1"/>
  <c r="I43" i="8"/>
  <c r="J43" i="8" s="1"/>
  <c r="I35" i="8"/>
  <c r="J35" i="8" s="1"/>
  <c r="I27" i="8"/>
  <c r="J27" i="8" s="1"/>
  <c r="I19" i="8"/>
  <c r="J19" i="8" s="1"/>
  <c r="I53" i="8"/>
  <c r="J53" i="8" s="1"/>
  <c r="I37" i="8"/>
  <c r="J37" i="8" s="1"/>
  <c r="I21" i="8"/>
  <c r="J21" i="8" s="1"/>
  <c r="I52" i="8"/>
  <c r="J52" i="8" s="1"/>
  <c r="I28" i="8"/>
  <c r="J28" i="8" s="1"/>
  <c r="I58" i="8"/>
  <c r="J58" i="8" s="1"/>
  <c r="I50" i="8"/>
  <c r="J50" i="8" s="1"/>
  <c r="I42" i="8"/>
  <c r="J42" i="8" s="1"/>
  <c r="I34" i="8"/>
  <c r="J34" i="8" s="1"/>
  <c r="I26" i="8"/>
  <c r="J26" i="8" s="1"/>
  <c r="I18" i="8"/>
  <c r="J18" i="8" s="1"/>
  <c r="I57" i="8"/>
  <c r="J57" i="8" s="1"/>
  <c r="I49" i="8"/>
  <c r="J49" i="8" s="1"/>
  <c r="I41" i="8"/>
  <c r="J41" i="8" s="1"/>
  <c r="I33" i="8"/>
  <c r="J33" i="8" s="1"/>
  <c r="I25" i="8"/>
  <c r="J25" i="8" s="1"/>
  <c r="I17" i="8"/>
  <c r="J17" i="8" s="1"/>
  <c r="I56" i="8"/>
  <c r="J56" i="8" s="1"/>
  <c r="I48" i="8"/>
  <c r="J48" i="8" s="1"/>
  <c r="I40" i="8"/>
  <c r="J40" i="8" s="1"/>
  <c r="I32" i="8"/>
  <c r="J32" i="8" s="1"/>
  <c r="I24" i="8"/>
  <c r="J24" i="8" s="1"/>
  <c r="I16" i="8"/>
  <c r="J16" i="8" s="1"/>
  <c r="U6" i="8"/>
  <c r="V6" i="8" s="1"/>
  <c r="I45" i="8"/>
  <c r="J45" i="8" s="1"/>
  <c r="I29" i="8"/>
  <c r="J29" i="8" s="1"/>
  <c r="I44" i="8"/>
  <c r="J44" i="8" s="1"/>
  <c r="I20" i="8"/>
  <c r="J20" i="8" s="1"/>
  <c r="L6" i="8"/>
  <c r="I55" i="8"/>
  <c r="J55" i="8" s="1"/>
  <c r="I47" i="8"/>
  <c r="J47" i="8" s="1"/>
  <c r="I39" i="8"/>
  <c r="J39" i="8" s="1"/>
  <c r="I31" i="8"/>
  <c r="J31" i="8" s="1"/>
  <c r="I23" i="8"/>
  <c r="J23" i="8" s="1"/>
  <c r="AZ28" i="12"/>
  <c r="AD28" i="12"/>
  <c r="AS28" i="12"/>
  <c r="S28" i="12"/>
  <c r="Q28" i="12"/>
  <c r="J28" i="12"/>
  <c r="AL28" i="12"/>
  <c r="AY28" i="12"/>
  <c r="V28" i="12"/>
  <c r="AJ28" i="12"/>
  <c r="K28" i="12"/>
  <c r="AQ28" i="12"/>
  <c r="W28" i="12"/>
  <c r="AA28" i="12"/>
  <c r="AX28" i="12"/>
  <c r="N28" i="12"/>
  <c r="AB28" i="12"/>
  <c r="BA28" i="12"/>
  <c r="AO28" i="12"/>
  <c r="R28" i="12"/>
  <c r="AP28" i="12"/>
  <c r="AU28" i="12"/>
  <c r="T28" i="12"/>
  <c r="AN28" i="12"/>
  <c r="AH28" i="12"/>
  <c r="AE28" i="12"/>
  <c r="M28" i="12"/>
  <c r="BB28" i="12"/>
  <c r="AK28" i="12"/>
  <c r="L28" i="12"/>
  <c r="AF28" i="12"/>
  <c r="O28" i="12"/>
  <c r="I28" i="12"/>
  <c r="AM28" i="12"/>
  <c r="AT28" i="12"/>
  <c r="AC28" i="12"/>
  <c r="AR28" i="12"/>
  <c r="X28" i="12"/>
  <c r="Z28" i="12"/>
  <c r="BC28" i="12"/>
  <c r="AV28" i="12"/>
  <c r="U28" i="12"/>
  <c r="AI28" i="12"/>
  <c r="P28" i="12"/>
  <c r="AW28" i="12"/>
  <c r="Y28" i="12"/>
  <c r="AG28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W6" i="12"/>
  <c r="AX6" i="12"/>
  <c r="AZ6" i="12"/>
  <c r="AY6" i="12"/>
  <c r="BA6" i="12"/>
  <c r="BB6" i="12"/>
  <c r="BC6" i="12"/>
  <c r="J15" i="8"/>
  <c r="F6" i="12"/>
  <c r="M6" i="8" l="1"/>
  <c r="F12" i="18"/>
  <c r="G12" i="18" s="1"/>
  <c r="H6" i="8"/>
  <c r="J6" i="9" s="1"/>
  <c r="F61" i="8"/>
  <c r="I61" i="8"/>
  <c r="P6" i="8"/>
  <c r="O6" i="8"/>
  <c r="F6" i="8"/>
  <c r="Y6" i="8" s="1"/>
  <c r="J61" i="8"/>
  <c r="I6" i="8" l="1"/>
  <c r="AC6" i="8" s="1"/>
  <c r="AB6" i="8"/>
  <c r="AE6" i="8" s="1"/>
  <c r="C12" i="18"/>
  <c r="K51" i="7"/>
  <c r="K52" i="7"/>
  <c r="K46" i="7"/>
  <c r="K48" i="7"/>
  <c r="K49" i="7"/>
  <c r="K50" i="7"/>
  <c r="K47" i="7"/>
  <c r="J58" i="7" l="1"/>
  <c r="K45" i="7"/>
  <c r="L46" i="7" s="1"/>
  <c r="L47" i="7" s="1"/>
  <c r="L48" i="7" s="1"/>
  <c r="L49" i="7" s="1"/>
  <c r="L50" i="7" s="1"/>
  <c r="L51" i="7" s="1"/>
  <c r="L52" i="7" s="1"/>
  <c r="M47" i="7" l="1"/>
  <c r="K58" i="7"/>
  <c r="M48" i="7" l="1"/>
  <c r="L53" i="7" l="1"/>
  <c r="G44" i="12" s="1"/>
  <c r="L54" i="7"/>
  <c r="G45" i="12" s="1"/>
  <c r="L55" i="7"/>
  <c r="M46" i="7"/>
  <c r="M45" i="7"/>
  <c r="H36" i="12" s="1"/>
  <c r="M49" i="7"/>
  <c r="G37" i="12"/>
  <c r="Q46" i="7"/>
  <c r="R46" i="7" s="1"/>
  <c r="S46" i="7" s="1" a="1"/>
  <c r="S46" i="7" s="1"/>
  <c r="D37" i="12" s="1"/>
  <c r="N46" i="7"/>
  <c r="M50" i="7" l="1"/>
  <c r="T45" i="7"/>
  <c r="U45" i="7" s="1"/>
  <c r="M55" i="7"/>
  <c r="H46" i="12" s="1"/>
  <c r="Q55" i="7"/>
  <c r="R55" i="7" s="1"/>
  <c r="S55" i="7" s="1" a="1"/>
  <c r="S55" i="7" s="1"/>
  <c r="D46" i="12" s="1"/>
  <c r="O45" i="7"/>
  <c r="M54" i="7"/>
  <c r="H45" i="12" s="1"/>
  <c r="Q54" i="7"/>
  <c r="R54" i="7" s="1"/>
  <c r="S54" i="7" s="1" a="1"/>
  <c r="S54" i="7" s="1"/>
  <c r="D45" i="12" s="1"/>
  <c r="G46" i="12"/>
  <c r="M53" i="7"/>
  <c r="Q53" i="7"/>
  <c r="R53" i="7" s="1"/>
  <c r="S53" i="7" s="1" a="1"/>
  <c r="S53" i="7" s="1"/>
  <c r="D44" i="12" s="1"/>
  <c r="H37" i="12"/>
  <c r="T46" i="7"/>
  <c r="U46" i="7" s="1"/>
  <c r="V46" i="7" s="1" a="1"/>
  <c r="V46" i="7" s="1"/>
  <c r="O46" i="7"/>
  <c r="V45" i="7" l="1" a="1"/>
  <c r="V45" i="7" s="1"/>
  <c r="L56" i="7"/>
  <c r="L57" i="7"/>
  <c r="G48" i="12" s="1"/>
  <c r="T54" i="7"/>
  <c r="U54" i="7" s="1"/>
  <c r="T53" i="7"/>
  <c r="U53" i="7" s="1"/>
  <c r="H44" i="12"/>
  <c r="T55" i="7"/>
  <c r="U55" i="7" s="1"/>
  <c r="M52" i="7"/>
  <c r="M51" i="7"/>
  <c r="W46" i="7"/>
  <c r="F37" i="12" s="1"/>
  <c r="E37" i="12"/>
  <c r="G38" i="12"/>
  <c r="Q47" i="7"/>
  <c r="R47" i="7" s="1"/>
  <c r="S47" i="7" s="1" a="1"/>
  <c r="S47" i="7" s="1"/>
  <c r="D38" i="12" s="1"/>
  <c r="N47" i="7"/>
  <c r="E36" i="12" l="1"/>
  <c r="AR36" i="12" s="1"/>
  <c r="AV37" i="12"/>
  <c r="AE37" i="12"/>
  <c r="AX37" i="12"/>
  <c r="AQ37" i="12"/>
  <c r="V37" i="12"/>
  <c r="AZ37" i="12"/>
  <c r="AN37" i="12"/>
  <c r="W37" i="12"/>
  <c r="AP37" i="12"/>
  <c r="AA37" i="12"/>
  <c r="J37" i="12"/>
  <c r="O37" i="12"/>
  <c r="L37" i="12"/>
  <c r="AW37" i="12"/>
  <c r="AJ37" i="12"/>
  <c r="AF37" i="12"/>
  <c r="BA37" i="12"/>
  <c r="AH37" i="12"/>
  <c r="X37" i="12"/>
  <c r="AS37" i="12"/>
  <c r="Z37" i="12"/>
  <c r="AO37" i="12"/>
  <c r="AG37" i="12"/>
  <c r="AY37" i="12"/>
  <c r="I37" i="12"/>
  <c r="S37" i="12"/>
  <c r="P37" i="12"/>
  <c r="AK37" i="12"/>
  <c r="R37" i="12"/>
  <c r="Y37" i="12"/>
  <c r="Q37" i="12"/>
  <c r="AT37" i="12"/>
  <c r="AU37" i="12"/>
  <c r="U37" i="12"/>
  <c r="AB37" i="12"/>
  <c r="BB37" i="12"/>
  <c r="T37" i="12"/>
  <c r="AM37" i="12"/>
  <c r="M37" i="12"/>
  <c r="N37" i="12"/>
  <c r="AL37" i="12"/>
  <c r="BC37" i="12"/>
  <c r="AC37" i="12"/>
  <c r="AR37" i="12"/>
  <c r="K37" i="12"/>
  <c r="AD37" i="12"/>
  <c r="AI37" i="12"/>
  <c r="W45" i="7"/>
  <c r="F36" i="12" s="1"/>
  <c r="V53" i="7" a="1"/>
  <c r="V53" i="7" s="1"/>
  <c r="W53" i="7" s="1"/>
  <c r="F44" i="12" s="1"/>
  <c r="V55" i="7" a="1"/>
  <c r="V55" i="7" s="1"/>
  <c r="W55" i="7" s="1"/>
  <c r="F46" i="12" s="1"/>
  <c r="V54" i="7" a="1"/>
  <c r="V54" i="7" s="1"/>
  <c r="E45" i="12" s="1"/>
  <c r="M56" i="7"/>
  <c r="Q56" i="7"/>
  <c r="R56" i="7" s="1"/>
  <c r="S56" i="7" s="1" a="1"/>
  <c r="S56" i="7" s="1"/>
  <c r="D47" i="12" s="1"/>
  <c r="G47" i="12"/>
  <c r="M57" i="7"/>
  <c r="H48" i="12" s="1"/>
  <c r="Q57" i="7"/>
  <c r="R57" i="7" s="1"/>
  <c r="S57" i="7" s="1" a="1"/>
  <c r="S57" i="7" s="1"/>
  <c r="H38" i="12"/>
  <c r="T47" i="7"/>
  <c r="U47" i="7" s="1"/>
  <c r="V47" i="7" s="1" a="1"/>
  <c r="V47" i="7" s="1"/>
  <c r="O47" i="7"/>
  <c r="P36" i="12" l="1"/>
  <c r="V36" i="12"/>
  <c r="K36" i="12"/>
  <c r="Q36" i="12"/>
  <c r="AW36" i="12"/>
  <c r="BB36" i="12"/>
  <c r="AG36" i="12"/>
  <c r="AE36" i="12"/>
  <c r="AY36" i="12"/>
  <c r="Y36" i="12"/>
  <c r="T36" i="12"/>
  <c r="AC36" i="12"/>
  <c r="AJ36" i="12"/>
  <c r="N36" i="12"/>
  <c r="I36" i="12"/>
  <c r="AF36" i="12"/>
  <c r="AP36" i="12"/>
  <c r="AZ36" i="12"/>
  <c r="AM36" i="12"/>
  <c r="W36" i="12"/>
  <c r="AQ36" i="12"/>
  <c r="R36" i="12"/>
  <c r="L36" i="12"/>
  <c r="M36" i="12"/>
  <c r="AX36" i="12"/>
  <c r="AT36" i="12"/>
  <c r="AH36" i="12"/>
  <c r="AB36" i="12"/>
  <c r="AK36" i="12"/>
  <c r="X36" i="12"/>
  <c r="AS36" i="12"/>
  <c r="U36" i="12"/>
  <c r="O36" i="12"/>
  <c r="J36" i="12"/>
  <c r="S36" i="12"/>
  <c r="BA36" i="12"/>
  <c r="Z36" i="12"/>
  <c r="AI36" i="12"/>
  <c r="AD36" i="12"/>
  <c r="AN36" i="12"/>
  <c r="AA36" i="12"/>
  <c r="AU36" i="12"/>
  <c r="AV36" i="12"/>
  <c r="BC36" i="12"/>
  <c r="AO36" i="12"/>
  <c r="AL36" i="12"/>
  <c r="E46" i="12"/>
  <c r="AT46" i="12" s="1"/>
  <c r="E44" i="12"/>
  <c r="BA45" i="12"/>
  <c r="AI45" i="12"/>
  <c r="R45" i="12"/>
  <c r="P45" i="12"/>
  <c r="AL45" i="12"/>
  <c r="T45" i="12"/>
  <c r="AS45" i="12"/>
  <c r="AA45" i="12"/>
  <c r="J45" i="12"/>
  <c r="AZ45" i="12"/>
  <c r="L45" i="12"/>
  <c r="W45" i="12"/>
  <c r="AY45" i="12"/>
  <c r="AK45" i="12"/>
  <c r="S45" i="12"/>
  <c r="AR45" i="12"/>
  <c r="AM45" i="12"/>
  <c r="AJ45" i="12"/>
  <c r="O45" i="12"/>
  <c r="AC45" i="12"/>
  <c r="K45" i="12"/>
  <c r="AE45" i="12"/>
  <c r="Y45" i="12"/>
  <c r="I45" i="12"/>
  <c r="AN45" i="12"/>
  <c r="AO45" i="12"/>
  <c r="AB45" i="12"/>
  <c r="AD45" i="12"/>
  <c r="AT45" i="12"/>
  <c r="U45" i="12"/>
  <c r="AX45" i="12"/>
  <c r="Q45" i="12"/>
  <c r="N45" i="12"/>
  <c r="AF45" i="12"/>
  <c r="AW45" i="12"/>
  <c r="M45" i="12"/>
  <c r="AP45" i="12"/>
  <c r="BC45" i="12"/>
  <c r="AU45" i="12"/>
  <c r="BB45" i="12"/>
  <c r="AV45" i="12"/>
  <c r="AH45" i="12"/>
  <c r="AG45" i="12"/>
  <c r="X45" i="12"/>
  <c r="AQ45" i="12"/>
  <c r="Z45" i="12"/>
  <c r="V45" i="12"/>
  <c r="W54" i="7"/>
  <c r="F45" i="12" s="1"/>
  <c r="D48" i="12"/>
  <c r="V57" i="7" a="1"/>
  <c r="V57" i="7" s="1"/>
  <c r="H47" i="12"/>
  <c r="T56" i="7"/>
  <c r="U56" i="7" s="1"/>
  <c r="V56" i="7" s="1" a="1"/>
  <c r="V56" i="7" s="1"/>
  <c r="M58" i="7"/>
  <c r="T58" i="7" s="1"/>
  <c r="T57" i="7"/>
  <c r="U57" i="7" s="1"/>
  <c r="E38" i="12"/>
  <c r="W47" i="7"/>
  <c r="F38" i="12" s="1"/>
  <c r="G39" i="12"/>
  <c r="Q48" i="7"/>
  <c r="R48" i="7" s="1"/>
  <c r="S48" i="7" s="1" a="1"/>
  <c r="S48" i="7" s="1"/>
  <c r="D39" i="12" s="1"/>
  <c r="N48" i="7"/>
  <c r="AZ46" i="12" l="1"/>
  <c r="BC46" i="12"/>
  <c r="AF46" i="12"/>
  <c r="AI46" i="12"/>
  <c r="AM46" i="12"/>
  <c r="AQ46" i="12"/>
  <c r="S46" i="12"/>
  <c r="M46" i="12"/>
  <c r="N46" i="12"/>
  <c r="AK46" i="12"/>
  <c r="AO46" i="12"/>
  <c r="V46" i="12"/>
  <c r="X46" i="12"/>
  <c r="T46" i="12"/>
  <c r="AX46" i="12"/>
  <c r="L46" i="12"/>
  <c r="U46" i="12"/>
  <c r="W46" i="12"/>
  <c r="AG46" i="12"/>
  <c r="AJ46" i="12"/>
  <c r="Q46" i="12"/>
  <c r="BB46" i="12"/>
  <c r="AH46" i="12"/>
  <c r="AU46" i="12"/>
  <c r="AL46" i="12"/>
  <c r="E48" i="12"/>
  <c r="P48" i="12" s="1"/>
  <c r="AS46" i="12"/>
  <c r="AY46" i="12"/>
  <c r="AD46" i="12"/>
  <c r="P46" i="12"/>
  <c r="AC46" i="12"/>
  <c r="AP46" i="12"/>
  <c r="AW46" i="12"/>
  <c r="J46" i="12"/>
  <c r="AA46" i="12"/>
  <c r="Y46" i="12"/>
  <c r="AN46" i="12"/>
  <c r="K46" i="12"/>
  <c r="AR46" i="12"/>
  <c r="Z46" i="12"/>
  <c r="AE46" i="12"/>
  <c r="AB46" i="12"/>
  <c r="BA46" i="12"/>
  <c r="I46" i="12"/>
  <c r="R46" i="12"/>
  <c r="O46" i="12"/>
  <c r="AV46" i="12"/>
  <c r="AO38" i="12"/>
  <c r="X38" i="12"/>
  <c r="AY38" i="12"/>
  <c r="M38" i="12"/>
  <c r="AM38" i="12"/>
  <c r="O38" i="12"/>
  <c r="Q38" i="12"/>
  <c r="AH38" i="12"/>
  <c r="AG38" i="12"/>
  <c r="P38" i="12"/>
  <c r="AQ38" i="12"/>
  <c r="AR38" i="12"/>
  <c r="W38" i="12"/>
  <c r="AZ38" i="12"/>
  <c r="AJ38" i="12"/>
  <c r="AA38" i="12"/>
  <c r="AS38" i="12"/>
  <c r="AC38" i="12"/>
  <c r="BA38" i="12"/>
  <c r="Y38" i="12"/>
  <c r="BB38" i="12"/>
  <c r="AI38" i="12"/>
  <c r="AB38" i="12"/>
  <c r="AX38" i="12"/>
  <c r="AT38" i="12"/>
  <c r="L38" i="12"/>
  <c r="AE38" i="12"/>
  <c r="AD38" i="12"/>
  <c r="K38" i="12"/>
  <c r="Z38" i="12"/>
  <c r="U38" i="12"/>
  <c r="AN38" i="12"/>
  <c r="V38" i="12"/>
  <c r="J38" i="12"/>
  <c r="T38" i="12"/>
  <c r="AF38" i="12"/>
  <c r="BC38" i="12"/>
  <c r="AV38" i="12"/>
  <c r="AK38" i="12"/>
  <c r="AW38" i="12"/>
  <c r="N38" i="12"/>
  <c r="I38" i="12"/>
  <c r="AL38" i="12"/>
  <c r="S38" i="12"/>
  <c r="AP38" i="12"/>
  <c r="R38" i="12"/>
  <c r="AU38" i="12"/>
  <c r="AJ44" i="12"/>
  <c r="R44" i="12"/>
  <c r="BA44" i="12"/>
  <c r="AU44" i="12"/>
  <c r="AE44" i="12"/>
  <c r="AS44" i="12"/>
  <c r="AT44" i="12"/>
  <c r="AB44" i="12"/>
  <c r="J44" i="12"/>
  <c r="AM44" i="12"/>
  <c r="AI44" i="12"/>
  <c r="BB44" i="12"/>
  <c r="S44" i="12"/>
  <c r="T44" i="12"/>
  <c r="AW44" i="12"/>
  <c r="AA44" i="12"/>
  <c r="V44" i="12"/>
  <c r="AC44" i="12"/>
  <c r="U44" i="12"/>
  <c r="AP44" i="12"/>
  <c r="AL44" i="12"/>
  <c r="AN44" i="12"/>
  <c r="L44" i="12"/>
  <c r="AO44" i="12"/>
  <c r="N44" i="12"/>
  <c r="BC44" i="12"/>
  <c r="AV44" i="12"/>
  <c r="K44" i="12"/>
  <c r="AZ44" i="12"/>
  <c r="Q44" i="12"/>
  <c r="P44" i="12"/>
  <c r="AR44" i="12"/>
  <c r="I44" i="12"/>
  <c r="AF44" i="12"/>
  <c r="AX44" i="12"/>
  <c r="AG44" i="12"/>
  <c r="AY44" i="12"/>
  <c r="AQ44" i="12"/>
  <c r="W44" i="12"/>
  <c r="AK44" i="12"/>
  <c r="Y44" i="12"/>
  <c r="AD44" i="12"/>
  <c r="AH44" i="12"/>
  <c r="X44" i="12"/>
  <c r="O44" i="12"/>
  <c r="Z44" i="12"/>
  <c r="M44" i="12"/>
  <c r="E47" i="12"/>
  <c r="W56" i="7"/>
  <c r="F47" i="12" s="1"/>
  <c r="W57" i="7"/>
  <c r="F48" i="12" s="1"/>
  <c r="H39" i="12"/>
  <c r="T48" i="7"/>
  <c r="U48" i="7" s="1"/>
  <c r="V48" i="7" s="1" a="1"/>
  <c r="V48" i="7" s="1"/>
  <c r="O48" i="7"/>
  <c r="Q48" i="12" l="1"/>
  <c r="J48" i="12"/>
  <c r="Z48" i="12"/>
  <c r="AC48" i="12"/>
  <c r="AT48" i="12"/>
  <c r="X48" i="12"/>
  <c r="BB48" i="12"/>
  <c r="AI48" i="12"/>
  <c r="T48" i="12"/>
  <c r="AW48" i="12"/>
  <c r="AS48" i="12"/>
  <c r="W48" i="12"/>
  <c r="AN48" i="12"/>
  <c r="AG48" i="12"/>
  <c r="O48" i="12"/>
  <c r="AJ48" i="12"/>
  <c r="R48" i="12"/>
  <c r="BA48" i="12"/>
  <c r="AE48" i="12"/>
  <c r="AV48" i="12"/>
  <c r="I48" i="12"/>
  <c r="AR48" i="12"/>
  <c r="AZ48" i="12"/>
  <c r="AH48" i="12"/>
  <c r="N48" i="12"/>
  <c r="AM48" i="12"/>
  <c r="AK48" i="12"/>
  <c r="AF48" i="12"/>
  <c r="AB48" i="12"/>
  <c r="S48" i="12"/>
  <c r="L48" i="12"/>
  <c r="AX48" i="12"/>
  <c r="V48" i="12"/>
  <c r="AU48" i="12"/>
  <c r="K48" i="12"/>
  <c r="AP48" i="12"/>
  <c r="AY48" i="12"/>
  <c r="AA48" i="12"/>
  <c r="M48" i="12"/>
  <c r="AD48" i="12"/>
  <c r="BC48" i="12"/>
  <c r="AO48" i="12"/>
  <c r="Y48" i="12"/>
  <c r="AQ48" i="12"/>
  <c r="U48" i="12"/>
  <c r="AL48" i="12"/>
  <c r="AU47" i="12"/>
  <c r="AC47" i="12"/>
  <c r="L47" i="12"/>
  <c r="K47" i="12"/>
  <c r="AT47" i="12"/>
  <c r="BB47" i="12"/>
  <c r="AZ47" i="12"/>
  <c r="AF47" i="12"/>
  <c r="AD47" i="12"/>
  <c r="T47" i="12"/>
  <c r="Q47" i="12"/>
  <c r="AM47" i="12"/>
  <c r="U47" i="12"/>
  <c r="AY47" i="12"/>
  <c r="AV47" i="12"/>
  <c r="S47" i="12"/>
  <c r="AA47" i="12"/>
  <c r="Z47" i="12"/>
  <c r="V47" i="12"/>
  <c r="R47" i="12"/>
  <c r="AE47" i="12"/>
  <c r="M47" i="12"/>
  <c r="AN47" i="12"/>
  <c r="AH47" i="12"/>
  <c r="AQ47" i="12"/>
  <c r="AW47" i="12"/>
  <c r="W47" i="12"/>
  <c r="AS47" i="12"/>
  <c r="AB47" i="12"/>
  <c r="AI47" i="12"/>
  <c r="BC47" i="12"/>
  <c r="Y47" i="12"/>
  <c r="J47" i="12"/>
  <c r="O47" i="12"/>
  <c r="AR47" i="12"/>
  <c r="N47" i="12"/>
  <c r="I47" i="12"/>
  <c r="AO47" i="12"/>
  <c r="AG47" i="12"/>
  <c r="BA47" i="12"/>
  <c r="AJ47" i="12"/>
  <c r="AX47" i="12"/>
  <c r="AP47" i="12"/>
  <c r="P47" i="12"/>
  <c r="X47" i="12"/>
  <c r="AL47" i="12"/>
  <c r="AK47" i="12"/>
  <c r="G40" i="12"/>
  <c r="Q49" i="7"/>
  <c r="R49" i="7" s="1"/>
  <c r="S49" i="7" s="1" a="1"/>
  <c r="S49" i="7" s="1"/>
  <c r="D40" i="12" s="1"/>
  <c r="E39" i="12"/>
  <c r="W48" i="7"/>
  <c r="F39" i="12" s="1"/>
  <c r="N49" i="7"/>
  <c r="AH39" i="12" l="1"/>
  <c r="Q39" i="12"/>
  <c r="AZ39" i="12"/>
  <c r="N39" i="12"/>
  <c r="X39" i="12"/>
  <c r="AV39" i="12"/>
  <c r="Z39" i="12"/>
  <c r="I39" i="12"/>
  <c r="AR39" i="12"/>
  <c r="AS39" i="12"/>
  <c r="AY39" i="12"/>
  <c r="AF39" i="12"/>
  <c r="AU39" i="12"/>
  <c r="S39" i="12"/>
  <c r="AM39" i="12"/>
  <c r="U39" i="12"/>
  <c r="AE39" i="12"/>
  <c r="AA39" i="12"/>
  <c r="AX39" i="12"/>
  <c r="AG39" i="12"/>
  <c r="W39" i="12"/>
  <c r="K39" i="12"/>
  <c r="P39" i="12"/>
  <c r="AD39" i="12"/>
  <c r="R39" i="12"/>
  <c r="BC39" i="12"/>
  <c r="AJ39" i="12"/>
  <c r="AC39" i="12"/>
  <c r="AI39" i="12"/>
  <c r="V39" i="12"/>
  <c r="J39" i="12"/>
  <c r="AB39" i="12"/>
  <c r="M39" i="12"/>
  <c r="AL39" i="12"/>
  <c r="AW39" i="12"/>
  <c r="T39" i="12"/>
  <c r="AQ39" i="12"/>
  <c r="AK39" i="12"/>
  <c r="AO39" i="12"/>
  <c r="L39" i="12"/>
  <c r="BB39" i="12"/>
  <c r="AT39" i="12"/>
  <c r="AP39" i="12"/>
  <c r="Y39" i="12"/>
  <c r="O39" i="12"/>
  <c r="AN39" i="12"/>
  <c r="BA39" i="12"/>
  <c r="H40" i="12"/>
  <c r="T49" i="7"/>
  <c r="U49" i="7" s="1"/>
  <c r="V49" i="7" s="1" a="1"/>
  <c r="V49" i="7" s="1"/>
  <c r="O49" i="7"/>
  <c r="W49" i="7" l="1"/>
  <c r="F40" i="12" s="1"/>
  <c r="E40" i="12"/>
  <c r="G41" i="12"/>
  <c r="Q50" i="7"/>
  <c r="R50" i="7" s="1"/>
  <c r="S50" i="7" s="1" a="1"/>
  <c r="S50" i="7" s="1"/>
  <c r="D41" i="12" s="1"/>
  <c r="N50" i="7"/>
  <c r="AQ40" i="12" l="1"/>
  <c r="Z40" i="12"/>
  <c r="BA40" i="12"/>
  <c r="O40" i="12"/>
  <c r="Y40" i="12"/>
  <c r="AW40" i="12"/>
  <c r="AA40" i="12"/>
  <c r="AK40" i="12"/>
  <c r="AD40" i="12"/>
  <c r="W40" i="12"/>
  <c r="S40" i="12"/>
  <c r="AV40" i="12"/>
  <c r="N40" i="12"/>
  <c r="AG40" i="12"/>
  <c r="AN40" i="12"/>
  <c r="T40" i="12"/>
  <c r="M40" i="12"/>
  <c r="BC40" i="12"/>
  <c r="X40" i="12"/>
  <c r="L40" i="12"/>
  <c r="AE40" i="12"/>
  <c r="AI40" i="12"/>
  <c r="R40" i="12"/>
  <c r="AS40" i="12"/>
  <c r="AT40" i="12"/>
  <c r="I40" i="12"/>
  <c r="AM40" i="12"/>
  <c r="J40" i="12"/>
  <c r="AZ40" i="12"/>
  <c r="AC40" i="12"/>
  <c r="AJ40" i="12"/>
  <c r="K40" i="12"/>
  <c r="U40" i="12"/>
  <c r="AR40" i="12"/>
  <c r="AL40" i="12"/>
  <c r="AX40" i="12"/>
  <c r="AF40" i="12"/>
  <c r="AB40" i="12"/>
  <c r="V40" i="12"/>
  <c r="AP40" i="12"/>
  <c r="AU40" i="12"/>
  <c r="Q40" i="12"/>
  <c r="AY40" i="12"/>
  <c r="P40" i="12"/>
  <c r="AO40" i="12"/>
  <c r="BB40" i="12"/>
  <c r="AH40" i="12"/>
  <c r="H41" i="12"/>
  <c r="T50" i="7"/>
  <c r="U50" i="7" s="1"/>
  <c r="V50" i="7" s="1" a="1"/>
  <c r="V50" i="7" s="1"/>
  <c r="O50" i="7"/>
  <c r="E41" i="12" l="1"/>
  <c r="W50" i="7"/>
  <c r="F41" i="12" s="1"/>
  <c r="G42" i="12"/>
  <c r="Q51" i="7"/>
  <c r="R51" i="7" s="1"/>
  <c r="S51" i="7" s="1" a="1"/>
  <c r="S51" i="7" s="1"/>
  <c r="D42" i="12" s="1"/>
  <c r="N51" i="7"/>
  <c r="AJ41" i="12" l="1"/>
  <c r="S41" i="12"/>
  <c r="BB41" i="12"/>
  <c r="P41" i="12"/>
  <c r="Z41" i="12"/>
  <c r="AM41" i="12"/>
  <c r="AO41" i="12"/>
  <c r="AK41" i="12"/>
  <c r="X41" i="12"/>
  <c r="AY41" i="12"/>
  <c r="AS41" i="12"/>
  <c r="AI41" i="12"/>
  <c r="AX41" i="12"/>
  <c r="AR41" i="12"/>
  <c r="I41" i="12"/>
  <c r="AN41" i="12"/>
  <c r="AB41" i="12"/>
  <c r="K41" i="12"/>
  <c r="AT41" i="12"/>
  <c r="AU41" i="12"/>
  <c r="J41" i="12"/>
  <c r="W41" i="12"/>
  <c r="O41" i="12"/>
  <c r="AG41" i="12"/>
  <c r="U41" i="12"/>
  <c r="Q41" i="12"/>
  <c r="AA41" i="12"/>
  <c r="AP41" i="12"/>
  <c r="T41" i="12"/>
  <c r="AW41" i="12"/>
  <c r="AL41" i="12"/>
  <c r="AE41" i="12"/>
  <c r="BA41" i="12"/>
  <c r="AH41" i="12"/>
  <c r="AD41" i="12"/>
  <c r="V41" i="12"/>
  <c r="R41" i="12"/>
  <c r="AV41" i="12"/>
  <c r="L41" i="12"/>
  <c r="AQ41" i="12"/>
  <c r="Y41" i="12"/>
  <c r="N41" i="12"/>
  <c r="AC41" i="12"/>
  <c r="BC41" i="12"/>
  <c r="AZ41" i="12"/>
  <c r="M41" i="12"/>
  <c r="AF41" i="12"/>
  <c r="H42" i="12"/>
  <c r="T51" i="7"/>
  <c r="U51" i="7" s="1"/>
  <c r="V51" i="7" s="1" a="1"/>
  <c r="V51" i="7" s="1"/>
  <c r="O51" i="7"/>
  <c r="G43" i="12" l="1"/>
  <c r="Q52" i="7"/>
  <c r="R52" i="7" s="1"/>
  <c r="S52" i="7" s="1" a="1"/>
  <c r="S52" i="7" s="1"/>
  <c r="D43" i="12" s="1"/>
  <c r="E42" i="12"/>
  <c r="W51" i="7"/>
  <c r="F42" i="12" s="1"/>
  <c r="N52" i="7"/>
  <c r="BA42" i="12" l="1"/>
  <c r="AJ42" i="12"/>
  <c r="R42" i="12"/>
  <c r="AW42" i="12"/>
  <c r="N42" i="12"/>
  <c r="AO42" i="12"/>
  <c r="AS42" i="12"/>
  <c r="AB42" i="12"/>
  <c r="J42" i="12"/>
  <c r="AG42" i="12"/>
  <c r="AQ42" i="12"/>
  <c r="AN42" i="12"/>
  <c r="O42" i="12"/>
  <c r="AK42" i="12"/>
  <c r="T42" i="12"/>
  <c r="BC42" i="12"/>
  <c r="Q42" i="12"/>
  <c r="AA42" i="12"/>
  <c r="AI42" i="12"/>
  <c r="AD42" i="12"/>
  <c r="AC42" i="12"/>
  <c r="L42" i="12"/>
  <c r="AU42" i="12"/>
  <c r="AV42" i="12"/>
  <c r="K42" i="12"/>
  <c r="S42" i="12"/>
  <c r="U42" i="12"/>
  <c r="AX42" i="12"/>
  <c r="AM42" i="12"/>
  <c r="AF42" i="12"/>
  <c r="BB42" i="12"/>
  <c r="Y42" i="12"/>
  <c r="AR42" i="12"/>
  <c r="M42" i="12"/>
  <c r="AP42" i="12"/>
  <c r="AE42" i="12"/>
  <c r="P42" i="12"/>
  <c r="AL42" i="12"/>
  <c r="X42" i="12"/>
  <c r="Z42" i="12"/>
  <c r="AZ42" i="12"/>
  <c r="AH42" i="12"/>
  <c r="W42" i="12"/>
  <c r="AT42" i="12"/>
  <c r="V42" i="12"/>
  <c r="I42" i="12"/>
  <c r="AY42" i="12"/>
  <c r="H43" i="12"/>
  <c r="T52" i="7"/>
  <c r="U52" i="7" s="1"/>
  <c r="V52" i="7" s="1" a="1"/>
  <c r="V52" i="7" s="1"/>
  <c r="V58" i="7" s="1"/>
  <c r="N58" i="7"/>
  <c r="O52" i="7"/>
  <c r="U58" i="7"/>
  <c r="T7" i="8" l="1"/>
  <c r="S16" i="8"/>
  <c r="T16" i="8" s="1"/>
  <c r="S20" i="8"/>
  <c r="T20" i="8" s="1"/>
  <c r="S21" i="8"/>
  <c r="T21" i="8" s="1"/>
  <c r="S22" i="8"/>
  <c r="T22" i="8" s="1"/>
  <c r="S24" i="8"/>
  <c r="T24" i="8" s="1"/>
  <c r="S28" i="8"/>
  <c r="T28" i="8" s="1"/>
  <c r="S29" i="8"/>
  <c r="T29" i="8" s="1"/>
  <c r="S30" i="8"/>
  <c r="T30" i="8" s="1"/>
  <c r="S32" i="8"/>
  <c r="T32" i="8" s="1"/>
  <c r="S36" i="8"/>
  <c r="T36" i="8" s="1"/>
  <c r="S37" i="8"/>
  <c r="T37" i="8" s="1"/>
  <c r="S38" i="8"/>
  <c r="T38" i="8" s="1"/>
  <c r="S40" i="8"/>
  <c r="T40" i="8" s="1"/>
  <c r="S44" i="8"/>
  <c r="T44" i="8" s="1"/>
  <c r="S45" i="8"/>
  <c r="T45" i="8" s="1"/>
  <c r="S46" i="8"/>
  <c r="T46" i="8" s="1"/>
  <c r="S48" i="8"/>
  <c r="T48" i="8" s="1"/>
  <c r="S52" i="8"/>
  <c r="T52" i="8" s="1"/>
  <c r="S53" i="8"/>
  <c r="T53" i="8" s="1"/>
  <c r="S54" i="8"/>
  <c r="T54" i="8" s="1"/>
  <c r="S55" i="8"/>
  <c r="T55" i="8" s="1"/>
  <c r="S56" i="8"/>
  <c r="T56" i="8" s="1"/>
  <c r="S57" i="8"/>
  <c r="T57" i="8" s="1"/>
  <c r="S58" i="8"/>
  <c r="T58" i="8" s="1"/>
  <c r="S59" i="8"/>
  <c r="T59" i="8" s="1"/>
  <c r="S60" i="8"/>
  <c r="T60" i="8" s="1"/>
  <c r="U7" i="8"/>
  <c r="V7" i="8" s="1"/>
  <c r="N7" i="8"/>
  <c r="L7" i="8"/>
  <c r="F13" i="18" s="1"/>
  <c r="G13" i="18" s="1"/>
  <c r="J7" i="8" a="1"/>
  <c r="J7" i="8" s="1"/>
  <c r="E13" i="18" s="1"/>
  <c r="K7" i="8" a="1"/>
  <c r="K7" i="8" s="1"/>
  <c r="D13" i="18" s="1"/>
  <c r="W52" i="7"/>
  <c r="F43" i="12" s="1"/>
  <c r="E43" i="12"/>
  <c r="E35" i="12"/>
  <c r="W58" i="7"/>
  <c r="O58" i="7"/>
  <c r="S15" i="8" l="1"/>
  <c r="I13" i="18"/>
  <c r="S51" i="8"/>
  <c r="T51" i="8" s="1"/>
  <c r="S43" i="8"/>
  <c r="T43" i="8" s="1"/>
  <c r="S35" i="8"/>
  <c r="T35" i="8" s="1"/>
  <c r="S27" i="8"/>
  <c r="T27" i="8" s="1"/>
  <c r="S19" i="8"/>
  <c r="T19" i="8" s="1"/>
  <c r="S50" i="8"/>
  <c r="T50" i="8" s="1"/>
  <c r="S42" i="8"/>
  <c r="T42" i="8" s="1"/>
  <c r="S34" i="8"/>
  <c r="T34" i="8" s="1"/>
  <c r="S26" i="8"/>
  <c r="T26" i="8" s="1"/>
  <c r="S18" i="8"/>
  <c r="T18" i="8" s="1"/>
  <c r="S49" i="8"/>
  <c r="T49" i="8" s="1"/>
  <c r="S41" i="8"/>
  <c r="T41" i="8" s="1"/>
  <c r="S33" i="8"/>
  <c r="T33" i="8" s="1"/>
  <c r="S25" i="8"/>
  <c r="T25" i="8" s="1"/>
  <c r="S17" i="8"/>
  <c r="T17" i="8" s="1"/>
  <c r="S47" i="8"/>
  <c r="T47" i="8" s="1"/>
  <c r="S39" i="8"/>
  <c r="T39" i="8" s="1"/>
  <c r="S31" i="8"/>
  <c r="T31" i="8" s="1"/>
  <c r="S23" i="8"/>
  <c r="T23" i="8" s="1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U35" i="12"/>
  <c r="AV35" i="12"/>
  <c r="AW35" i="12"/>
  <c r="AX35" i="12"/>
  <c r="AZ35" i="12"/>
  <c r="AY35" i="12"/>
  <c r="BA35" i="12"/>
  <c r="BB35" i="12"/>
  <c r="BC35" i="12"/>
  <c r="AQ43" i="12"/>
  <c r="AT43" i="12"/>
  <c r="AA43" i="12"/>
  <c r="BB43" i="12"/>
  <c r="O43" i="12"/>
  <c r="AJ43" i="12"/>
  <c r="I43" i="12"/>
  <c r="AI43" i="12"/>
  <c r="AW43" i="12"/>
  <c r="AK43" i="12"/>
  <c r="S43" i="12"/>
  <c r="AH43" i="12"/>
  <c r="AS43" i="12"/>
  <c r="Z43" i="12"/>
  <c r="AV43" i="12"/>
  <c r="AC43" i="12"/>
  <c r="K43" i="12"/>
  <c r="R43" i="12"/>
  <c r="AB43" i="12"/>
  <c r="J43" i="12"/>
  <c r="Q43" i="12"/>
  <c r="AE43" i="12"/>
  <c r="AU43" i="12"/>
  <c r="U43" i="12"/>
  <c r="AZ43" i="12"/>
  <c r="BA43" i="12"/>
  <c r="L43" i="12"/>
  <c r="W43" i="12"/>
  <c r="AL43" i="12"/>
  <c r="M43" i="12"/>
  <c r="AN43" i="12"/>
  <c r="AG43" i="12"/>
  <c r="AM43" i="12"/>
  <c r="T43" i="12"/>
  <c r="BC43" i="12"/>
  <c r="N43" i="12"/>
  <c r="AD43" i="12"/>
  <c r="AF43" i="12"/>
  <c r="Y43" i="12"/>
  <c r="AY43" i="12"/>
  <c r="P43" i="12"/>
  <c r="V43" i="12"/>
  <c r="AR43" i="12"/>
  <c r="X43" i="12"/>
  <c r="AX43" i="12"/>
  <c r="AP43" i="12"/>
  <c r="AO43" i="12"/>
  <c r="T15" i="8"/>
  <c r="H7" i="8"/>
  <c r="M7" i="8"/>
  <c r="F35" i="12"/>
  <c r="AB7" i="8" l="1"/>
  <c r="AE7" i="8" s="1"/>
  <c r="C13" i="18"/>
  <c r="P7" i="8"/>
  <c r="P61" i="8"/>
  <c r="S61" i="8"/>
  <c r="O7" i="8"/>
  <c r="F7" i="8"/>
  <c r="Y7" i="8" s="1"/>
  <c r="T61" i="8"/>
  <c r="I7" i="8"/>
  <c r="AC7" i="8" s="1"/>
  <c r="J7" i="9"/>
  <c r="K68" i="7" l="1"/>
  <c r="K76" i="7"/>
  <c r="K65" i="7"/>
  <c r="K61" i="7"/>
  <c r="K69" i="7"/>
  <c r="K77" i="7"/>
  <c r="K72" i="7"/>
  <c r="K62" i="7"/>
  <c r="K70" i="7"/>
  <c r="K73" i="7"/>
  <c r="K63" i="7"/>
  <c r="K71" i="7"/>
  <c r="K64" i="7"/>
  <c r="K66" i="7"/>
  <c r="K74" i="7"/>
  <c r="K67" i="7"/>
  <c r="K75" i="7"/>
  <c r="K60" i="7" l="1"/>
  <c r="L61" i="7" s="1"/>
  <c r="L62" i="7" s="1"/>
  <c r="L63" i="7" s="1"/>
  <c r="L64" i="7" s="1"/>
  <c r="L65" i="7" s="1"/>
  <c r="L66" i="7" s="1"/>
  <c r="L67" i="7" s="1"/>
  <c r="L68" i="7" s="1"/>
  <c r="L69" i="7" s="1"/>
  <c r="L70" i="7" s="1"/>
  <c r="L71" i="7" s="1"/>
  <c r="L72" i="7" s="1"/>
  <c r="L73" i="7" s="1"/>
  <c r="L74" i="7" s="1"/>
  <c r="L75" i="7" s="1"/>
  <c r="L76" i="7" s="1"/>
  <c r="L77" i="7" s="1"/>
  <c r="J78" i="7"/>
  <c r="J80" i="7" s="1"/>
  <c r="M64" i="7" l="1"/>
  <c r="K78" i="7"/>
  <c r="K80" i="7" s="1"/>
  <c r="M65" i="7" l="1"/>
  <c r="M60" i="7" l="1"/>
  <c r="O60" i="7" s="1"/>
  <c r="M61" i="7"/>
  <c r="M62" i="7"/>
  <c r="M63" i="7"/>
  <c r="M66" i="7"/>
  <c r="G52" i="12"/>
  <c r="Q61" i="7"/>
  <c r="R61" i="7" s="1"/>
  <c r="S61" i="7" s="1" a="1"/>
  <c r="S61" i="7" s="1"/>
  <c r="D52" i="12" s="1"/>
  <c r="N61" i="7"/>
  <c r="H51" i="12" l="1"/>
  <c r="T60" i="7"/>
  <c r="U60" i="7" s="1"/>
  <c r="M67" i="7"/>
  <c r="H52" i="12"/>
  <c r="T61" i="7"/>
  <c r="U61" i="7" s="1"/>
  <c r="V61" i="7" s="1" a="1"/>
  <c r="V61" i="7" s="1"/>
  <c r="O61" i="7"/>
  <c r="V60" i="7" l="1" a="1"/>
  <c r="V60" i="7" s="1"/>
  <c r="M69" i="7"/>
  <c r="G53" i="12"/>
  <c r="Q62" i="7"/>
  <c r="R62" i="7" s="1"/>
  <c r="S62" i="7" s="1" a="1"/>
  <c r="S62" i="7" s="1"/>
  <c r="D53" i="12" s="1"/>
  <c r="E52" i="12"/>
  <c r="W61" i="7"/>
  <c r="F52" i="12" s="1"/>
  <c r="N62" i="7"/>
  <c r="W60" i="7" l="1"/>
  <c r="F51" i="12" s="1"/>
  <c r="AY52" i="12"/>
  <c r="AF52" i="12"/>
  <c r="M52" i="12"/>
  <c r="BB52" i="12"/>
  <c r="AJ52" i="12"/>
  <c r="AG52" i="12"/>
  <c r="AQ52" i="12"/>
  <c r="X52" i="12"/>
  <c r="AR52" i="12"/>
  <c r="AO52" i="12"/>
  <c r="J52" i="12"/>
  <c r="W52" i="12"/>
  <c r="AI52" i="12"/>
  <c r="P52" i="12"/>
  <c r="AE52" i="12"/>
  <c r="AB52" i="12"/>
  <c r="AH52" i="12"/>
  <c r="V52" i="12"/>
  <c r="I52" i="12"/>
  <c r="Y52" i="12"/>
  <c r="AN52" i="12"/>
  <c r="AA52" i="12"/>
  <c r="BA52" i="12"/>
  <c r="R52" i="12"/>
  <c r="O52" i="12"/>
  <c r="L52" i="12"/>
  <c r="Z52" i="12"/>
  <c r="U52" i="12"/>
  <c r="S52" i="12"/>
  <c r="AS52" i="12"/>
  <c r="BC52" i="12"/>
  <c r="AZ52" i="12"/>
  <c r="AX52" i="12"/>
  <c r="AU52" i="12"/>
  <c r="AD52" i="12"/>
  <c r="Q52" i="12"/>
  <c r="K52" i="12"/>
  <c r="AK52" i="12"/>
  <c r="AP52" i="12"/>
  <c r="AM52" i="12"/>
  <c r="AW52" i="12"/>
  <c r="AL52" i="12"/>
  <c r="T52" i="12"/>
  <c r="AV52" i="12"/>
  <c r="AC52" i="12"/>
  <c r="AT52" i="12"/>
  <c r="N52" i="12"/>
  <c r="E51" i="12"/>
  <c r="M70" i="7"/>
  <c r="H53" i="12"/>
  <c r="T62" i="7"/>
  <c r="U62" i="7" s="1"/>
  <c r="V62" i="7" s="1" a="1"/>
  <c r="V62" i="7" s="1"/>
  <c r="O62" i="7"/>
  <c r="BA51" i="12" l="1"/>
  <c r="AH51" i="12"/>
  <c r="Q51" i="12"/>
  <c r="V51" i="12"/>
  <c r="L51" i="12"/>
  <c r="N51" i="12"/>
  <c r="AI51" i="12"/>
  <c r="U51" i="12"/>
  <c r="BB51" i="12"/>
  <c r="X51" i="12"/>
  <c r="AR51" i="12"/>
  <c r="AZ51" i="12"/>
  <c r="AQ51" i="12"/>
  <c r="Z51" i="12"/>
  <c r="I51" i="12"/>
  <c r="AK51" i="12"/>
  <c r="AJ51" i="12"/>
  <c r="AT51" i="12"/>
  <c r="AV51" i="12"/>
  <c r="AS51" i="12"/>
  <c r="BC51" i="12"/>
  <c r="Y51" i="12"/>
  <c r="R51" i="12"/>
  <c r="AD51" i="12"/>
  <c r="O51" i="12"/>
  <c r="AG51" i="12"/>
  <c r="AP51" i="12"/>
  <c r="T51" i="12"/>
  <c r="AA51" i="12"/>
  <c r="J51" i="12"/>
  <c r="AN51" i="12"/>
  <c r="AU51" i="12"/>
  <c r="AC51" i="12"/>
  <c r="AM51" i="12"/>
  <c r="AX51" i="12"/>
  <c r="AO51" i="12"/>
  <c r="AY51" i="12"/>
  <c r="M51" i="12"/>
  <c r="AB51" i="12"/>
  <c r="S51" i="12"/>
  <c r="AW51" i="12"/>
  <c r="AF51" i="12"/>
  <c r="AE51" i="12"/>
  <c r="W51" i="12"/>
  <c r="K51" i="12"/>
  <c r="P51" i="12"/>
  <c r="AL51" i="12"/>
  <c r="M71" i="7"/>
  <c r="E53" i="12"/>
  <c r="W62" i="7"/>
  <c r="F53" i="12" s="1"/>
  <c r="G54" i="12"/>
  <c r="Q63" i="7"/>
  <c r="R63" i="7" s="1"/>
  <c r="S63" i="7" s="1" a="1"/>
  <c r="S63" i="7" s="1"/>
  <c r="D54" i="12" s="1"/>
  <c r="N63" i="7"/>
  <c r="AR53" i="12" l="1"/>
  <c r="Z53" i="12"/>
  <c r="BB53" i="12"/>
  <c r="J53" i="12"/>
  <c r="AI53" i="12"/>
  <c r="AQ53" i="12"/>
  <c r="S53" i="12"/>
  <c r="AJ53" i="12"/>
  <c r="R53" i="12"/>
  <c r="AT53" i="12"/>
  <c r="BC53" i="12"/>
  <c r="AE53" i="12"/>
  <c r="AC53" i="12"/>
  <c r="O53" i="12"/>
  <c r="AK53" i="12"/>
  <c r="I53" i="12"/>
  <c r="AB53" i="12"/>
  <c r="AW53" i="12"/>
  <c r="AL53" i="12"/>
  <c r="AM53" i="12"/>
  <c r="AU53" i="12"/>
  <c r="W53" i="12"/>
  <c r="AV53" i="12"/>
  <c r="AY53" i="12"/>
  <c r="T53" i="12"/>
  <c r="AO53" i="12"/>
  <c r="AD53" i="12"/>
  <c r="P53" i="12"/>
  <c r="K53" i="12"/>
  <c r="L53" i="12"/>
  <c r="AG53" i="12"/>
  <c r="V53" i="12"/>
  <c r="BA53" i="12"/>
  <c r="AS53" i="12"/>
  <c r="X53" i="12"/>
  <c r="AX53" i="12"/>
  <c r="Y53" i="12"/>
  <c r="N53" i="12"/>
  <c r="M53" i="12"/>
  <c r="AH53" i="12"/>
  <c r="AP53" i="12"/>
  <c r="Q53" i="12"/>
  <c r="AN53" i="12"/>
  <c r="U53" i="12"/>
  <c r="AF53" i="12"/>
  <c r="AZ53" i="12"/>
  <c r="AA53" i="12"/>
  <c r="M72" i="7"/>
  <c r="M68" i="7" s="1"/>
  <c r="H54" i="12"/>
  <c r="T63" i="7"/>
  <c r="U63" i="7" s="1"/>
  <c r="V63" i="7" s="1" a="1"/>
  <c r="V63" i="7" s="1"/>
  <c r="O63" i="7"/>
  <c r="M74" i="7" l="1"/>
  <c r="E54" i="12"/>
  <c r="W63" i="7"/>
  <c r="F54" i="12" s="1"/>
  <c r="G55" i="12"/>
  <c r="Q64" i="7"/>
  <c r="R64" i="7" s="1"/>
  <c r="S64" i="7" s="1" a="1"/>
  <c r="S64" i="7" s="1"/>
  <c r="D55" i="12" s="1"/>
  <c r="N64" i="7"/>
  <c r="BA54" i="12" l="1"/>
  <c r="AI54" i="12"/>
  <c r="R54" i="12"/>
  <c r="AO54" i="12"/>
  <c r="AZ54" i="12"/>
  <c r="L54" i="12"/>
  <c r="AS54" i="12"/>
  <c r="AA54" i="12"/>
  <c r="J54" i="12"/>
  <c r="Y54" i="12"/>
  <c r="AJ54" i="12"/>
  <c r="AV54" i="12"/>
  <c r="AP54" i="12"/>
  <c r="AK54" i="12"/>
  <c r="S54" i="12"/>
  <c r="BC54" i="12"/>
  <c r="I54" i="12"/>
  <c r="T54" i="12"/>
  <c r="AT54" i="12"/>
  <c r="M54" i="12"/>
  <c r="AW54" i="12"/>
  <c r="AC54" i="12"/>
  <c r="K54" i="12"/>
  <c r="AU54" i="12"/>
  <c r="AN54" i="12"/>
  <c r="AF54" i="12"/>
  <c r="AG54" i="12"/>
  <c r="BB54" i="12"/>
  <c r="P54" i="12"/>
  <c r="U54" i="12"/>
  <c r="AX54" i="12"/>
  <c r="AM54" i="12"/>
  <c r="X54" i="12"/>
  <c r="AD54" i="12"/>
  <c r="N54" i="12"/>
  <c r="AE54" i="12"/>
  <c r="AY54" i="12"/>
  <c r="AH54" i="12"/>
  <c r="W54" i="12"/>
  <c r="AL54" i="12"/>
  <c r="Q54" i="12"/>
  <c r="AB54" i="12"/>
  <c r="AQ54" i="12"/>
  <c r="Z54" i="12"/>
  <c r="O54" i="12"/>
  <c r="V54" i="12"/>
  <c r="AR54" i="12"/>
  <c r="M75" i="7"/>
  <c r="H55" i="12"/>
  <c r="T64" i="7"/>
  <c r="U64" i="7" s="1"/>
  <c r="V64" i="7" s="1" a="1"/>
  <c r="V64" i="7" s="1"/>
  <c r="O64" i="7"/>
  <c r="M76" i="7" l="1"/>
  <c r="M77" i="7"/>
  <c r="M73" i="7" s="1"/>
  <c r="G56" i="12"/>
  <c r="Q65" i="7"/>
  <c r="R65" i="7" s="1"/>
  <c r="S65" i="7" s="1" a="1"/>
  <c r="S65" i="7" s="1"/>
  <c r="D56" i="12" s="1"/>
  <c r="E55" i="12"/>
  <c r="W64" i="7"/>
  <c r="F55" i="12" s="1"/>
  <c r="N65" i="7"/>
  <c r="AN55" i="12" l="1"/>
  <c r="N55" i="12"/>
  <c r="AA55" i="12"/>
  <c r="AR55" i="12"/>
  <c r="AK55" i="12"/>
  <c r="M55" i="12"/>
  <c r="BB55" i="12"/>
  <c r="AU55" i="12"/>
  <c r="S55" i="12"/>
  <c r="Z55" i="12"/>
  <c r="U55" i="12"/>
  <c r="BC55" i="12"/>
  <c r="W55" i="12"/>
  <c r="AT55" i="12"/>
  <c r="AJ55" i="12"/>
  <c r="K55" i="12"/>
  <c r="J55" i="12"/>
  <c r="BA55" i="12"/>
  <c r="AE55" i="12"/>
  <c r="Q55" i="12"/>
  <c r="T55" i="12"/>
  <c r="R55" i="12"/>
  <c r="AH55" i="12"/>
  <c r="AC55" i="12"/>
  <c r="AL55" i="12"/>
  <c r="AB55" i="12"/>
  <c r="AZ55" i="12"/>
  <c r="AQ55" i="12"/>
  <c r="AW55" i="12"/>
  <c r="Y55" i="12"/>
  <c r="AG55" i="12"/>
  <c r="P55" i="12"/>
  <c r="AX55" i="12"/>
  <c r="AP55" i="12"/>
  <c r="AY55" i="12"/>
  <c r="AO55" i="12"/>
  <c r="AV55" i="12"/>
  <c r="V55" i="12"/>
  <c r="AM55" i="12"/>
  <c r="L55" i="12"/>
  <c r="AF55" i="12"/>
  <c r="I55" i="12"/>
  <c r="O55" i="12"/>
  <c r="X55" i="12"/>
  <c r="AI55" i="12"/>
  <c r="AD55" i="12"/>
  <c r="AS55" i="12"/>
  <c r="M78" i="7"/>
  <c r="T78" i="7" s="1"/>
  <c r="H56" i="12"/>
  <c r="T65" i="7"/>
  <c r="U65" i="7" s="1"/>
  <c r="V65" i="7" s="1" a="1"/>
  <c r="V65" i="7" s="1"/>
  <c r="O65" i="7"/>
  <c r="G57" i="12" l="1"/>
  <c r="Q66" i="7"/>
  <c r="R66" i="7" s="1"/>
  <c r="S66" i="7" s="1" a="1"/>
  <c r="S66" i="7" s="1"/>
  <c r="D57" i="12" s="1"/>
  <c r="E56" i="12"/>
  <c r="W65" i="7"/>
  <c r="F56" i="12" s="1"/>
  <c r="N66" i="7"/>
  <c r="AW56" i="12" l="1"/>
  <c r="AM56" i="12"/>
  <c r="BA56" i="12"/>
  <c r="T56" i="12"/>
  <c r="AL56" i="12"/>
  <c r="AT56" i="12"/>
  <c r="AO56" i="12"/>
  <c r="AE56" i="12"/>
  <c r="AQ56" i="12"/>
  <c r="J56" i="12"/>
  <c r="R56" i="12"/>
  <c r="AC56" i="12"/>
  <c r="AN56" i="12"/>
  <c r="AD56" i="12"/>
  <c r="AG56" i="12"/>
  <c r="W56" i="12"/>
  <c r="AF56" i="12"/>
  <c r="AV56" i="12"/>
  <c r="AJ56" i="12"/>
  <c r="V56" i="12"/>
  <c r="BC56" i="12"/>
  <c r="Y56" i="12"/>
  <c r="O56" i="12"/>
  <c r="U56" i="12"/>
  <c r="AK56" i="12"/>
  <c r="N56" i="12"/>
  <c r="AR56" i="12"/>
  <c r="X56" i="12"/>
  <c r="AY56" i="12"/>
  <c r="AX56" i="12"/>
  <c r="Q56" i="12"/>
  <c r="AS56" i="12"/>
  <c r="K56" i="12"/>
  <c r="AA56" i="12"/>
  <c r="BB56" i="12"/>
  <c r="AB56" i="12"/>
  <c r="L56" i="12"/>
  <c r="M56" i="12"/>
  <c r="I56" i="12"/>
  <c r="AI56" i="12"/>
  <c r="AZ56" i="12"/>
  <c r="P56" i="12"/>
  <c r="AH56" i="12"/>
  <c r="Z56" i="12"/>
  <c r="AP56" i="12"/>
  <c r="AU56" i="12"/>
  <c r="S56" i="12"/>
  <c r="H57" i="12"/>
  <c r="T66" i="7"/>
  <c r="U66" i="7" s="1"/>
  <c r="V66" i="7" s="1" a="1"/>
  <c r="V66" i="7" s="1"/>
  <c r="O66" i="7"/>
  <c r="G58" i="12" l="1"/>
  <c r="Q67" i="7"/>
  <c r="R67" i="7" s="1"/>
  <c r="S67" i="7" s="1" a="1"/>
  <c r="S67" i="7" s="1"/>
  <c r="D58" i="12" s="1"/>
  <c r="W66" i="7"/>
  <c r="F57" i="12" s="1"/>
  <c r="E57" i="12"/>
  <c r="N67" i="7"/>
  <c r="AP57" i="12" l="1"/>
  <c r="X57" i="12"/>
  <c r="AL57" i="12"/>
  <c r="AR57" i="12"/>
  <c r="M57" i="12"/>
  <c r="Y57" i="12"/>
  <c r="BA57" i="12"/>
  <c r="Q57" i="12"/>
  <c r="AT57" i="12"/>
  <c r="AC57" i="12"/>
  <c r="AI57" i="12"/>
  <c r="AH57" i="12"/>
  <c r="P57" i="12"/>
  <c r="AB57" i="12"/>
  <c r="AG57" i="12"/>
  <c r="S57" i="12"/>
  <c r="AE57" i="12"/>
  <c r="AY57" i="12"/>
  <c r="AV57" i="12"/>
  <c r="W57" i="12"/>
  <c r="Z57" i="12"/>
  <c r="AZ57" i="12"/>
  <c r="V57" i="12"/>
  <c r="U57" i="12"/>
  <c r="T57" i="12"/>
  <c r="BB57" i="12"/>
  <c r="R57" i="12"/>
  <c r="AO57" i="12"/>
  <c r="AU57" i="12"/>
  <c r="L57" i="12"/>
  <c r="K57" i="12"/>
  <c r="AM57" i="12"/>
  <c r="N57" i="12"/>
  <c r="AQ57" i="12"/>
  <c r="J57" i="12"/>
  <c r="AD57" i="12"/>
  <c r="AK57" i="12"/>
  <c r="AJ57" i="12"/>
  <c r="AA57" i="12"/>
  <c r="AN57" i="12"/>
  <c r="I57" i="12"/>
  <c r="O57" i="12"/>
  <c r="BC57" i="12"/>
  <c r="AS57" i="12"/>
  <c r="AX57" i="12"/>
  <c r="AF57" i="12"/>
  <c r="AW57" i="12"/>
  <c r="H58" i="12"/>
  <c r="T67" i="7"/>
  <c r="U67" i="7" s="1"/>
  <c r="V67" i="7" s="1" a="1"/>
  <c r="V67" i="7" s="1"/>
  <c r="O67" i="7"/>
  <c r="E58" i="12" l="1"/>
  <c r="W67" i="7"/>
  <c r="F58" i="12" s="1"/>
  <c r="G59" i="12"/>
  <c r="Q68" i="7"/>
  <c r="R68" i="7" s="1"/>
  <c r="S68" i="7" s="1" a="1"/>
  <c r="S68" i="7" s="1"/>
  <c r="D59" i="12" s="1"/>
  <c r="N68" i="7"/>
  <c r="AY58" i="12" l="1"/>
  <c r="AG58" i="12"/>
  <c r="BC58" i="12"/>
  <c r="V58" i="12"/>
  <c r="J58" i="12"/>
  <c r="AL58" i="12"/>
  <c r="AQ58" i="12"/>
  <c r="Y58" i="12"/>
  <c r="AS58" i="12"/>
  <c r="L58" i="12"/>
  <c r="AZ58" i="12"/>
  <c r="U58" i="12"/>
  <c r="O58" i="12"/>
  <c r="AI58" i="12"/>
  <c r="Q58" i="12"/>
  <c r="AH58" i="12"/>
  <c r="AX58" i="12"/>
  <c r="AD58" i="12"/>
  <c r="N58" i="12"/>
  <c r="AE58" i="12"/>
  <c r="AA58" i="12"/>
  <c r="I58" i="12"/>
  <c r="W58" i="12"/>
  <c r="AM58" i="12"/>
  <c r="AV58" i="12"/>
  <c r="AJ58" i="12"/>
  <c r="AN58" i="12"/>
  <c r="S58" i="12"/>
  <c r="AU58" i="12"/>
  <c r="M58" i="12"/>
  <c r="AC58" i="12"/>
  <c r="AB58" i="12"/>
  <c r="T58" i="12"/>
  <c r="K58" i="12"/>
  <c r="AK58" i="12"/>
  <c r="BB58" i="12"/>
  <c r="R58" i="12"/>
  <c r="AT58" i="12"/>
  <c r="P58" i="12"/>
  <c r="AO58" i="12"/>
  <c r="AW58" i="12"/>
  <c r="Z58" i="12"/>
  <c r="AR58" i="12"/>
  <c r="BA58" i="12"/>
  <c r="X58" i="12"/>
  <c r="AP58" i="12"/>
  <c r="AF58" i="12"/>
  <c r="H59" i="12"/>
  <c r="T68" i="7"/>
  <c r="U68" i="7" s="1"/>
  <c r="V68" i="7" s="1" a="1"/>
  <c r="V68" i="7" s="1"/>
  <c r="O68" i="7"/>
  <c r="G60" i="12" l="1"/>
  <c r="Q69" i="7"/>
  <c r="R69" i="7" s="1"/>
  <c r="S69" i="7" s="1" a="1"/>
  <c r="S69" i="7" s="1"/>
  <c r="D60" i="12" s="1"/>
  <c r="W68" i="7"/>
  <c r="F59" i="12" s="1"/>
  <c r="E59" i="12"/>
  <c r="N69" i="7"/>
  <c r="AZ59" i="12" l="1"/>
  <c r="AH59" i="12"/>
  <c r="K59" i="12"/>
  <c r="Q59" i="12"/>
  <c r="Y59" i="12"/>
  <c r="BA59" i="12"/>
  <c r="AC59" i="12"/>
  <c r="AR59" i="12"/>
  <c r="Z59" i="12"/>
  <c r="AY59" i="12"/>
  <c r="AT59" i="12"/>
  <c r="AS59" i="12"/>
  <c r="I59" i="12"/>
  <c r="P59" i="12"/>
  <c r="AJ59" i="12"/>
  <c r="R59" i="12"/>
  <c r="AN59" i="12"/>
  <c r="AI59" i="12"/>
  <c r="W59" i="12"/>
  <c r="BC59" i="12"/>
  <c r="AB59" i="12"/>
  <c r="J59" i="12"/>
  <c r="AD59" i="12"/>
  <c r="X59" i="12"/>
  <c r="AO59" i="12"/>
  <c r="AL59" i="12"/>
  <c r="T59" i="12"/>
  <c r="BB59" i="12"/>
  <c r="S59" i="12"/>
  <c r="N59" i="12"/>
  <c r="U59" i="12"/>
  <c r="M59" i="12"/>
  <c r="AP59" i="12"/>
  <c r="L59" i="12"/>
  <c r="AQ59" i="12"/>
  <c r="AW59" i="12"/>
  <c r="AV59" i="12"/>
  <c r="AK59" i="12"/>
  <c r="AE59" i="12"/>
  <c r="V59" i="12"/>
  <c r="AX59" i="12"/>
  <c r="AF59" i="12"/>
  <c r="AM59" i="12"/>
  <c r="AA59" i="12"/>
  <c r="AG59" i="12"/>
  <c r="O59" i="12"/>
  <c r="AU59" i="12"/>
  <c r="H60" i="12"/>
  <c r="T69" i="7"/>
  <c r="U69" i="7" s="1"/>
  <c r="V69" i="7" s="1" a="1"/>
  <c r="V69" i="7" s="1"/>
  <c r="O69" i="7"/>
  <c r="E60" i="12" l="1"/>
  <c r="W69" i="7"/>
  <c r="F60" i="12" s="1"/>
  <c r="G61" i="12"/>
  <c r="Q70" i="7"/>
  <c r="R70" i="7" s="1"/>
  <c r="S70" i="7" s="1" a="1"/>
  <c r="S70" i="7" s="1"/>
  <c r="D61" i="12" s="1"/>
  <c r="N70" i="7"/>
  <c r="BA60" i="12" l="1"/>
  <c r="AI60" i="12"/>
  <c r="AU60" i="12"/>
  <c r="AZ60" i="12"/>
  <c r="V60" i="12"/>
  <c r="L60" i="12"/>
  <c r="AS60" i="12"/>
  <c r="AA60" i="12"/>
  <c r="AJ60" i="12"/>
  <c r="AO60" i="12"/>
  <c r="AN60" i="12"/>
  <c r="AV60" i="12"/>
  <c r="AP60" i="12"/>
  <c r="AK60" i="12"/>
  <c r="S60" i="12"/>
  <c r="Y60" i="12"/>
  <c r="AE60" i="12"/>
  <c r="R60" i="12"/>
  <c r="Z60" i="12"/>
  <c r="BC60" i="12"/>
  <c r="AC60" i="12"/>
  <c r="K60" i="12"/>
  <c r="O60" i="12"/>
  <c r="T60" i="12"/>
  <c r="AL60" i="12"/>
  <c r="J60" i="12"/>
  <c r="N60" i="12"/>
  <c r="U60" i="12"/>
  <c r="AW60" i="12"/>
  <c r="AT60" i="12"/>
  <c r="I60" i="12"/>
  <c r="P60" i="12"/>
  <c r="AX60" i="12"/>
  <c r="AQ60" i="12"/>
  <c r="M60" i="12"/>
  <c r="AM60" i="12"/>
  <c r="AH60" i="12"/>
  <c r="AR60" i="12"/>
  <c r="AF60" i="12"/>
  <c r="BB60" i="12"/>
  <c r="AY60" i="12"/>
  <c r="AB60" i="12"/>
  <c r="X60" i="12"/>
  <c r="W60" i="12"/>
  <c r="AD60" i="12"/>
  <c r="AG60" i="12"/>
  <c r="Q60" i="12"/>
  <c r="H61" i="12"/>
  <c r="T70" i="7"/>
  <c r="U70" i="7" s="1"/>
  <c r="V70" i="7" s="1" a="1"/>
  <c r="V70" i="7" s="1"/>
  <c r="O70" i="7"/>
  <c r="G62" i="12" l="1"/>
  <c r="Q71" i="7"/>
  <c r="R71" i="7" s="1"/>
  <c r="S71" i="7" s="1" a="1"/>
  <c r="S71" i="7" s="1"/>
  <c r="D62" i="12" s="1"/>
  <c r="E61" i="12"/>
  <c r="W70" i="7"/>
  <c r="F61" i="12" s="1"/>
  <c r="N71" i="7"/>
  <c r="BB61" i="12" l="1"/>
  <c r="AJ61" i="12"/>
  <c r="BA61" i="12"/>
  <c r="S61" i="12"/>
  <c r="AM61" i="12"/>
  <c r="Y61" i="12"/>
  <c r="AO61" i="12"/>
  <c r="AT61" i="12"/>
  <c r="AB61" i="12"/>
  <c r="AP61" i="12"/>
  <c r="I61" i="12"/>
  <c r="Q61" i="12"/>
  <c r="AX61" i="12"/>
  <c r="X61" i="12"/>
  <c r="AE61" i="12"/>
  <c r="AL61" i="12"/>
  <c r="T61" i="12"/>
  <c r="AF61" i="12"/>
  <c r="AV61" i="12"/>
  <c r="AI61" i="12"/>
  <c r="AQ61" i="12"/>
  <c r="W61" i="12"/>
  <c r="R61" i="12"/>
  <c r="AD61" i="12"/>
  <c r="L61" i="12"/>
  <c r="U61" i="12"/>
  <c r="AK61" i="12"/>
  <c r="O61" i="12"/>
  <c r="AW61" i="12"/>
  <c r="AZ61" i="12"/>
  <c r="M61" i="12"/>
  <c r="V61" i="12"/>
  <c r="AS61" i="12"/>
  <c r="J61" i="12"/>
  <c r="Z61" i="12"/>
  <c r="BC61" i="12"/>
  <c r="AU61" i="12"/>
  <c r="K61" i="12"/>
  <c r="AR61" i="12"/>
  <c r="N61" i="12"/>
  <c r="AH61" i="12"/>
  <c r="AY61" i="12"/>
  <c r="P61" i="12"/>
  <c r="AG61" i="12"/>
  <c r="AC61" i="12"/>
  <c r="AN61" i="12"/>
  <c r="AA61" i="12"/>
  <c r="H62" i="12"/>
  <c r="T71" i="7"/>
  <c r="U71" i="7" s="1"/>
  <c r="V71" i="7" s="1" a="1"/>
  <c r="V71" i="7" s="1"/>
  <c r="O71" i="7"/>
  <c r="G63" i="12" l="1"/>
  <c r="Q72" i="7"/>
  <c r="R72" i="7" s="1"/>
  <c r="S72" i="7" s="1" a="1"/>
  <c r="S72" i="7" s="1"/>
  <c r="D63" i="12" s="1"/>
  <c r="W71" i="7"/>
  <c r="F62" i="12" s="1"/>
  <c r="E62" i="12"/>
  <c r="N72" i="7"/>
  <c r="AU62" i="12" l="1"/>
  <c r="AC62" i="12"/>
  <c r="AW62" i="12"/>
  <c r="BB62" i="12"/>
  <c r="L62" i="12"/>
  <c r="AT62" i="12"/>
  <c r="AN62" i="12"/>
  <c r="AF62" i="12"/>
  <c r="AP62" i="12"/>
  <c r="AJ62" i="12"/>
  <c r="I62" i="12"/>
  <c r="AM62" i="12"/>
  <c r="U62" i="12"/>
  <c r="AL62" i="12"/>
  <c r="AQ62" i="12"/>
  <c r="AZ62" i="12"/>
  <c r="AG62" i="12"/>
  <c r="J62" i="12"/>
  <c r="BA62" i="12"/>
  <c r="Y62" i="12"/>
  <c r="BC62" i="12"/>
  <c r="T62" i="12"/>
  <c r="AE62" i="12"/>
  <c r="M62" i="12"/>
  <c r="AA62" i="12"/>
  <c r="R62" i="12"/>
  <c r="AR62" i="12"/>
  <c r="AI62" i="12"/>
  <c r="P62" i="12"/>
  <c r="W62" i="12"/>
  <c r="AY62" i="12"/>
  <c r="Q62" i="12"/>
  <c r="V62" i="12"/>
  <c r="AB62" i="12"/>
  <c r="AH62" i="12"/>
  <c r="O62" i="12"/>
  <c r="AO62" i="12"/>
  <c r="AV62" i="12"/>
  <c r="K62" i="12"/>
  <c r="AX62" i="12"/>
  <c r="AD62" i="12"/>
  <c r="AK62" i="12"/>
  <c r="AS62" i="12"/>
  <c r="S62" i="12"/>
  <c r="Z62" i="12"/>
  <c r="N62" i="12"/>
  <c r="X62" i="12"/>
  <c r="H63" i="12"/>
  <c r="T72" i="7"/>
  <c r="U72" i="7" s="1"/>
  <c r="V72" i="7" s="1" a="1"/>
  <c r="V72" i="7" s="1"/>
  <c r="O72" i="7"/>
  <c r="G64" i="12" l="1"/>
  <c r="Q73" i="7"/>
  <c r="R73" i="7" s="1"/>
  <c r="S73" i="7" s="1" a="1"/>
  <c r="S73" i="7" s="1"/>
  <c r="D64" i="12" s="1"/>
  <c r="E63" i="12"/>
  <c r="W72" i="7"/>
  <c r="F63" i="12" s="1"/>
  <c r="N73" i="7"/>
  <c r="AV63" i="12" l="1"/>
  <c r="AD63" i="12"/>
  <c r="AR63" i="12"/>
  <c r="K63" i="12"/>
  <c r="AY63" i="12"/>
  <c r="Q63" i="12"/>
  <c r="AU63" i="12"/>
  <c r="AW63" i="12"/>
  <c r="AE63" i="12"/>
  <c r="BC63" i="12"/>
  <c r="AN63" i="12"/>
  <c r="V63" i="12"/>
  <c r="AH63" i="12"/>
  <c r="AX63" i="12"/>
  <c r="AC63" i="12"/>
  <c r="AP63" i="12"/>
  <c r="L63" i="12"/>
  <c r="AG63" i="12"/>
  <c r="J63" i="12"/>
  <c r="AF63" i="12"/>
  <c r="N63" i="12"/>
  <c r="W63" i="12"/>
  <c r="AM63" i="12"/>
  <c r="I63" i="12"/>
  <c r="AI63" i="12"/>
  <c r="X63" i="12"/>
  <c r="AB63" i="12"/>
  <c r="AO63" i="12"/>
  <c r="Y63" i="12"/>
  <c r="U63" i="12"/>
  <c r="P63" i="12"/>
  <c r="AJ63" i="12"/>
  <c r="BA63" i="12"/>
  <c r="R63" i="12"/>
  <c r="AA63" i="12"/>
  <c r="AK63" i="12"/>
  <c r="AT63" i="12"/>
  <c r="M63" i="12"/>
  <c r="S63" i="12"/>
  <c r="BB63" i="12"/>
  <c r="Z63" i="12"/>
  <c r="AQ63" i="12"/>
  <c r="AZ63" i="12"/>
  <c r="AS63" i="12"/>
  <c r="T63" i="12"/>
  <c r="O63" i="12"/>
  <c r="AL63" i="12"/>
  <c r="H64" i="12"/>
  <c r="T73" i="7"/>
  <c r="U73" i="7" s="1"/>
  <c r="V73" i="7" s="1" a="1"/>
  <c r="V73" i="7" s="1"/>
  <c r="O73" i="7"/>
  <c r="G65" i="12" l="1"/>
  <c r="Q74" i="7"/>
  <c r="R74" i="7" s="1"/>
  <c r="S74" i="7" s="1" a="1"/>
  <c r="S74" i="7" s="1"/>
  <c r="D65" i="12" s="1"/>
  <c r="E64" i="12"/>
  <c r="W73" i="7"/>
  <c r="F64" i="12" s="1"/>
  <c r="N74" i="7"/>
  <c r="AO64" i="12" l="1"/>
  <c r="AE64" i="12"/>
  <c r="AY64" i="12"/>
  <c r="AS64" i="12"/>
  <c r="AR64" i="12"/>
  <c r="AD64" i="12"/>
  <c r="I64" i="12"/>
  <c r="AX64" i="12"/>
  <c r="P64" i="12"/>
  <c r="AF64" i="12"/>
  <c r="AZ64" i="12"/>
  <c r="R64" i="12"/>
  <c r="AG64" i="12"/>
  <c r="W64" i="12"/>
  <c r="AN64" i="12"/>
  <c r="AI64" i="12"/>
  <c r="V64" i="12"/>
  <c r="J64" i="12"/>
  <c r="AH64" i="12"/>
  <c r="N64" i="12"/>
  <c r="AL64" i="12"/>
  <c r="AW64" i="12"/>
  <c r="Z64" i="12"/>
  <c r="Y64" i="12"/>
  <c r="O64" i="12"/>
  <c r="AC64" i="12"/>
  <c r="X64" i="12"/>
  <c r="AP64" i="12"/>
  <c r="Q64" i="12"/>
  <c r="BA64" i="12"/>
  <c r="S64" i="12"/>
  <c r="M64" i="12"/>
  <c r="T64" i="12"/>
  <c r="AJ64" i="12"/>
  <c r="AQ64" i="12"/>
  <c r="AV64" i="12"/>
  <c r="BC64" i="12"/>
  <c r="AA64" i="12"/>
  <c r="AM64" i="12"/>
  <c r="AK64" i="12"/>
  <c r="BB64" i="12"/>
  <c r="AU64" i="12"/>
  <c r="U64" i="12"/>
  <c r="AB64" i="12"/>
  <c r="AT64" i="12"/>
  <c r="L64" i="12"/>
  <c r="K64" i="12"/>
  <c r="H65" i="12"/>
  <c r="T74" i="7"/>
  <c r="U74" i="7" s="1"/>
  <c r="V74" i="7" s="1" a="1"/>
  <c r="V74" i="7" s="1"/>
  <c r="O74" i="7"/>
  <c r="E65" i="12" l="1"/>
  <c r="W74" i="7"/>
  <c r="F65" i="12" s="1"/>
  <c r="G66" i="12"/>
  <c r="Q75" i="7"/>
  <c r="R75" i="7" s="1"/>
  <c r="S75" i="7" s="1" a="1"/>
  <c r="S75" i="7" s="1"/>
  <c r="D66" i="12" s="1"/>
  <c r="N75" i="7"/>
  <c r="AX65" i="12" l="1"/>
  <c r="AF65" i="12"/>
  <c r="AJ65" i="12"/>
  <c r="AZ65" i="12"/>
  <c r="U65" i="12"/>
  <c r="AG65" i="12"/>
  <c r="BC65" i="12"/>
  <c r="AE65" i="12"/>
  <c r="Q65" i="12"/>
  <c r="BB65" i="12"/>
  <c r="M65" i="12"/>
  <c r="AP65" i="12"/>
  <c r="X65" i="12"/>
  <c r="Y65" i="12"/>
  <c r="AO65" i="12"/>
  <c r="AM65" i="12"/>
  <c r="AA65" i="12"/>
  <c r="AW65" i="12"/>
  <c r="AK65" i="12"/>
  <c r="V65" i="12"/>
  <c r="AN65" i="12"/>
  <c r="AQ65" i="12"/>
  <c r="AH65" i="12"/>
  <c r="P65" i="12"/>
  <c r="N65" i="12"/>
  <c r="AD65" i="12"/>
  <c r="S65" i="12"/>
  <c r="AU65" i="12"/>
  <c r="Z65" i="12"/>
  <c r="T65" i="12"/>
  <c r="L65" i="12"/>
  <c r="R65" i="12"/>
  <c r="AL65" i="12"/>
  <c r="AS65" i="12"/>
  <c r="I65" i="12"/>
  <c r="O65" i="12"/>
  <c r="AC65" i="12"/>
  <c r="J65" i="12"/>
  <c r="AB65" i="12"/>
  <c r="AI65" i="12"/>
  <c r="AR65" i="12"/>
  <c r="BA65" i="12"/>
  <c r="AV65" i="12"/>
  <c r="W65" i="12"/>
  <c r="K65" i="12"/>
  <c r="AT65" i="12"/>
  <c r="AY65" i="12"/>
  <c r="H66" i="12"/>
  <c r="T75" i="7"/>
  <c r="U75" i="7" s="1"/>
  <c r="V75" i="7" s="1" a="1"/>
  <c r="V75" i="7" s="1"/>
  <c r="O75" i="7"/>
  <c r="G67" i="12" l="1"/>
  <c r="Q76" i="7"/>
  <c r="R76" i="7" s="1"/>
  <c r="S76" i="7" s="1" a="1"/>
  <c r="S76" i="7" s="1"/>
  <c r="D67" i="12" s="1"/>
  <c r="W75" i="7"/>
  <c r="F66" i="12" s="1"/>
  <c r="E66" i="12"/>
  <c r="N76" i="7"/>
  <c r="AY66" i="12" l="1"/>
  <c r="AG66" i="12"/>
  <c r="M66" i="12"/>
  <c r="AD66" i="12"/>
  <c r="AL66" i="12"/>
  <c r="AT66" i="12"/>
  <c r="I66" i="12"/>
  <c r="N66" i="12"/>
  <c r="L66" i="12"/>
  <c r="R66" i="12"/>
  <c r="AQ66" i="12"/>
  <c r="Y66" i="12"/>
  <c r="BA66" i="12"/>
  <c r="T66" i="12"/>
  <c r="P66" i="12"/>
  <c r="AC66" i="12"/>
  <c r="AA66" i="12"/>
  <c r="AK66" i="12"/>
  <c r="AX66" i="12"/>
  <c r="AB66" i="12"/>
  <c r="AV66" i="12"/>
  <c r="AI66" i="12"/>
  <c r="Q66" i="12"/>
  <c r="AP66" i="12"/>
  <c r="AU66" i="12"/>
  <c r="AJ66" i="12"/>
  <c r="V66" i="12"/>
  <c r="AE66" i="12"/>
  <c r="AH66" i="12"/>
  <c r="AO66" i="12"/>
  <c r="S66" i="12"/>
  <c r="BC66" i="12"/>
  <c r="U66" i="12"/>
  <c r="Z66" i="12"/>
  <c r="BB66" i="12"/>
  <c r="X66" i="12"/>
  <c r="AZ66" i="12"/>
  <c r="AN66" i="12"/>
  <c r="K66" i="12"/>
  <c r="AS66" i="12"/>
  <c r="J66" i="12"/>
  <c r="O66" i="12"/>
  <c r="AF66" i="12"/>
  <c r="AR66" i="12"/>
  <c r="AW66" i="12"/>
  <c r="AM66" i="12"/>
  <c r="W66" i="12"/>
  <c r="H67" i="12"/>
  <c r="T76" i="7"/>
  <c r="U76" i="7" s="1"/>
  <c r="V76" i="7" s="1" a="1"/>
  <c r="V76" i="7" s="1"/>
  <c r="O76" i="7"/>
  <c r="G68" i="12" l="1"/>
  <c r="Q77" i="7"/>
  <c r="R77" i="7" s="1"/>
  <c r="S77" i="7" s="1" a="1"/>
  <c r="S77" i="7" s="1"/>
  <c r="D68" i="12" s="1"/>
  <c r="W76" i="7"/>
  <c r="F67" i="12" s="1"/>
  <c r="E67" i="12"/>
  <c r="N77" i="7"/>
  <c r="AR67" i="12" l="1"/>
  <c r="Z67" i="12"/>
  <c r="AL67" i="12"/>
  <c r="AQ67" i="12"/>
  <c r="M67" i="12"/>
  <c r="X67" i="12"/>
  <c r="AA67" i="12"/>
  <c r="BA67" i="12"/>
  <c r="AT67" i="12"/>
  <c r="BC67" i="12"/>
  <c r="AZ67" i="12"/>
  <c r="AJ67" i="12"/>
  <c r="R67" i="12"/>
  <c r="AF67" i="12"/>
  <c r="Q67" i="12"/>
  <c r="N67" i="12"/>
  <c r="S67" i="12"/>
  <c r="AH67" i="12"/>
  <c r="AO67" i="12"/>
  <c r="AB67" i="12"/>
  <c r="J67" i="12"/>
  <c r="P67" i="12"/>
  <c r="V67" i="12"/>
  <c r="AE67" i="12"/>
  <c r="AM67" i="12"/>
  <c r="I67" i="12"/>
  <c r="U67" i="12"/>
  <c r="AD67" i="12"/>
  <c r="AG67" i="12"/>
  <c r="T67" i="12"/>
  <c r="AY67" i="12"/>
  <c r="AU67" i="12"/>
  <c r="K67" i="12"/>
  <c r="W67" i="12"/>
  <c r="Y67" i="12"/>
  <c r="AP67" i="12"/>
  <c r="AS67" i="12"/>
  <c r="BB67" i="12"/>
  <c r="L67" i="12"/>
  <c r="AN67" i="12"/>
  <c r="AK67" i="12"/>
  <c r="AI67" i="12"/>
  <c r="AW67" i="12"/>
  <c r="AX67" i="12"/>
  <c r="AC67" i="12"/>
  <c r="O67" i="12"/>
  <c r="AV67" i="12"/>
  <c r="H68" i="12"/>
  <c r="T77" i="7"/>
  <c r="U77" i="7" s="1"/>
  <c r="V77" i="7" s="1" a="1"/>
  <c r="V77" i="7" s="1"/>
  <c r="V78" i="7" s="1"/>
  <c r="N78" i="7"/>
  <c r="N80" i="7" s="1"/>
  <c r="O77" i="7"/>
  <c r="U78" i="7"/>
  <c r="W78" i="7" l="1"/>
  <c r="V80" i="7"/>
  <c r="E68" i="12"/>
  <c r="W77" i="7"/>
  <c r="F68" i="12" s="1"/>
  <c r="O78" i="7"/>
  <c r="O80" i="7" s="1"/>
  <c r="AS68" i="12" l="1"/>
  <c r="AA68" i="12"/>
  <c r="AR68" i="12"/>
  <c r="J68" i="12"/>
  <c r="AX68" i="12"/>
  <c r="T68" i="12"/>
  <c r="AG68" i="12"/>
  <c r="AW68" i="12"/>
  <c r="AD68" i="12"/>
  <c r="N68" i="12"/>
  <c r="AO68" i="12"/>
  <c r="AZ68" i="12"/>
  <c r="AQ68" i="12"/>
  <c r="AE68" i="12"/>
  <c r="BC68" i="12"/>
  <c r="AL68" i="12"/>
  <c r="AK68" i="12"/>
  <c r="S68" i="12"/>
  <c r="AC68" i="12"/>
  <c r="K68" i="12"/>
  <c r="W68" i="12"/>
  <c r="AM68" i="12"/>
  <c r="AV68" i="12"/>
  <c r="U68" i="12"/>
  <c r="AU68" i="12"/>
  <c r="L68" i="12"/>
  <c r="AB68" i="12"/>
  <c r="Z68" i="12"/>
  <c r="P68" i="12"/>
  <c r="AP68" i="12"/>
  <c r="AH68" i="12"/>
  <c r="AF68" i="12"/>
  <c r="BA68" i="12"/>
  <c r="V68" i="12"/>
  <c r="M68" i="12"/>
  <c r="AJ68" i="12"/>
  <c r="BB68" i="12"/>
  <c r="Q68" i="12"/>
  <c r="AT68" i="12"/>
  <c r="R68" i="12"/>
  <c r="AY68" i="12"/>
  <c r="Y68" i="12"/>
  <c r="X68" i="12"/>
  <c r="O68" i="12"/>
  <c r="AN68" i="12"/>
  <c r="AI68" i="12"/>
  <c r="I68" i="12"/>
  <c r="T9" i="8"/>
  <c r="T8" i="8"/>
  <c r="I14" i="18" s="1"/>
  <c r="E50" i="12"/>
  <c r="Z16" i="7" a="1"/>
  <c r="Z16" i="7" s="1"/>
  <c r="J9" i="8" s="1"/>
  <c r="E15" i="18" s="1"/>
  <c r="Z17" i="7" a="1"/>
  <c r="Z17" i="7" s="1"/>
  <c r="K9" i="8" s="1"/>
  <c r="D15" i="18" s="1"/>
  <c r="E70" i="12"/>
  <c r="W80" i="7"/>
  <c r="Z14" i="7" s="1"/>
  <c r="N9" i="8" l="1"/>
  <c r="I15" i="18"/>
  <c r="I70" i="12"/>
  <c r="J70" i="12"/>
  <c r="K70" i="12"/>
  <c r="L70" i="12"/>
  <c r="M70" i="12"/>
  <c r="N70" i="12"/>
  <c r="O70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U70" i="12"/>
  <c r="AV70" i="12"/>
  <c r="AW70" i="12"/>
  <c r="AX70" i="12"/>
  <c r="AZ70" i="12"/>
  <c r="AY70" i="12"/>
  <c r="BA70" i="12"/>
  <c r="BB70" i="12"/>
  <c r="BC70" i="12"/>
  <c r="F50" i="12"/>
  <c r="I50" i="12"/>
  <c r="J50" i="12"/>
  <c r="K50" i="12"/>
  <c r="L50" i="12"/>
  <c r="M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U50" i="12"/>
  <c r="AV50" i="12"/>
  <c r="AW50" i="12"/>
  <c r="AX50" i="12"/>
  <c r="AZ50" i="12"/>
  <c r="AY50" i="12"/>
  <c r="BA50" i="12"/>
  <c r="BB50" i="12"/>
  <c r="BC50" i="12"/>
  <c r="AC15" i="8"/>
  <c r="AC16" i="8"/>
  <c r="AD16" i="8" s="1"/>
  <c r="AC17" i="8"/>
  <c r="AD17" i="8" s="1"/>
  <c r="AC18" i="8"/>
  <c r="AD18" i="8" s="1"/>
  <c r="AC19" i="8"/>
  <c r="AD19" i="8" s="1"/>
  <c r="AC20" i="8"/>
  <c r="AD20" i="8" s="1"/>
  <c r="AC21" i="8"/>
  <c r="AD21" i="8" s="1"/>
  <c r="AC22" i="8"/>
  <c r="AD22" i="8" s="1"/>
  <c r="AC23" i="8"/>
  <c r="AD23" i="8" s="1"/>
  <c r="AC24" i="8"/>
  <c r="AD24" i="8" s="1"/>
  <c r="AC25" i="8"/>
  <c r="AD25" i="8" s="1"/>
  <c r="AC26" i="8"/>
  <c r="AD26" i="8" s="1"/>
  <c r="AC27" i="8"/>
  <c r="AD27" i="8" s="1"/>
  <c r="AC28" i="8"/>
  <c r="AD28" i="8" s="1"/>
  <c r="AC29" i="8"/>
  <c r="AD29" i="8" s="1"/>
  <c r="AC30" i="8"/>
  <c r="AD30" i="8" s="1"/>
  <c r="AC31" i="8"/>
  <c r="AD31" i="8" s="1"/>
  <c r="AC32" i="8"/>
  <c r="AD32" i="8" s="1"/>
  <c r="AC33" i="8"/>
  <c r="AD33" i="8" s="1"/>
  <c r="AC34" i="8"/>
  <c r="AD34" i="8" s="1"/>
  <c r="AC35" i="8"/>
  <c r="AD35" i="8" s="1"/>
  <c r="AC36" i="8"/>
  <c r="AD36" i="8" s="1"/>
  <c r="AC37" i="8"/>
  <c r="AD37" i="8" s="1"/>
  <c r="AC38" i="8"/>
  <c r="AD38" i="8" s="1"/>
  <c r="AC39" i="8"/>
  <c r="AD39" i="8" s="1"/>
  <c r="AC40" i="8"/>
  <c r="AD40" i="8" s="1"/>
  <c r="AC41" i="8"/>
  <c r="AD41" i="8" s="1"/>
  <c r="AC42" i="8"/>
  <c r="AD42" i="8" s="1"/>
  <c r="AC43" i="8"/>
  <c r="AD43" i="8" s="1"/>
  <c r="AC44" i="8"/>
  <c r="AD44" i="8" s="1"/>
  <c r="AC45" i="8"/>
  <c r="AD45" i="8" s="1"/>
  <c r="AC46" i="8"/>
  <c r="AD46" i="8" s="1"/>
  <c r="AC47" i="8"/>
  <c r="AD47" i="8" s="1"/>
  <c r="AC48" i="8"/>
  <c r="AD48" i="8" s="1"/>
  <c r="AC49" i="8"/>
  <c r="AD49" i="8" s="1"/>
  <c r="AC50" i="8"/>
  <c r="AD50" i="8" s="1"/>
  <c r="AC51" i="8"/>
  <c r="AD51" i="8" s="1"/>
  <c r="AC52" i="8"/>
  <c r="AD52" i="8" s="1"/>
  <c r="AC53" i="8"/>
  <c r="AD53" i="8" s="1"/>
  <c r="AC54" i="8"/>
  <c r="AD54" i="8" s="1"/>
  <c r="AC55" i="8"/>
  <c r="AD55" i="8" s="1"/>
  <c r="AC56" i="8"/>
  <c r="AD56" i="8" s="1"/>
  <c r="AC57" i="8"/>
  <c r="AD57" i="8" s="1"/>
  <c r="AC58" i="8"/>
  <c r="AD58" i="8" s="1"/>
  <c r="AC59" i="8"/>
  <c r="AD59" i="8" s="1"/>
  <c r="AC60" i="8"/>
  <c r="AD60" i="8" s="1"/>
  <c r="U8" i="8"/>
  <c r="V8" i="8" s="1"/>
  <c r="L8" i="8"/>
  <c r="F14" i="18" s="1"/>
  <c r="G14" i="18" s="1"/>
  <c r="G8" i="8"/>
  <c r="AA8" i="8" s="1"/>
  <c r="N8" i="8"/>
  <c r="K8" i="8" a="1"/>
  <c r="K8" i="8" s="1"/>
  <c r="D14" i="18" s="1"/>
  <c r="J8" i="8" a="1"/>
  <c r="J8" i="8" s="1"/>
  <c r="E14" i="18" s="1"/>
  <c r="G7" i="8"/>
  <c r="G6" i="8"/>
  <c r="U9" i="8"/>
  <c r="L9" i="8"/>
  <c r="F15" i="18" s="1"/>
  <c r="G15" i="18" s="1"/>
  <c r="H72" i="8"/>
  <c r="H80" i="8"/>
  <c r="I80" i="8" s="1"/>
  <c r="H88" i="8"/>
  <c r="H96" i="8"/>
  <c r="H104" i="8"/>
  <c r="I104" i="8" s="1"/>
  <c r="H112" i="8"/>
  <c r="H120" i="8"/>
  <c r="H121" i="8"/>
  <c r="H74" i="8"/>
  <c r="H98" i="8"/>
  <c r="H114" i="8"/>
  <c r="I114" i="8" s="1"/>
  <c r="H75" i="8"/>
  <c r="H99" i="8"/>
  <c r="H115" i="8"/>
  <c r="I115" i="8" s="1"/>
  <c r="H68" i="8"/>
  <c r="I68" i="8" s="1"/>
  <c r="H92" i="8"/>
  <c r="I92" i="8" s="1"/>
  <c r="H124" i="8"/>
  <c r="H69" i="8"/>
  <c r="H93" i="8"/>
  <c r="H117" i="8"/>
  <c r="H94" i="8"/>
  <c r="H79" i="8"/>
  <c r="I79" i="8" s="1"/>
  <c r="H111" i="8"/>
  <c r="H73" i="8"/>
  <c r="H81" i="8"/>
  <c r="H89" i="8"/>
  <c r="H97" i="8"/>
  <c r="H105" i="8"/>
  <c r="H113" i="8"/>
  <c r="H82" i="8"/>
  <c r="H90" i="8"/>
  <c r="I90" i="8" s="1"/>
  <c r="H106" i="8"/>
  <c r="H122" i="8"/>
  <c r="H91" i="8"/>
  <c r="I91" i="8" s="1"/>
  <c r="H123" i="8"/>
  <c r="H76" i="8"/>
  <c r="H108" i="8"/>
  <c r="H77" i="8"/>
  <c r="H101" i="8"/>
  <c r="H125" i="8"/>
  <c r="H118" i="8"/>
  <c r="H71" i="8"/>
  <c r="H95" i="8"/>
  <c r="H119" i="8"/>
  <c r="H66" i="8"/>
  <c r="H107" i="8"/>
  <c r="H84" i="8"/>
  <c r="H100" i="8"/>
  <c r="H67" i="8"/>
  <c r="I67" i="8" s="1"/>
  <c r="H83" i="8"/>
  <c r="H116" i="8"/>
  <c r="I116" i="8" s="1"/>
  <c r="H85" i="8"/>
  <c r="H109" i="8"/>
  <c r="H102" i="8"/>
  <c r="I102" i="8" s="1"/>
  <c r="H70" i="8"/>
  <c r="H78" i="8"/>
  <c r="I78" i="8" s="1"/>
  <c r="H86" i="8"/>
  <c r="H110" i="8"/>
  <c r="H87" i="8"/>
  <c r="H103" i="8"/>
  <c r="I103" i="8" s="1"/>
  <c r="Z18" i="7"/>
  <c r="Z19" i="7" s="1"/>
  <c r="Z15" i="7"/>
  <c r="V9" i="8" s="1"/>
  <c r="F70" i="12"/>
  <c r="E6" i="8" l="1"/>
  <c r="AA6" i="8"/>
  <c r="E7" i="8"/>
  <c r="AA7" i="8"/>
  <c r="H8" i="8"/>
  <c r="P8" i="8"/>
  <c r="AD15" i="8"/>
  <c r="AC61" i="8"/>
  <c r="Z61" i="8"/>
  <c r="I66" i="8"/>
  <c r="H126" i="8"/>
  <c r="H9" i="8"/>
  <c r="M9" i="8"/>
  <c r="M8" i="8"/>
  <c r="C9" i="9" l="1"/>
  <c r="F9" i="2"/>
  <c r="C15" i="18"/>
  <c r="AB9" i="8"/>
  <c r="I8" i="8"/>
  <c r="AC8" i="8" s="1"/>
  <c r="AB8" i="8"/>
  <c r="AE8" i="8" s="1"/>
  <c r="AE9" i="8" s="1"/>
  <c r="C14" i="18"/>
  <c r="C7" i="9"/>
  <c r="H7" i="9" s="1"/>
  <c r="I7" i="9" s="1"/>
  <c r="Z7" i="8"/>
  <c r="C6" i="9"/>
  <c r="H6" i="9" s="1"/>
  <c r="Z6" i="8"/>
  <c r="J8" i="9"/>
  <c r="O8" i="8"/>
  <c r="O9" i="8" s="1"/>
  <c r="F8" i="8"/>
  <c r="Y8" i="8" s="1"/>
  <c r="AD61" i="8"/>
  <c r="I9" i="8"/>
  <c r="J9" i="9"/>
  <c r="P9" i="8"/>
  <c r="I126" i="8"/>
  <c r="I6" i="9" l="1"/>
  <c r="AC9" i="8"/>
  <c r="F10" i="2"/>
  <c r="F9" i="8"/>
  <c r="E8" i="8"/>
  <c r="Z8" i="8" s="1"/>
  <c r="Y9" i="8" l="1"/>
  <c r="F6" i="2"/>
  <c r="E9" i="8"/>
  <c r="C8" i="9"/>
  <c r="H8" i="9" s="1"/>
  <c r="I8" i="9" l="1"/>
  <c r="F15" i="2" s="1"/>
  <c r="F14" i="2"/>
  <c r="F7" i="2"/>
  <c r="Z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4" authorId="0" shapeId="0" xr:uid="{00000000-0006-0000-0500-000001000000}">
      <text>
        <r>
          <rPr>
            <sz val="10"/>
            <rFont val="Arial"/>
            <family val="2"/>
          </rPr>
          <t>[</t>
        </r>
        <r>
          <rPr>
            <sz val="10"/>
            <rFont val="Noto Sans CJK SC"/>
            <family val="2"/>
          </rPr>
          <t>간접작업일수 입력 안내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Noto Sans CJK SC"/>
            <family val="2"/>
          </rPr>
          <t>검측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점검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양생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장비조립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보강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운반 등 시공 전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후 작업준비 및 품질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안전 확보일수</t>
        </r>
        <r>
          <rPr>
            <sz val="10"/>
            <rFont val="Arial"/>
            <family val="2"/>
          </rPr>
          <t xml:space="preserve">.
■ </t>
        </r>
        <r>
          <rPr>
            <sz val="10"/>
            <rFont val="Noto Sans CJK SC"/>
            <family val="2"/>
          </rPr>
          <t>공동주택 가이드라인 예시</t>
        </r>
        <r>
          <rPr>
            <sz val="10"/>
            <rFont val="Arial"/>
            <family val="2"/>
          </rPr>
          <t xml:space="preserve">(p.145)
 · </t>
        </r>
        <r>
          <rPr>
            <sz val="10"/>
            <rFont val="Noto Sans CJK SC"/>
            <family val="2"/>
          </rPr>
          <t xml:space="preserve">터파기 검측 </t>
        </r>
        <r>
          <rPr>
            <sz val="10"/>
            <rFont val="Arial"/>
            <family val="2"/>
          </rPr>
          <t xml:space="preserve">: 1.0
 · </t>
        </r>
        <r>
          <rPr>
            <sz val="10"/>
            <rFont val="Noto Sans CJK SC"/>
            <family val="2"/>
          </rPr>
          <t xml:space="preserve">말뚝 천공장비 조립 </t>
        </r>
        <r>
          <rPr>
            <sz val="10"/>
            <rFont val="Arial"/>
            <family val="2"/>
          </rPr>
          <t xml:space="preserve">: 3.0
 · </t>
        </r>
        <r>
          <rPr>
            <sz val="10"/>
            <rFont val="Noto Sans CJK SC"/>
            <family val="2"/>
          </rPr>
          <t xml:space="preserve">말뚝 재하시험 </t>
        </r>
        <r>
          <rPr>
            <sz val="10"/>
            <rFont val="Arial"/>
            <family val="2"/>
          </rPr>
          <t xml:space="preserve">: 2.0
 · </t>
        </r>
        <r>
          <rPr>
            <sz val="10"/>
            <rFont val="Noto Sans CJK SC"/>
            <family val="2"/>
          </rPr>
          <t xml:space="preserve">철근조립 검측 </t>
        </r>
        <r>
          <rPr>
            <sz val="10"/>
            <rFont val="Arial"/>
            <family val="2"/>
          </rPr>
          <t xml:space="preserve">: 0.5
 · </t>
        </r>
        <r>
          <rPr>
            <sz val="10"/>
            <rFont val="Noto Sans CJK SC"/>
            <family val="2"/>
          </rPr>
          <t>거푸집 보강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검측 </t>
        </r>
        <r>
          <rPr>
            <sz val="10"/>
            <rFont val="Arial"/>
            <family val="2"/>
          </rPr>
          <t xml:space="preserve">: 1.0
 · </t>
        </r>
        <r>
          <rPr>
            <sz val="10"/>
            <rFont val="Noto Sans CJK SC"/>
            <family val="2"/>
          </rPr>
          <t xml:space="preserve">콘크리트 양생 </t>
        </r>
        <r>
          <rPr>
            <sz val="10"/>
            <rFont val="Arial"/>
            <family val="2"/>
          </rPr>
          <t>: 2.0~3.0 (</t>
        </r>
        <r>
          <rPr>
            <sz val="10"/>
            <rFont val="Noto Sans CJK SC"/>
            <family val="2"/>
          </rPr>
          <t xml:space="preserve">버림 </t>
        </r>
        <r>
          <rPr>
            <sz val="10"/>
            <rFont val="Arial"/>
            <family val="2"/>
          </rPr>
          <t xml:space="preserve">1.0)
 · </t>
        </r>
        <r>
          <rPr>
            <sz val="10"/>
            <rFont val="Noto Sans CJK SC"/>
            <family val="2"/>
          </rPr>
          <t>갱폼 안전시설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셋팅층</t>
        </r>
        <r>
          <rPr>
            <sz val="10"/>
            <rFont val="Arial"/>
            <family val="2"/>
          </rPr>
          <t xml:space="preserve">) : 5.0
 · </t>
        </r>
        <r>
          <rPr>
            <sz val="10"/>
            <rFont val="Noto Sans CJK SC"/>
            <family val="2"/>
          </rPr>
          <t>경량기포 면정리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양생 </t>
        </r>
        <r>
          <rPr>
            <sz val="10"/>
            <rFont val="Arial"/>
            <family val="2"/>
          </rPr>
          <t xml:space="preserve">: 5.0
 · </t>
        </r>
        <r>
          <rPr>
            <sz val="10"/>
            <rFont val="Noto Sans CJK SC"/>
            <family val="2"/>
          </rPr>
          <t>모르타르 면정리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양생 </t>
        </r>
        <r>
          <rPr>
            <sz val="10"/>
            <rFont val="Arial"/>
            <family val="2"/>
          </rPr>
          <t xml:space="preserve">: 7.0
※ </t>
        </r>
        <r>
          <rPr>
            <sz val="10"/>
            <rFont val="Noto Sans CJK SC"/>
            <family val="2"/>
          </rPr>
          <t>규모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공법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기후 고려하여 조정 가능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환경시설은 양생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수밀</t>
        </r>
        <r>
          <rPr>
            <sz val="10"/>
            <rFont val="Arial"/>
            <family val="2"/>
          </rPr>
          <t>/</t>
        </r>
        <r>
          <rPr>
            <sz val="10"/>
            <rFont val="Noto Sans CJK SC"/>
            <family val="2"/>
          </rPr>
          <t>통수시험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검측 특성에 맞게 산정</t>
        </r>
        <r>
          <rPr>
            <sz val="10"/>
            <rFont val="Arial"/>
            <family val="2"/>
          </rPr>
          <t>.</t>
        </r>
      </text>
    </comment>
    <comment ref="N4" authorId="0" shapeId="0" xr:uid="{00000000-0006-0000-0500-000002000000}">
      <text>
        <r>
          <rPr>
            <sz val="10"/>
            <rFont val="Arial"/>
            <family val="2"/>
          </rPr>
          <t>[</t>
        </r>
        <r>
          <rPr>
            <sz val="10"/>
            <rFont val="Noto Sans CJK SC"/>
            <family val="2"/>
          </rPr>
          <t>보정일수 입력 안내</t>
        </r>
        <r>
          <rPr>
            <sz val="10"/>
            <rFont val="Arial"/>
            <family val="2"/>
          </rPr>
          <t>]  (</t>
        </r>
        <r>
          <rPr>
            <sz val="10"/>
            <rFont val="Noto Sans CJK SC"/>
            <family val="2"/>
          </rPr>
          <t>국토부 고시 제</t>
        </r>
        <r>
          <rPr>
            <sz val="10"/>
            <rFont val="Arial"/>
            <family val="2"/>
          </rPr>
          <t>13</t>
        </r>
        <r>
          <rPr>
            <sz val="10"/>
            <rFont val="Noto Sans CJK SC"/>
            <family val="2"/>
          </rPr>
          <t>조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공사 규모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성격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지역여건을 고려해 가감하는 일수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입력값은 </t>
        </r>
        <r>
          <rPr>
            <sz val="10"/>
            <rFont val="Arial"/>
            <family val="2"/>
          </rPr>
          <t>'</t>
        </r>
        <r>
          <rPr>
            <sz val="10"/>
            <rFont val="Noto Sans CJK SC"/>
            <family val="2"/>
          </rPr>
          <t>총작업일수</t>
        </r>
        <r>
          <rPr>
            <sz val="10"/>
            <rFont val="Arial"/>
            <family val="2"/>
          </rPr>
          <t>'</t>
        </r>
        <r>
          <rPr>
            <sz val="10"/>
            <rFont val="Noto Sans CJK SC"/>
            <family val="2"/>
          </rPr>
          <t>에 자동 합산됩니다</t>
        </r>
        <r>
          <rPr>
            <sz val="10"/>
            <rFont val="Arial"/>
            <family val="2"/>
          </rPr>
          <t xml:space="preserve">.
■ </t>
        </r>
        <r>
          <rPr>
            <sz val="10"/>
            <rFont val="Noto Sans CJK SC"/>
            <family val="2"/>
          </rPr>
          <t>공동주택 가이드라인 예시</t>
        </r>
        <r>
          <rPr>
            <sz val="10"/>
            <rFont val="Arial"/>
            <family val="2"/>
          </rPr>
          <t xml:space="preserve">(p.146)
 · </t>
        </r>
        <r>
          <rPr>
            <sz val="10"/>
            <rFont val="Noto Sans CJK SC"/>
            <family val="2"/>
          </rPr>
          <t xml:space="preserve">도심지 </t>
        </r>
        <r>
          <rPr>
            <sz val="10"/>
            <rFont val="Arial"/>
            <family val="2"/>
          </rPr>
          <t xml:space="preserve">: 15
 · </t>
        </r>
        <r>
          <rPr>
            <sz val="10"/>
            <rFont val="Noto Sans CJK SC"/>
            <family val="2"/>
          </rPr>
          <t xml:space="preserve">소규모 </t>
        </r>
        <r>
          <rPr>
            <sz val="10"/>
            <rFont val="Arial"/>
            <family val="2"/>
          </rPr>
          <t xml:space="preserve">: 15
 · </t>
        </r>
        <r>
          <rPr>
            <sz val="10"/>
            <rFont val="Noto Sans CJK SC"/>
            <family val="2"/>
          </rPr>
          <t xml:space="preserve">파일기초 지지력시험 </t>
        </r>
        <r>
          <rPr>
            <sz val="10"/>
            <rFont val="Arial"/>
            <family val="2"/>
          </rPr>
          <t xml:space="preserve">: 11
 · </t>
        </r>
        <r>
          <rPr>
            <sz val="10"/>
            <rFont val="Noto Sans CJK SC"/>
            <family val="2"/>
          </rPr>
          <t xml:space="preserve">라멘조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중공슬래브 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층당 </t>
        </r>
        <r>
          <rPr>
            <sz val="10"/>
            <rFont val="Arial"/>
            <family val="2"/>
          </rPr>
          <t xml:space="preserve">1
 · </t>
        </r>
        <r>
          <rPr>
            <sz val="10"/>
            <rFont val="Noto Sans CJK SC"/>
            <family val="2"/>
          </rPr>
          <t xml:space="preserve">입면변화 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층당 </t>
        </r>
        <r>
          <rPr>
            <sz val="10"/>
            <rFont val="Arial"/>
            <family val="2"/>
          </rPr>
          <t>2(</t>
        </r>
        <r>
          <rPr>
            <sz val="10"/>
            <rFont val="Noto Sans CJK SC"/>
            <family val="2"/>
          </rPr>
          <t>해당층</t>
        </r>
        <r>
          <rPr>
            <sz val="10"/>
            <rFont val="Arial"/>
            <family val="2"/>
          </rPr>
          <t xml:space="preserve">)
 · </t>
        </r>
        <r>
          <rPr>
            <sz val="10"/>
            <rFont val="Noto Sans CJK SC"/>
            <family val="2"/>
          </rPr>
          <t xml:space="preserve">필로티 </t>
        </r>
        <r>
          <rPr>
            <sz val="10"/>
            <rFont val="Arial"/>
            <family val="2"/>
          </rPr>
          <t xml:space="preserve">: 14
※ </t>
        </r>
        <r>
          <rPr>
            <sz val="10"/>
            <rFont val="Noto Sans CJK SC"/>
            <family val="2"/>
          </rPr>
          <t>예시값이며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토목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환경시설은 현장여건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도심지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연약지반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공구분할 등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에 맞게 산정</t>
        </r>
        <r>
          <rPr>
            <sz val="10"/>
            <rFont val="Arial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4" authorId="0" shapeId="0" xr:uid="{F45F9AFC-2AC8-450A-B0D3-F308E21B8C34}">
      <text>
        <r>
          <rPr>
            <sz val="10"/>
            <rFont val="Arial"/>
            <family val="2"/>
          </rPr>
          <t>[</t>
        </r>
        <r>
          <rPr>
            <sz val="10"/>
            <rFont val="Noto Sans CJK SC"/>
            <family val="2"/>
          </rPr>
          <t>간접작업일수 입력 안내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Noto Sans CJK SC"/>
            <family val="2"/>
          </rPr>
          <t>검측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점검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양생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장비조립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보강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운반 등 시공 전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후 작업준비 및 품질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안전 확보일수</t>
        </r>
        <r>
          <rPr>
            <sz val="10"/>
            <rFont val="Arial"/>
            <family val="2"/>
          </rPr>
          <t xml:space="preserve">.
■ </t>
        </r>
        <r>
          <rPr>
            <sz val="10"/>
            <rFont val="Noto Sans CJK SC"/>
            <family val="2"/>
          </rPr>
          <t>공동주택 가이드라인 예시</t>
        </r>
        <r>
          <rPr>
            <sz val="10"/>
            <rFont val="Arial"/>
            <family val="2"/>
          </rPr>
          <t xml:space="preserve">(p.145)
 · </t>
        </r>
        <r>
          <rPr>
            <sz val="10"/>
            <rFont val="Noto Sans CJK SC"/>
            <family val="2"/>
          </rPr>
          <t xml:space="preserve">터파기 검측 </t>
        </r>
        <r>
          <rPr>
            <sz val="10"/>
            <rFont val="Arial"/>
            <family val="2"/>
          </rPr>
          <t xml:space="preserve">: 1.0
 · </t>
        </r>
        <r>
          <rPr>
            <sz val="10"/>
            <rFont val="Noto Sans CJK SC"/>
            <family val="2"/>
          </rPr>
          <t xml:space="preserve">말뚝 천공장비 조립 </t>
        </r>
        <r>
          <rPr>
            <sz val="10"/>
            <rFont val="Arial"/>
            <family val="2"/>
          </rPr>
          <t xml:space="preserve">: 3.0
 · </t>
        </r>
        <r>
          <rPr>
            <sz val="10"/>
            <rFont val="Noto Sans CJK SC"/>
            <family val="2"/>
          </rPr>
          <t xml:space="preserve">말뚝 재하시험 </t>
        </r>
        <r>
          <rPr>
            <sz val="10"/>
            <rFont val="Arial"/>
            <family val="2"/>
          </rPr>
          <t xml:space="preserve">: 2.0
 · </t>
        </r>
        <r>
          <rPr>
            <sz val="10"/>
            <rFont val="Noto Sans CJK SC"/>
            <family val="2"/>
          </rPr>
          <t xml:space="preserve">철근조립 검측 </t>
        </r>
        <r>
          <rPr>
            <sz val="10"/>
            <rFont val="Arial"/>
            <family val="2"/>
          </rPr>
          <t xml:space="preserve">: 0.5
 · </t>
        </r>
        <r>
          <rPr>
            <sz val="10"/>
            <rFont val="Noto Sans CJK SC"/>
            <family val="2"/>
          </rPr>
          <t>거푸집 보강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검측 </t>
        </r>
        <r>
          <rPr>
            <sz val="10"/>
            <rFont val="Arial"/>
            <family val="2"/>
          </rPr>
          <t xml:space="preserve">: 1.0
 · </t>
        </r>
        <r>
          <rPr>
            <sz val="10"/>
            <rFont val="Noto Sans CJK SC"/>
            <family val="2"/>
          </rPr>
          <t xml:space="preserve">콘크리트 양생 </t>
        </r>
        <r>
          <rPr>
            <sz val="10"/>
            <rFont val="Arial"/>
            <family val="2"/>
          </rPr>
          <t>: 2.0~3.0 (</t>
        </r>
        <r>
          <rPr>
            <sz val="10"/>
            <rFont val="Noto Sans CJK SC"/>
            <family val="2"/>
          </rPr>
          <t xml:space="preserve">버림 </t>
        </r>
        <r>
          <rPr>
            <sz val="10"/>
            <rFont val="Arial"/>
            <family val="2"/>
          </rPr>
          <t xml:space="preserve">1.0)
 · </t>
        </r>
        <r>
          <rPr>
            <sz val="10"/>
            <rFont val="Noto Sans CJK SC"/>
            <family val="2"/>
          </rPr>
          <t>갱폼 안전시설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셋팅층</t>
        </r>
        <r>
          <rPr>
            <sz val="10"/>
            <rFont val="Arial"/>
            <family val="2"/>
          </rPr>
          <t xml:space="preserve">) : 5.0
 · </t>
        </r>
        <r>
          <rPr>
            <sz val="10"/>
            <rFont val="Noto Sans CJK SC"/>
            <family val="2"/>
          </rPr>
          <t>경량기포 면정리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양생 </t>
        </r>
        <r>
          <rPr>
            <sz val="10"/>
            <rFont val="Arial"/>
            <family val="2"/>
          </rPr>
          <t xml:space="preserve">: 5.0
 · </t>
        </r>
        <r>
          <rPr>
            <sz val="10"/>
            <rFont val="Noto Sans CJK SC"/>
            <family val="2"/>
          </rPr>
          <t>모르타르 면정리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양생 </t>
        </r>
        <r>
          <rPr>
            <sz val="10"/>
            <rFont val="Arial"/>
            <family val="2"/>
          </rPr>
          <t xml:space="preserve">: 7.0
※ </t>
        </r>
        <r>
          <rPr>
            <sz val="10"/>
            <rFont val="Noto Sans CJK SC"/>
            <family val="2"/>
          </rPr>
          <t>규모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공법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기후 고려하여 조정 가능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환경시설은 양생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수밀</t>
        </r>
        <r>
          <rPr>
            <sz val="10"/>
            <rFont val="Arial"/>
            <family val="2"/>
          </rPr>
          <t>/</t>
        </r>
        <r>
          <rPr>
            <sz val="10"/>
            <rFont val="Noto Sans CJK SC"/>
            <family val="2"/>
          </rPr>
          <t>통수시험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검측 특성에 맞게 산정</t>
        </r>
        <r>
          <rPr>
            <sz val="10"/>
            <rFont val="Arial"/>
            <family val="2"/>
          </rPr>
          <t>.</t>
        </r>
      </text>
    </comment>
    <comment ref="N4" authorId="0" shapeId="0" xr:uid="{51F7C7E1-3362-477A-802E-9251B3B42469}">
      <text>
        <r>
          <rPr>
            <sz val="10"/>
            <rFont val="Arial"/>
            <family val="2"/>
          </rPr>
          <t>[</t>
        </r>
        <r>
          <rPr>
            <sz val="10"/>
            <rFont val="Noto Sans CJK SC"/>
            <family val="2"/>
          </rPr>
          <t>보정일수 입력 안내</t>
        </r>
        <r>
          <rPr>
            <sz val="10"/>
            <rFont val="Arial"/>
            <family val="2"/>
          </rPr>
          <t>]  (</t>
        </r>
        <r>
          <rPr>
            <sz val="10"/>
            <rFont val="Noto Sans CJK SC"/>
            <family val="2"/>
          </rPr>
          <t>국토부 고시 제</t>
        </r>
        <r>
          <rPr>
            <sz val="10"/>
            <rFont val="Arial"/>
            <family val="2"/>
          </rPr>
          <t>13</t>
        </r>
        <r>
          <rPr>
            <sz val="10"/>
            <rFont val="Noto Sans CJK SC"/>
            <family val="2"/>
          </rPr>
          <t>조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공사 규모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성격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지역여건을 고려해 가감하는 일수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입력값은 </t>
        </r>
        <r>
          <rPr>
            <sz val="10"/>
            <rFont val="Arial"/>
            <family val="2"/>
          </rPr>
          <t>'</t>
        </r>
        <r>
          <rPr>
            <sz val="10"/>
            <rFont val="Noto Sans CJK SC"/>
            <family val="2"/>
          </rPr>
          <t>총작업일수</t>
        </r>
        <r>
          <rPr>
            <sz val="10"/>
            <rFont val="Arial"/>
            <family val="2"/>
          </rPr>
          <t>'</t>
        </r>
        <r>
          <rPr>
            <sz val="10"/>
            <rFont val="Noto Sans CJK SC"/>
            <family val="2"/>
          </rPr>
          <t>에 자동 합산됩니다</t>
        </r>
        <r>
          <rPr>
            <sz val="10"/>
            <rFont val="Arial"/>
            <family val="2"/>
          </rPr>
          <t xml:space="preserve">.
■ </t>
        </r>
        <r>
          <rPr>
            <sz val="10"/>
            <rFont val="Noto Sans CJK SC"/>
            <family val="2"/>
          </rPr>
          <t>공동주택 가이드라인 예시</t>
        </r>
        <r>
          <rPr>
            <sz val="10"/>
            <rFont val="Arial"/>
            <family val="2"/>
          </rPr>
          <t xml:space="preserve">(p.146)
 · </t>
        </r>
        <r>
          <rPr>
            <sz val="10"/>
            <rFont val="Noto Sans CJK SC"/>
            <family val="2"/>
          </rPr>
          <t xml:space="preserve">도심지 </t>
        </r>
        <r>
          <rPr>
            <sz val="10"/>
            <rFont val="Arial"/>
            <family val="2"/>
          </rPr>
          <t xml:space="preserve">: 15
 · </t>
        </r>
        <r>
          <rPr>
            <sz val="10"/>
            <rFont val="Noto Sans CJK SC"/>
            <family val="2"/>
          </rPr>
          <t xml:space="preserve">소규모 </t>
        </r>
        <r>
          <rPr>
            <sz val="10"/>
            <rFont val="Arial"/>
            <family val="2"/>
          </rPr>
          <t xml:space="preserve">: 15
 · </t>
        </r>
        <r>
          <rPr>
            <sz val="10"/>
            <rFont val="Noto Sans CJK SC"/>
            <family val="2"/>
          </rPr>
          <t xml:space="preserve">파일기초 지지력시험 </t>
        </r>
        <r>
          <rPr>
            <sz val="10"/>
            <rFont val="Arial"/>
            <family val="2"/>
          </rPr>
          <t xml:space="preserve">: 11
 · </t>
        </r>
        <r>
          <rPr>
            <sz val="10"/>
            <rFont val="Noto Sans CJK SC"/>
            <family val="2"/>
          </rPr>
          <t xml:space="preserve">라멘조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중공슬래브 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층당 </t>
        </r>
        <r>
          <rPr>
            <sz val="10"/>
            <rFont val="Arial"/>
            <family val="2"/>
          </rPr>
          <t xml:space="preserve">1
 · </t>
        </r>
        <r>
          <rPr>
            <sz val="10"/>
            <rFont val="Noto Sans CJK SC"/>
            <family val="2"/>
          </rPr>
          <t xml:space="preserve">입면변화 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층당 </t>
        </r>
        <r>
          <rPr>
            <sz val="10"/>
            <rFont val="Arial"/>
            <family val="2"/>
          </rPr>
          <t>2(</t>
        </r>
        <r>
          <rPr>
            <sz val="10"/>
            <rFont val="Noto Sans CJK SC"/>
            <family val="2"/>
          </rPr>
          <t>해당층</t>
        </r>
        <r>
          <rPr>
            <sz val="10"/>
            <rFont val="Arial"/>
            <family val="2"/>
          </rPr>
          <t xml:space="preserve">)
 · </t>
        </r>
        <r>
          <rPr>
            <sz val="10"/>
            <rFont val="Noto Sans CJK SC"/>
            <family val="2"/>
          </rPr>
          <t xml:space="preserve">필로티 </t>
        </r>
        <r>
          <rPr>
            <sz val="10"/>
            <rFont val="Arial"/>
            <family val="2"/>
          </rPr>
          <t xml:space="preserve">: 14
※ </t>
        </r>
        <r>
          <rPr>
            <sz val="10"/>
            <rFont val="Noto Sans CJK SC"/>
            <family val="2"/>
          </rPr>
          <t>예시값이며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토목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환경시설은 현장여건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도심지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연약지반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공구분할 등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에 맞게 산정</t>
        </r>
        <r>
          <rPr>
            <sz val="10"/>
            <rFont val="Arial"/>
            <family val="2"/>
          </rPr>
          <t>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4" authorId="0" shapeId="0" xr:uid="{82B4971D-B79D-4906-8845-DFC30DCCC255}">
      <text>
        <r>
          <rPr>
            <sz val="10"/>
            <rFont val="Arial"/>
            <family val="2"/>
          </rPr>
          <t>[</t>
        </r>
        <r>
          <rPr>
            <sz val="10"/>
            <rFont val="Noto Sans CJK SC"/>
            <family val="2"/>
          </rPr>
          <t>간접작업일수 입력 안내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Noto Sans CJK SC"/>
            <family val="2"/>
          </rPr>
          <t>검측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점검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양생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장비조립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보강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운반 등 시공 전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후 작업준비 및 품질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안전 확보일수</t>
        </r>
        <r>
          <rPr>
            <sz val="10"/>
            <rFont val="Arial"/>
            <family val="2"/>
          </rPr>
          <t xml:space="preserve">.
■ </t>
        </r>
        <r>
          <rPr>
            <sz val="10"/>
            <rFont val="Noto Sans CJK SC"/>
            <family val="2"/>
          </rPr>
          <t>공동주택 가이드라인 예시</t>
        </r>
        <r>
          <rPr>
            <sz val="10"/>
            <rFont val="Arial"/>
            <family val="2"/>
          </rPr>
          <t xml:space="preserve">(p.145)
 · </t>
        </r>
        <r>
          <rPr>
            <sz val="10"/>
            <rFont val="Noto Sans CJK SC"/>
            <family val="2"/>
          </rPr>
          <t xml:space="preserve">터파기 검측 </t>
        </r>
        <r>
          <rPr>
            <sz val="10"/>
            <rFont val="Arial"/>
            <family val="2"/>
          </rPr>
          <t xml:space="preserve">: 1.0
 · </t>
        </r>
        <r>
          <rPr>
            <sz val="10"/>
            <rFont val="Noto Sans CJK SC"/>
            <family val="2"/>
          </rPr>
          <t xml:space="preserve">말뚝 천공장비 조립 </t>
        </r>
        <r>
          <rPr>
            <sz val="10"/>
            <rFont val="Arial"/>
            <family val="2"/>
          </rPr>
          <t xml:space="preserve">: 3.0
 · </t>
        </r>
        <r>
          <rPr>
            <sz val="10"/>
            <rFont val="Noto Sans CJK SC"/>
            <family val="2"/>
          </rPr>
          <t xml:space="preserve">말뚝 재하시험 </t>
        </r>
        <r>
          <rPr>
            <sz val="10"/>
            <rFont val="Arial"/>
            <family val="2"/>
          </rPr>
          <t xml:space="preserve">: 2.0
 · </t>
        </r>
        <r>
          <rPr>
            <sz val="10"/>
            <rFont val="Noto Sans CJK SC"/>
            <family val="2"/>
          </rPr>
          <t xml:space="preserve">철근조립 검측 </t>
        </r>
        <r>
          <rPr>
            <sz val="10"/>
            <rFont val="Arial"/>
            <family val="2"/>
          </rPr>
          <t xml:space="preserve">: 0.5
 · </t>
        </r>
        <r>
          <rPr>
            <sz val="10"/>
            <rFont val="Noto Sans CJK SC"/>
            <family val="2"/>
          </rPr>
          <t>거푸집 보강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검측 </t>
        </r>
        <r>
          <rPr>
            <sz val="10"/>
            <rFont val="Arial"/>
            <family val="2"/>
          </rPr>
          <t xml:space="preserve">: 1.0
 · </t>
        </r>
        <r>
          <rPr>
            <sz val="10"/>
            <rFont val="Noto Sans CJK SC"/>
            <family val="2"/>
          </rPr>
          <t xml:space="preserve">콘크리트 양생 </t>
        </r>
        <r>
          <rPr>
            <sz val="10"/>
            <rFont val="Arial"/>
            <family val="2"/>
          </rPr>
          <t>: 2.0~3.0 (</t>
        </r>
        <r>
          <rPr>
            <sz val="10"/>
            <rFont val="Noto Sans CJK SC"/>
            <family val="2"/>
          </rPr>
          <t xml:space="preserve">버림 </t>
        </r>
        <r>
          <rPr>
            <sz val="10"/>
            <rFont val="Arial"/>
            <family val="2"/>
          </rPr>
          <t xml:space="preserve">1.0)
 · </t>
        </r>
        <r>
          <rPr>
            <sz val="10"/>
            <rFont val="Noto Sans CJK SC"/>
            <family val="2"/>
          </rPr>
          <t>갱폼 안전시설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셋팅층</t>
        </r>
        <r>
          <rPr>
            <sz val="10"/>
            <rFont val="Arial"/>
            <family val="2"/>
          </rPr>
          <t xml:space="preserve">) : 5.0
 · </t>
        </r>
        <r>
          <rPr>
            <sz val="10"/>
            <rFont val="Noto Sans CJK SC"/>
            <family val="2"/>
          </rPr>
          <t>경량기포 면정리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양생 </t>
        </r>
        <r>
          <rPr>
            <sz val="10"/>
            <rFont val="Arial"/>
            <family val="2"/>
          </rPr>
          <t xml:space="preserve">: 5.0
 · </t>
        </r>
        <r>
          <rPr>
            <sz val="10"/>
            <rFont val="Noto Sans CJK SC"/>
            <family val="2"/>
          </rPr>
          <t>모르타르 면정리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양생 </t>
        </r>
        <r>
          <rPr>
            <sz val="10"/>
            <rFont val="Arial"/>
            <family val="2"/>
          </rPr>
          <t xml:space="preserve">: 7.0
※ </t>
        </r>
        <r>
          <rPr>
            <sz val="10"/>
            <rFont val="Noto Sans CJK SC"/>
            <family val="2"/>
          </rPr>
          <t>규모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공법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기후 고려하여 조정 가능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환경시설은 양생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수밀</t>
        </r>
        <r>
          <rPr>
            <sz val="10"/>
            <rFont val="Arial"/>
            <family val="2"/>
          </rPr>
          <t>/</t>
        </r>
        <r>
          <rPr>
            <sz val="10"/>
            <rFont val="Noto Sans CJK SC"/>
            <family val="2"/>
          </rPr>
          <t>통수시험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검측 특성에 맞게 산정</t>
        </r>
        <r>
          <rPr>
            <sz val="10"/>
            <rFont val="Arial"/>
            <family val="2"/>
          </rPr>
          <t>.</t>
        </r>
      </text>
    </comment>
    <comment ref="N4" authorId="0" shapeId="0" xr:uid="{44B31F5C-72F8-4775-9C0F-5FE76E7104C6}">
      <text>
        <r>
          <rPr>
            <sz val="10"/>
            <rFont val="Arial"/>
            <family val="2"/>
          </rPr>
          <t>[</t>
        </r>
        <r>
          <rPr>
            <sz val="10"/>
            <rFont val="Noto Sans CJK SC"/>
            <family val="2"/>
          </rPr>
          <t>보정일수 입력 안내</t>
        </r>
        <r>
          <rPr>
            <sz val="10"/>
            <rFont val="Arial"/>
            <family val="2"/>
          </rPr>
          <t>]  (</t>
        </r>
        <r>
          <rPr>
            <sz val="10"/>
            <rFont val="Noto Sans CJK SC"/>
            <family val="2"/>
          </rPr>
          <t>국토부 고시 제</t>
        </r>
        <r>
          <rPr>
            <sz val="10"/>
            <rFont val="Arial"/>
            <family val="2"/>
          </rPr>
          <t>13</t>
        </r>
        <r>
          <rPr>
            <sz val="10"/>
            <rFont val="Noto Sans CJK SC"/>
            <family val="2"/>
          </rPr>
          <t>조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공사 규모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성격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지역여건을 고려해 가감하는 일수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입력값은 </t>
        </r>
        <r>
          <rPr>
            <sz val="10"/>
            <rFont val="Arial"/>
            <family val="2"/>
          </rPr>
          <t>'</t>
        </r>
        <r>
          <rPr>
            <sz val="10"/>
            <rFont val="Noto Sans CJK SC"/>
            <family val="2"/>
          </rPr>
          <t>총작업일수</t>
        </r>
        <r>
          <rPr>
            <sz val="10"/>
            <rFont val="Arial"/>
            <family val="2"/>
          </rPr>
          <t>'</t>
        </r>
        <r>
          <rPr>
            <sz val="10"/>
            <rFont val="Noto Sans CJK SC"/>
            <family val="2"/>
          </rPr>
          <t>에 자동 합산됩니다</t>
        </r>
        <r>
          <rPr>
            <sz val="10"/>
            <rFont val="Arial"/>
            <family val="2"/>
          </rPr>
          <t xml:space="preserve">.
■ </t>
        </r>
        <r>
          <rPr>
            <sz val="10"/>
            <rFont val="Noto Sans CJK SC"/>
            <family val="2"/>
          </rPr>
          <t>공동주택 가이드라인 예시</t>
        </r>
        <r>
          <rPr>
            <sz val="10"/>
            <rFont val="Arial"/>
            <family val="2"/>
          </rPr>
          <t xml:space="preserve">(p.146)
 · </t>
        </r>
        <r>
          <rPr>
            <sz val="10"/>
            <rFont val="Noto Sans CJK SC"/>
            <family val="2"/>
          </rPr>
          <t xml:space="preserve">도심지 </t>
        </r>
        <r>
          <rPr>
            <sz val="10"/>
            <rFont val="Arial"/>
            <family val="2"/>
          </rPr>
          <t xml:space="preserve">: 15
 · </t>
        </r>
        <r>
          <rPr>
            <sz val="10"/>
            <rFont val="Noto Sans CJK SC"/>
            <family val="2"/>
          </rPr>
          <t xml:space="preserve">소규모 </t>
        </r>
        <r>
          <rPr>
            <sz val="10"/>
            <rFont val="Arial"/>
            <family val="2"/>
          </rPr>
          <t xml:space="preserve">: 15
 · </t>
        </r>
        <r>
          <rPr>
            <sz val="10"/>
            <rFont val="Noto Sans CJK SC"/>
            <family val="2"/>
          </rPr>
          <t xml:space="preserve">파일기초 지지력시험 </t>
        </r>
        <r>
          <rPr>
            <sz val="10"/>
            <rFont val="Arial"/>
            <family val="2"/>
          </rPr>
          <t xml:space="preserve">: 11
 · </t>
        </r>
        <r>
          <rPr>
            <sz val="10"/>
            <rFont val="Noto Sans CJK SC"/>
            <family val="2"/>
          </rPr>
          <t xml:space="preserve">라멘조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중공슬래브 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층당 </t>
        </r>
        <r>
          <rPr>
            <sz val="10"/>
            <rFont val="Arial"/>
            <family val="2"/>
          </rPr>
          <t xml:space="preserve">1
 · </t>
        </r>
        <r>
          <rPr>
            <sz val="10"/>
            <rFont val="Noto Sans CJK SC"/>
            <family val="2"/>
          </rPr>
          <t xml:space="preserve">입면변화 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층당 </t>
        </r>
        <r>
          <rPr>
            <sz val="10"/>
            <rFont val="Arial"/>
            <family val="2"/>
          </rPr>
          <t>2(</t>
        </r>
        <r>
          <rPr>
            <sz val="10"/>
            <rFont val="Noto Sans CJK SC"/>
            <family val="2"/>
          </rPr>
          <t>해당층</t>
        </r>
        <r>
          <rPr>
            <sz val="10"/>
            <rFont val="Arial"/>
            <family val="2"/>
          </rPr>
          <t xml:space="preserve">)
 · </t>
        </r>
        <r>
          <rPr>
            <sz val="10"/>
            <rFont val="Noto Sans CJK SC"/>
            <family val="2"/>
          </rPr>
          <t xml:space="preserve">필로티 </t>
        </r>
        <r>
          <rPr>
            <sz val="10"/>
            <rFont val="Arial"/>
            <family val="2"/>
          </rPr>
          <t xml:space="preserve">: 14
※ </t>
        </r>
        <r>
          <rPr>
            <sz val="10"/>
            <rFont val="Noto Sans CJK SC"/>
            <family val="2"/>
          </rPr>
          <t>예시값이며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토목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환경시설은 현장여건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도심지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연약지반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공구분할 등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에 맞게 산정</t>
        </r>
        <r>
          <rPr>
            <sz val="10"/>
            <rFont val="Arial"/>
            <family val="2"/>
          </rPr>
          <t>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4" authorId="0" shapeId="0" xr:uid="{BAECBB3E-E366-43A3-B70D-CD1135E5EC95}">
      <text>
        <r>
          <rPr>
            <sz val="10"/>
            <rFont val="Arial"/>
            <family val="2"/>
          </rPr>
          <t>[</t>
        </r>
        <r>
          <rPr>
            <sz val="10"/>
            <rFont val="Noto Sans CJK SC"/>
            <family val="2"/>
          </rPr>
          <t>간접작업일수 입력 안내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Noto Sans CJK SC"/>
            <family val="2"/>
          </rPr>
          <t>검측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점검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양생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장비조립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보강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운반 등 시공 전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후 작업준비 및 품질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안전 확보일수</t>
        </r>
        <r>
          <rPr>
            <sz val="10"/>
            <rFont val="Arial"/>
            <family val="2"/>
          </rPr>
          <t xml:space="preserve">.
■ </t>
        </r>
        <r>
          <rPr>
            <sz val="10"/>
            <rFont val="Noto Sans CJK SC"/>
            <family val="2"/>
          </rPr>
          <t>공동주택 가이드라인 예시</t>
        </r>
        <r>
          <rPr>
            <sz val="10"/>
            <rFont val="Arial"/>
            <family val="2"/>
          </rPr>
          <t xml:space="preserve">(p.145)
 · </t>
        </r>
        <r>
          <rPr>
            <sz val="10"/>
            <rFont val="Noto Sans CJK SC"/>
            <family val="2"/>
          </rPr>
          <t xml:space="preserve">터파기 검측 </t>
        </r>
        <r>
          <rPr>
            <sz val="10"/>
            <rFont val="Arial"/>
            <family val="2"/>
          </rPr>
          <t xml:space="preserve">: 1.0
 · </t>
        </r>
        <r>
          <rPr>
            <sz val="10"/>
            <rFont val="Noto Sans CJK SC"/>
            <family val="2"/>
          </rPr>
          <t xml:space="preserve">말뚝 천공장비 조립 </t>
        </r>
        <r>
          <rPr>
            <sz val="10"/>
            <rFont val="Arial"/>
            <family val="2"/>
          </rPr>
          <t xml:space="preserve">: 3.0
 · </t>
        </r>
        <r>
          <rPr>
            <sz val="10"/>
            <rFont val="Noto Sans CJK SC"/>
            <family val="2"/>
          </rPr>
          <t xml:space="preserve">말뚝 재하시험 </t>
        </r>
        <r>
          <rPr>
            <sz val="10"/>
            <rFont val="Arial"/>
            <family val="2"/>
          </rPr>
          <t xml:space="preserve">: 2.0
 · </t>
        </r>
        <r>
          <rPr>
            <sz val="10"/>
            <rFont val="Noto Sans CJK SC"/>
            <family val="2"/>
          </rPr>
          <t xml:space="preserve">철근조립 검측 </t>
        </r>
        <r>
          <rPr>
            <sz val="10"/>
            <rFont val="Arial"/>
            <family val="2"/>
          </rPr>
          <t xml:space="preserve">: 0.5
 · </t>
        </r>
        <r>
          <rPr>
            <sz val="10"/>
            <rFont val="Noto Sans CJK SC"/>
            <family val="2"/>
          </rPr>
          <t>거푸집 보강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검측 </t>
        </r>
        <r>
          <rPr>
            <sz val="10"/>
            <rFont val="Arial"/>
            <family val="2"/>
          </rPr>
          <t xml:space="preserve">: 1.0
 · </t>
        </r>
        <r>
          <rPr>
            <sz val="10"/>
            <rFont val="Noto Sans CJK SC"/>
            <family val="2"/>
          </rPr>
          <t xml:space="preserve">콘크리트 양생 </t>
        </r>
        <r>
          <rPr>
            <sz val="10"/>
            <rFont val="Arial"/>
            <family val="2"/>
          </rPr>
          <t>: 2.0~3.0 (</t>
        </r>
        <r>
          <rPr>
            <sz val="10"/>
            <rFont val="Noto Sans CJK SC"/>
            <family val="2"/>
          </rPr>
          <t xml:space="preserve">버림 </t>
        </r>
        <r>
          <rPr>
            <sz val="10"/>
            <rFont val="Arial"/>
            <family val="2"/>
          </rPr>
          <t xml:space="preserve">1.0)
 · </t>
        </r>
        <r>
          <rPr>
            <sz val="10"/>
            <rFont val="Noto Sans CJK SC"/>
            <family val="2"/>
          </rPr>
          <t>갱폼 안전시설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셋팅층</t>
        </r>
        <r>
          <rPr>
            <sz val="10"/>
            <rFont val="Arial"/>
            <family val="2"/>
          </rPr>
          <t xml:space="preserve">) : 5.0
 · </t>
        </r>
        <r>
          <rPr>
            <sz val="10"/>
            <rFont val="Noto Sans CJK SC"/>
            <family val="2"/>
          </rPr>
          <t>경량기포 면정리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양생 </t>
        </r>
        <r>
          <rPr>
            <sz val="10"/>
            <rFont val="Arial"/>
            <family val="2"/>
          </rPr>
          <t xml:space="preserve">: 5.0
 · </t>
        </r>
        <r>
          <rPr>
            <sz val="10"/>
            <rFont val="Noto Sans CJK SC"/>
            <family val="2"/>
          </rPr>
          <t>모르타르 면정리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양생 </t>
        </r>
        <r>
          <rPr>
            <sz val="10"/>
            <rFont val="Arial"/>
            <family val="2"/>
          </rPr>
          <t xml:space="preserve">: 7.0
※ </t>
        </r>
        <r>
          <rPr>
            <sz val="10"/>
            <rFont val="Noto Sans CJK SC"/>
            <family val="2"/>
          </rPr>
          <t>규모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공법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기후 고려하여 조정 가능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환경시설은 양생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수밀</t>
        </r>
        <r>
          <rPr>
            <sz val="10"/>
            <rFont val="Arial"/>
            <family val="2"/>
          </rPr>
          <t>/</t>
        </r>
        <r>
          <rPr>
            <sz val="10"/>
            <rFont val="Noto Sans CJK SC"/>
            <family val="2"/>
          </rPr>
          <t>통수시험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검측 특성에 맞게 산정</t>
        </r>
        <r>
          <rPr>
            <sz val="10"/>
            <rFont val="Arial"/>
            <family val="2"/>
          </rPr>
          <t>.</t>
        </r>
      </text>
    </comment>
    <comment ref="N4" authorId="0" shapeId="0" xr:uid="{703741D9-2A17-4792-9BA3-FCF7BDD850D5}">
      <text>
        <r>
          <rPr>
            <sz val="10"/>
            <rFont val="Arial"/>
            <family val="2"/>
          </rPr>
          <t>[</t>
        </r>
        <r>
          <rPr>
            <sz val="10"/>
            <rFont val="Noto Sans CJK SC"/>
            <family val="2"/>
          </rPr>
          <t>보정일수 입력 안내</t>
        </r>
        <r>
          <rPr>
            <sz val="10"/>
            <rFont val="Arial"/>
            <family val="2"/>
          </rPr>
          <t>]  (</t>
        </r>
        <r>
          <rPr>
            <sz val="10"/>
            <rFont val="Noto Sans CJK SC"/>
            <family val="2"/>
          </rPr>
          <t>국토부 고시 제</t>
        </r>
        <r>
          <rPr>
            <sz val="10"/>
            <rFont val="Arial"/>
            <family val="2"/>
          </rPr>
          <t>13</t>
        </r>
        <r>
          <rPr>
            <sz val="10"/>
            <rFont val="Noto Sans CJK SC"/>
            <family val="2"/>
          </rPr>
          <t>조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Noto Sans CJK SC"/>
            <family val="2"/>
          </rPr>
          <t>공사 규모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성격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지역여건을 고려해 가감하는 일수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입력값은 </t>
        </r>
        <r>
          <rPr>
            <sz val="10"/>
            <rFont val="Arial"/>
            <family val="2"/>
          </rPr>
          <t>'</t>
        </r>
        <r>
          <rPr>
            <sz val="10"/>
            <rFont val="Noto Sans CJK SC"/>
            <family val="2"/>
          </rPr>
          <t>총작업일수</t>
        </r>
        <r>
          <rPr>
            <sz val="10"/>
            <rFont val="Arial"/>
            <family val="2"/>
          </rPr>
          <t>'</t>
        </r>
        <r>
          <rPr>
            <sz val="10"/>
            <rFont val="Noto Sans CJK SC"/>
            <family val="2"/>
          </rPr>
          <t>에 자동 합산됩니다</t>
        </r>
        <r>
          <rPr>
            <sz val="10"/>
            <rFont val="Arial"/>
            <family val="2"/>
          </rPr>
          <t xml:space="preserve">.
■ </t>
        </r>
        <r>
          <rPr>
            <sz val="10"/>
            <rFont val="Noto Sans CJK SC"/>
            <family val="2"/>
          </rPr>
          <t>공동주택 가이드라인 예시</t>
        </r>
        <r>
          <rPr>
            <sz val="10"/>
            <rFont val="Arial"/>
            <family val="2"/>
          </rPr>
          <t xml:space="preserve">(p.146)
 · </t>
        </r>
        <r>
          <rPr>
            <sz val="10"/>
            <rFont val="Noto Sans CJK SC"/>
            <family val="2"/>
          </rPr>
          <t xml:space="preserve">도심지 </t>
        </r>
        <r>
          <rPr>
            <sz val="10"/>
            <rFont val="Arial"/>
            <family val="2"/>
          </rPr>
          <t xml:space="preserve">: 15
 · </t>
        </r>
        <r>
          <rPr>
            <sz val="10"/>
            <rFont val="Noto Sans CJK SC"/>
            <family val="2"/>
          </rPr>
          <t xml:space="preserve">소규모 </t>
        </r>
        <r>
          <rPr>
            <sz val="10"/>
            <rFont val="Arial"/>
            <family val="2"/>
          </rPr>
          <t xml:space="preserve">: 15
 · </t>
        </r>
        <r>
          <rPr>
            <sz val="10"/>
            <rFont val="Noto Sans CJK SC"/>
            <family val="2"/>
          </rPr>
          <t xml:space="preserve">파일기초 지지력시험 </t>
        </r>
        <r>
          <rPr>
            <sz val="10"/>
            <rFont val="Arial"/>
            <family val="2"/>
          </rPr>
          <t xml:space="preserve">: 11
 · </t>
        </r>
        <r>
          <rPr>
            <sz val="10"/>
            <rFont val="Noto Sans CJK SC"/>
            <family val="2"/>
          </rPr>
          <t xml:space="preserve">라멘조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중공슬래브 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층당 </t>
        </r>
        <r>
          <rPr>
            <sz val="10"/>
            <rFont val="Arial"/>
            <family val="2"/>
          </rPr>
          <t xml:space="preserve">1
 · </t>
        </r>
        <r>
          <rPr>
            <sz val="10"/>
            <rFont val="Noto Sans CJK SC"/>
            <family val="2"/>
          </rPr>
          <t xml:space="preserve">입면변화 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층당 </t>
        </r>
        <r>
          <rPr>
            <sz val="10"/>
            <rFont val="Arial"/>
            <family val="2"/>
          </rPr>
          <t>2(</t>
        </r>
        <r>
          <rPr>
            <sz val="10"/>
            <rFont val="Noto Sans CJK SC"/>
            <family val="2"/>
          </rPr>
          <t>해당층</t>
        </r>
        <r>
          <rPr>
            <sz val="10"/>
            <rFont val="Arial"/>
            <family val="2"/>
          </rPr>
          <t xml:space="preserve">)
 · </t>
        </r>
        <r>
          <rPr>
            <sz val="10"/>
            <rFont val="Noto Sans CJK SC"/>
            <family val="2"/>
          </rPr>
          <t xml:space="preserve">필로티 </t>
        </r>
        <r>
          <rPr>
            <sz val="10"/>
            <rFont val="Arial"/>
            <family val="2"/>
          </rPr>
          <t xml:space="preserve">: 14
※ </t>
        </r>
        <r>
          <rPr>
            <sz val="10"/>
            <rFont val="Noto Sans CJK SC"/>
            <family val="2"/>
          </rPr>
          <t>예시값이며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토목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환경시설은 현장여건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도심지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연약지반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공구분할 등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에 맞게 산정</t>
        </r>
        <r>
          <rPr>
            <sz val="10"/>
            <rFont val="Arial"/>
            <family val="2"/>
          </rPr>
          <t>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유태석</author>
  </authors>
  <commentList>
    <comment ref="E8" authorId="0" shapeId="0" xr:uid="{93F63161-D20E-4B2D-BBB6-DEA45ED84751}">
      <text>
        <r>
          <rPr>
            <sz val="9"/>
            <color indexed="81"/>
            <rFont val="돋움"/>
            <family val="3"/>
            <charset val="129"/>
          </rPr>
          <t>작업일수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작업조수를</t>
        </r>
        <r>
          <rPr>
            <sz val="9"/>
            <color indexed="81"/>
            <rFont val="Tahoma"/>
            <family val="2"/>
          </rPr>
          <t xml:space="preserve"> 1.7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적용하였기에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해당공사시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동시투입하는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작업일수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검토시와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반영
</t>
        </r>
        <r>
          <rPr>
            <sz val="9"/>
            <color indexed="81"/>
            <rFont val="Tahoma"/>
            <family val="2"/>
          </rPr>
          <t xml:space="preserve"> 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<sst xmlns="http://schemas.openxmlformats.org/spreadsheetml/2006/main" count="9516" uniqueCount="1867">
  <si>
    <r>
      <rPr>
        <b/>
        <sz val="15"/>
        <color rgb="FFFFFFFF"/>
        <rFont val="Noto Sans CJK SC"/>
        <family val="2"/>
      </rPr>
      <t xml:space="preserve">건설공사 적정 공사기간 검토 </t>
    </r>
    <r>
      <rPr>
        <b/>
        <sz val="15"/>
        <color rgb="FFFFFFFF"/>
        <rFont val="맑은 고딕"/>
        <family val="3"/>
        <charset val="129"/>
      </rPr>
      <t>(</t>
    </r>
    <r>
      <rPr>
        <b/>
        <sz val="15"/>
        <color rgb="FFFFFFFF"/>
        <rFont val="Noto Sans CJK SC"/>
        <family val="2"/>
      </rPr>
      <t xml:space="preserve">국토교통부 </t>
    </r>
    <r>
      <rPr>
        <b/>
        <sz val="15"/>
        <color rgb="FFFFFFFF"/>
        <rFont val="맑은 고딕"/>
        <family val="3"/>
        <charset val="129"/>
      </rPr>
      <t xml:space="preserve">2026 </t>
    </r>
    <r>
      <rPr>
        <b/>
        <sz val="15"/>
        <color rgb="FFFFFFFF"/>
        <rFont val="Noto Sans CJK SC"/>
        <family val="2"/>
      </rPr>
      <t>가이드라인 기반</t>
    </r>
    <r>
      <rPr>
        <b/>
        <sz val="15"/>
        <color rgb="FFFFFFFF"/>
        <rFont val="맑은 고딕"/>
        <family val="3"/>
        <charset val="129"/>
      </rPr>
      <t>)</t>
    </r>
  </si>
  <si>
    <t>■ 산정 기본식</t>
  </si>
  <si>
    <t>공사기간</t>
  </si>
  <si>
    <r>
      <rPr>
        <sz val="10"/>
        <color rgb="FF000000"/>
        <rFont val="Noto Sans CJK SC"/>
        <family val="2"/>
      </rPr>
      <t xml:space="preserve">＝ ① 준비기간 </t>
    </r>
    <r>
      <rPr>
        <sz val="10"/>
        <color rgb="FF000000"/>
        <rFont val="맑은 고딕"/>
        <family val="3"/>
        <charset val="129"/>
      </rPr>
      <t xml:space="preserve">+ ② </t>
    </r>
    <r>
      <rPr>
        <sz val="10"/>
        <color rgb="FF000000"/>
        <rFont val="Noto Sans CJK SC"/>
        <family val="2"/>
      </rPr>
      <t xml:space="preserve">비작업일수 </t>
    </r>
    <r>
      <rPr>
        <sz val="10"/>
        <color rgb="FF000000"/>
        <rFont val="맑은 고딕"/>
        <family val="3"/>
        <charset val="129"/>
      </rPr>
      <t xml:space="preserve">+ ③ </t>
    </r>
    <r>
      <rPr>
        <sz val="10"/>
        <color rgb="FF000000"/>
        <rFont val="Noto Sans CJK SC"/>
        <family val="2"/>
      </rPr>
      <t xml:space="preserve">작업일수 </t>
    </r>
    <r>
      <rPr>
        <sz val="10"/>
        <color rgb="FF000000"/>
        <rFont val="맑은 고딕"/>
        <family val="3"/>
        <charset val="129"/>
      </rPr>
      <t xml:space="preserve">+ ④ </t>
    </r>
    <r>
      <rPr>
        <sz val="10"/>
        <color rgb="FF000000"/>
        <rFont val="Noto Sans CJK SC"/>
        <family val="2"/>
      </rPr>
      <t>정리기간</t>
    </r>
  </si>
  <si>
    <t>③ 작업일수</t>
  </si>
  <si>
    <r>
      <rPr>
        <sz val="10"/>
        <color rgb="FF000000"/>
        <rFont val="Noto Sans CJK SC"/>
        <family val="2"/>
      </rPr>
      <t xml:space="preserve">＝ 작업수량 </t>
    </r>
    <r>
      <rPr>
        <sz val="10"/>
        <color rgb="FF000000"/>
        <rFont val="맑은 고딕"/>
        <family val="3"/>
        <charset val="129"/>
      </rPr>
      <t>÷ (1</t>
    </r>
    <r>
      <rPr>
        <sz val="10"/>
        <color rgb="FF000000"/>
        <rFont val="Noto Sans CJK SC"/>
        <family val="2"/>
      </rPr>
      <t xml:space="preserve">일 작업량 </t>
    </r>
    <r>
      <rPr>
        <sz val="10"/>
        <color rgb="FF000000"/>
        <rFont val="맑은 고딕"/>
        <family val="3"/>
        <charset val="129"/>
      </rPr>
      <t xml:space="preserve">× </t>
    </r>
    <r>
      <rPr>
        <sz val="10"/>
        <color rgb="FF000000"/>
        <rFont val="Noto Sans CJK SC"/>
        <family val="2"/>
      </rPr>
      <t>투입작업조수</t>
    </r>
    <r>
      <rPr>
        <sz val="10"/>
        <color rgb="FF000000"/>
        <rFont val="맑은 고딕"/>
        <family val="3"/>
        <charset val="129"/>
      </rPr>
      <t xml:space="preserve">)  + </t>
    </r>
    <r>
      <rPr>
        <sz val="10"/>
        <color rgb="FF000000"/>
        <rFont val="Noto Sans CJK SC"/>
        <family val="2"/>
      </rPr>
      <t xml:space="preserve">간접작업일수 </t>
    </r>
    <r>
      <rPr>
        <sz val="10"/>
        <color rgb="FF000000"/>
        <rFont val="맑은 고딕"/>
        <family val="3"/>
        <charset val="129"/>
      </rPr>
      <t xml:space="preserve">+ </t>
    </r>
    <r>
      <rPr>
        <sz val="10"/>
        <color rgb="FF000000"/>
        <rFont val="Noto Sans CJK SC"/>
        <family val="2"/>
      </rPr>
      <t>보정일수</t>
    </r>
  </si>
  <si>
    <t>② 비작업일수</t>
  </si>
  <si>
    <r>
      <rPr>
        <sz val="10"/>
        <color rgb="FF000000"/>
        <rFont val="Noto Sans CJK SC"/>
        <family val="2"/>
      </rPr>
      <t xml:space="preserve">＝ 기후비작업일수 </t>
    </r>
    <r>
      <rPr>
        <sz val="10"/>
        <color rgb="FF000000"/>
        <rFont val="맑은 고딕"/>
        <family val="3"/>
        <charset val="129"/>
      </rPr>
      <t xml:space="preserve">+ </t>
    </r>
    <r>
      <rPr>
        <sz val="10"/>
        <color rgb="FF000000"/>
        <rFont val="Noto Sans CJK SC"/>
        <family val="2"/>
      </rPr>
      <t>법정공휴일수 − 중복일수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기후</t>
    </r>
    <r>
      <rPr>
        <sz val="10"/>
        <color rgb="FF000000"/>
        <rFont val="맑은 고딕"/>
        <family val="3"/>
        <charset val="129"/>
      </rPr>
      <t>×</t>
    </r>
    <r>
      <rPr>
        <sz val="10"/>
        <color rgb="FF000000"/>
        <rFont val="Noto Sans CJK SC"/>
        <family val="2"/>
      </rPr>
      <t>공휴일</t>
    </r>
    <r>
      <rPr>
        <sz val="10"/>
        <color rgb="FF000000"/>
        <rFont val="맑은 고딕"/>
        <family val="3"/>
        <charset val="129"/>
      </rPr>
      <t>÷</t>
    </r>
    <r>
      <rPr>
        <sz val="10"/>
        <color rgb="FF000000"/>
        <rFont val="Noto Sans CJK SC"/>
        <family val="2"/>
      </rPr>
      <t>달력일수</t>
    </r>
    <r>
      <rPr>
        <sz val="10"/>
        <color rgb="FF000000"/>
        <rFont val="맑은 고딕"/>
        <family val="3"/>
        <charset val="129"/>
      </rPr>
      <t xml:space="preserve">)  </t>
    </r>
    <r>
      <rPr>
        <sz val="10"/>
        <color rgb="FF000000"/>
        <rFont val="Noto Sans CJK SC"/>
        <family val="2"/>
      </rPr>
      <t>〔주</t>
    </r>
    <r>
      <rPr>
        <sz val="10"/>
        <color rgb="FF000000"/>
        <rFont val="맑은 고딕"/>
        <family val="3"/>
        <charset val="129"/>
      </rPr>
      <t>40</t>
    </r>
    <r>
      <rPr>
        <sz val="10"/>
        <color rgb="FF000000"/>
        <rFont val="Noto Sans CJK SC"/>
        <family val="2"/>
      </rPr>
      <t xml:space="preserve">시간 하한 월 </t>
    </r>
    <r>
      <rPr>
        <sz val="10"/>
        <color rgb="FF000000"/>
        <rFont val="맑은 고딕"/>
        <family val="3"/>
        <charset val="129"/>
      </rPr>
      <t>8</t>
    </r>
    <r>
      <rPr>
        <sz val="10"/>
        <color rgb="FF000000"/>
        <rFont val="Noto Sans CJK SC"/>
        <family val="2"/>
      </rPr>
      <t>일〕</t>
    </r>
  </si>
  <si>
    <t>공종별 공사기간</t>
  </si>
  <si>
    <r>
      <rPr>
        <sz val="10"/>
        <color rgb="FF000000"/>
        <rFont val="Noto Sans CJK SC"/>
        <family val="2"/>
      </rPr>
      <t xml:space="preserve">＝ 작업일수 </t>
    </r>
    <r>
      <rPr>
        <sz val="10"/>
        <color rgb="FF000000"/>
        <rFont val="맑은 고딕"/>
        <family val="3"/>
        <charset val="129"/>
      </rPr>
      <t xml:space="preserve">+ </t>
    </r>
    <r>
      <rPr>
        <sz val="10"/>
        <color rgb="FF000000"/>
        <rFont val="Noto Sans CJK SC"/>
        <family val="2"/>
      </rPr>
      <t xml:space="preserve">비작업일수   →  </t>
    </r>
    <r>
      <rPr>
        <sz val="10"/>
        <color rgb="FF000000"/>
        <rFont val="맑은 고딕"/>
        <family val="3"/>
        <charset val="129"/>
      </rPr>
      <t>CP(</t>
    </r>
    <r>
      <rPr>
        <sz val="10"/>
        <color rgb="FF000000"/>
        <rFont val="Noto Sans CJK SC"/>
        <family val="2"/>
      </rPr>
      <t>주공정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>공종 합산</t>
    </r>
  </si>
  <si>
    <r>
      <rPr>
        <sz val="10"/>
        <color rgb="FF000000"/>
        <rFont val="Noto Sans CJK SC"/>
        <family val="2"/>
      </rPr>
      <t xml:space="preserve">＝ 준비기간 </t>
    </r>
    <r>
      <rPr>
        <sz val="10"/>
        <color rgb="FF000000"/>
        <rFont val="맑은 고딕"/>
        <family val="3"/>
        <charset val="129"/>
      </rPr>
      <t xml:space="preserve">+ (CP </t>
    </r>
    <r>
      <rPr>
        <sz val="10"/>
        <color rgb="FF000000"/>
        <rFont val="Noto Sans CJK SC"/>
        <family val="2"/>
      </rPr>
      <t>공종별 공사기간의 합</t>
    </r>
    <r>
      <rPr>
        <sz val="10"/>
        <color rgb="FF000000"/>
        <rFont val="맑은 고딕"/>
        <family val="3"/>
        <charset val="129"/>
      </rPr>
      <t xml:space="preserve">) + </t>
    </r>
    <r>
      <rPr>
        <sz val="10"/>
        <color rgb="FF000000"/>
        <rFont val="Noto Sans CJK SC"/>
        <family val="2"/>
      </rPr>
      <t>정리기간</t>
    </r>
  </si>
  <si>
    <t>적정성 검토</t>
  </si>
  <si>
    <r>
      <rPr>
        <sz val="10"/>
        <color rgb="FF000000"/>
        <rFont val="Noto Sans CJK SC"/>
        <family val="2"/>
      </rPr>
      <t>산정값</t>
    </r>
    <r>
      <rPr>
        <sz val="10"/>
        <color rgb="FF000000"/>
        <rFont val="맑은 고딕"/>
        <family val="3"/>
        <charset val="129"/>
      </rPr>
      <t xml:space="preserve">(A) vs </t>
    </r>
    <r>
      <rPr>
        <sz val="10"/>
        <color rgb="FF000000"/>
        <rFont val="Noto Sans CJK SC"/>
        <family val="2"/>
      </rPr>
      <t>부록</t>
    </r>
    <r>
      <rPr>
        <sz val="10"/>
        <color rgb="FF000000"/>
        <rFont val="맑은 고딕"/>
        <family val="3"/>
        <charset val="129"/>
      </rPr>
      <t xml:space="preserve">5 </t>
    </r>
    <r>
      <rPr>
        <sz val="10"/>
        <color rgb="FF000000"/>
        <rFont val="Noto Sans CJK SC"/>
        <family val="2"/>
      </rPr>
      <t>산정공식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실적평균</t>
    </r>
    <r>
      <rPr>
        <sz val="10"/>
        <color rgb="FF000000"/>
        <rFont val="맑은 고딕"/>
        <family val="3"/>
        <charset val="129"/>
      </rPr>
      <t xml:space="preserve">(B) → |A−B|/B ≤ 20% </t>
    </r>
    <r>
      <rPr>
        <sz val="10"/>
        <color rgb="FF000000"/>
        <rFont val="Noto Sans CJK SC"/>
        <family val="2"/>
      </rPr>
      <t>이면 적정</t>
    </r>
  </si>
  <si>
    <t>■ 시트 구성 및 사용 순서</t>
  </si>
  <si>
    <t>시트</t>
  </si>
  <si>
    <t>내용</t>
  </si>
  <si>
    <t>①공사개요</t>
  </si>
  <si>
    <r>
      <rPr>
        <sz val="9.5"/>
        <color rgb="FF000000"/>
        <rFont val="Noto Sans CJK SC"/>
        <family val="2"/>
      </rPr>
      <t>공사명</t>
    </r>
    <r>
      <rPr>
        <sz val="9.5"/>
        <color rgb="FF000000"/>
        <rFont val="맑은 고딕"/>
        <family val="3"/>
        <charset val="129"/>
      </rPr>
      <t>·</t>
    </r>
    <r>
      <rPr>
        <sz val="9.5"/>
        <color rgb="FF000000"/>
        <rFont val="Noto Sans CJK SC"/>
        <family val="2"/>
      </rPr>
      <t>시설유형</t>
    </r>
    <r>
      <rPr>
        <sz val="9.5"/>
        <color rgb="FF000000"/>
        <rFont val="맑은 고딕"/>
        <family val="3"/>
        <charset val="129"/>
      </rPr>
      <t>·</t>
    </r>
    <r>
      <rPr>
        <sz val="9.5"/>
        <color rgb="FF000000"/>
        <rFont val="Noto Sans CJK SC"/>
        <family val="2"/>
      </rPr>
      <t>총공사비</t>
    </r>
    <r>
      <rPr>
        <sz val="9.5"/>
        <color rgb="FF000000"/>
        <rFont val="맑은 고딕"/>
        <family val="3"/>
        <charset val="129"/>
      </rPr>
      <t>·</t>
    </r>
    <r>
      <rPr>
        <sz val="9.5"/>
        <color rgb="FF000000"/>
        <rFont val="Noto Sans CJK SC"/>
        <family val="2"/>
      </rPr>
      <t>착수일</t>
    </r>
    <r>
      <rPr>
        <sz val="9.5"/>
        <color rgb="FF000000"/>
        <rFont val="맑은 고딕"/>
        <family val="3"/>
        <charset val="129"/>
      </rPr>
      <t>·</t>
    </r>
    <r>
      <rPr>
        <sz val="9.5"/>
        <color rgb="FF000000"/>
        <rFont val="Noto Sans CJK SC"/>
        <family val="2"/>
      </rPr>
      <t>준비</t>
    </r>
    <r>
      <rPr>
        <sz val="9.5"/>
        <color rgb="FF000000"/>
        <rFont val="맑은 고딕"/>
        <family val="3"/>
        <charset val="129"/>
      </rPr>
      <t>/</t>
    </r>
    <r>
      <rPr>
        <sz val="9.5"/>
        <color rgb="FF000000"/>
        <rFont val="Noto Sans CJK SC"/>
        <family val="2"/>
      </rPr>
      <t>정리기간 등 기본조건 입력</t>
    </r>
    <r>
      <rPr>
        <sz val="9.5"/>
        <color rgb="FF000000"/>
        <rFont val="맑은 고딕"/>
        <family val="3"/>
        <charset val="129"/>
      </rPr>
      <t>(</t>
    </r>
    <r>
      <rPr>
        <sz val="9.5"/>
        <color rgb="FF000000"/>
        <rFont val="Noto Sans CJK SC"/>
        <family val="2"/>
      </rPr>
      <t>노란셀</t>
    </r>
    <r>
      <rPr>
        <sz val="9.5"/>
        <color rgb="FF000000"/>
        <rFont val="맑은 고딕"/>
        <family val="3"/>
        <charset val="129"/>
      </rPr>
      <t>)</t>
    </r>
  </si>
  <si>
    <t>②비작업일수</t>
  </si>
  <si>
    <r>
      <rPr>
        <sz val="9.5"/>
        <color rgb="FF000000"/>
        <rFont val="Noto Sans CJK SC"/>
        <family val="2"/>
      </rPr>
      <t>월별 기후 비작업일수</t>
    </r>
    <r>
      <rPr>
        <sz val="9.5"/>
        <color rgb="FF000000"/>
        <rFont val="맑은 고딕"/>
        <family val="3"/>
        <charset val="129"/>
      </rPr>
      <t>(②-1)·</t>
    </r>
    <r>
      <rPr>
        <sz val="9.5"/>
        <color rgb="FF000000"/>
        <rFont val="Noto Sans CJK SC"/>
        <family val="2"/>
      </rPr>
      <t>법정공휴일</t>
    </r>
    <r>
      <rPr>
        <sz val="9.5"/>
        <color rgb="FF000000"/>
        <rFont val="맑은 고딕"/>
        <family val="3"/>
        <charset val="129"/>
      </rPr>
      <t>(</t>
    </r>
    <r>
      <rPr>
        <sz val="9.5"/>
        <color rgb="FF000000"/>
        <rFont val="Noto Sans CJK SC"/>
        <family val="2"/>
      </rPr>
      <t>부록</t>
    </r>
    <r>
      <rPr>
        <sz val="9.5"/>
        <color rgb="FF000000"/>
        <rFont val="맑은 고딕"/>
        <family val="3"/>
        <charset val="129"/>
      </rPr>
      <t xml:space="preserve">1) → </t>
    </r>
    <r>
      <rPr>
        <sz val="9.5"/>
        <color rgb="FF000000"/>
        <rFont val="Noto Sans CJK SC"/>
        <family val="2"/>
      </rPr>
      <t>월별 적용 비작업일수 자동 산정</t>
    </r>
  </si>
  <si>
    <r>
      <rPr>
        <b/>
        <sz val="10"/>
        <color rgb="FF000000"/>
        <rFont val="맑은 고딕"/>
        <family val="3"/>
        <charset val="129"/>
      </rPr>
      <t xml:space="preserve">②-1 </t>
    </r>
    <r>
      <rPr>
        <b/>
        <sz val="10"/>
        <color rgb="FF000000"/>
        <rFont val="Noto Sans CJK SC"/>
        <family val="2"/>
      </rPr>
      <t>기후비작업근거</t>
    </r>
  </si>
  <si>
    <r>
      <rPr>
        <sz val="9.5"/>
        <color rgb="FF000000"/>
        <rFont val="Noto Sans CJK SC"/>
        <family val="2"/>
      </rPr>
      <t>관측지점</t>
    </r>
    <r>
      <rPr>
        <sz val="9.5"/>
        <color rgb="FF000000"/>
        <rFont val="맑은 고딕"/>
        <family val="3"/>
        <charset val="129"/>
      </rPr>
      <t>(</t>
    </r>
    <r>
      <rPr>
        <sz val="9.5"/>
        <color rgb="FF000000"/>
        <rFont val="Noto Sans CJK SC"/>
        <family val="2"/>
      </rPr>
      <t xml:space="preserve">전국 </t>
    </r>
    <r>
      <rPr>
        <sz val="9.5"/>
        <color rgb="FF000000"/>
        <rFont val="맑은 고딕"/>
        <family val="3"/>
        <charset val="129"/>
      </rPr>
      <t>95</t>
    </r>
    <r>
      <rPr>
        <sz val="9.5"/>
        <color rgb="FF000000"/>
        <rFont val="Noto Sans CJK SC"/>
        <family val="2"/>
      </rPr>
      <t>개</t>
    </r>
    <r>
      <rPr>
        <sz val="9.5"/>
        <color rgb="FF000000"/>
        <rFont val="맑은 고딕"/>
        <family val="3"/>
        <charset val="129"/>
      </rPr>
      <t xml:space="preserve">) </t>
    </r>
    <r>
      <rPr>
        <sz val="9.5"/>
        <color rgb="FF000000"/>
        <rFont val="Noto Sans CJK SC"/>
        <family val="2"/>
      </rPr>
      <t xml:space="preserve">자동조회 </t>
    </r>
    <r>
      <rPr>
        <sz val="9.5"/>
        <color rgb="FF000000"/>
        <rFont val="맑은 고딕"/>
        <family val="3"/>
        <charset val="129"/>
      </rPr>
      <t xml:space="preserve">+ </t>
    </r>
    <r>
      <rPr>
        <sz val="9.5"/>
        <color rgb="FF000000"/>
        <rFont val="Noto Sans CJK SC"/>
        <family val="2"/>
      </rPr>
      <t>시설유형별 권장 기상조건 자동선택</t>
    </r>
    <r>
      <rPr>
        <sz val="9.5"/>
        <color rgb="FF000000"/>
        <rFont val="맑은 고딕"/>
        <family val="3"/>
        <charset val="129"/>
      </rPr>
      <t>(</t>
    </r>
    <r>
      <rPr>
        <sz val="9.5"/>
        <color rgb="FF000000"/>
        <rFont val="Noto Sans CJK SC"/>
        <family val="2"/>
      </rPr>
      <t>자동</t>
    </r>
    <r>
      <rPr>
        <sz val="9.5"/>
        <color rgb="FF000000"/>
        <rFont val="맑은 고딕"/>
        <family val="3"/>
        <charset val="129"/>
      </rPr>
      <t>/</t>
    </r>
    <r>
      <rPr>
        <sz val="9.5"/>
        <color rgb="FF000000"/>
        <rFont val="Noto Sans CJK SC"/>
        <family val="2"/>
      </rPr>
      <t>수동</t>
    </r>
    <r>
      <rPr>
        <sz val="9.5"/>
        <color rgb="FF000000"/>
        <rFont val="맑은 고딕"/>
        <family val="3"/>
        <charset val="129"/>
      </rPr>
      <t xml:space="preserve">). </t>
    </r>
    <r>
      <rPr>
        <sz val="9.5"/>
        <color rgb="FF000000"/>
        <rFont val="Noto Sans CJK SC"/>
        <family val="2"/>
      </rPr>
      <t>하수도→하수관로 기준</t>
    </r>
    <r>
      <rPr>
        <sz val="9.5"/>
        <color rgb="FF000000"/>
        <rFont val="맑은 고딕"/>
        <family val="3"/>
        <charset val="129"/>
      </rPr>
      <t xml:space="preserve">. </t>
    </r>
    <r>
      <rPr>
        <sz val="9.5"/>
        <color rgb="FF000000"/>
        <rFont val="Noto Sans CJK SC"/>
        <family val="2"/>
      </rPr>
      <t>미세먼지 포함 → 월별 기후비작업일수 ②에 연동</t>
    </r>
  </si>
  <si>
    <r>
      <rPr>
        <b/>
        <sz val="10"/>
        <color rgb="FF000000"/>
        <rFont val="맑은 고딕"/>
        <family val="3"/>
        <charset val="129"/>
      </rPr>
      <t>③1</t>
    </r>
    <r>
      <rPr>
        <b/>
        <sz val="10"/>
        <color rgb="FF000000"/>
        <rFont val="Noto Sans CJK SC"/>
        <family val="2"/>
      </rPr>
      <t>일작업량</t>
    </r>
    <r>
      <rPr>
        <b/>
        <sz val="10"/>
        <color rgb="FF000000"/>
        <rFont val="맑은 고딕"/>
        <family val="3"/>
        <charset val="129"/>
      </rPr>
      <t>DB</t>
    </r>
  </si>
  <si>
    <r>
      <rPr>
        <sz val="9.5"/>
        <color rgb="FF000000"/>
        <rFont val="Noto Sans CJK SC"/>
        <family val="2"/>
      </rPr>
      <t>부록</t>
    </r>
    <r>
      <rPr>
        <sz val="9.5"/>
        <color rgb="FF000000"/>
        <rFont val="맑은 고딕"/>
        <family val="3"/>
        <charset val="129"/>
      </rPr>
      <t xml:space="preserve">4 </t>
    </r>
    <r>
      <rPr>
        <sz val="9.5"/>
        <color rgb="FF000000"/>
        <rFont val="Noto Sans CJK SC"/>
        <family val="2"/>
      </rPr>
      <t xml:space="preserve">공종별 </t>
    </r>
    <r>
      <rPr>
        <sz val="9.5"/>
        <color rgb="FF000000"/>
        <rFont val="맑은 고딕"/>
        <family val="3"/>
        <charset val="129"/>
      </rPr>
      <t>1</t>
    </r>
    <r>
      <rPr>
        <sz val="9.5"/>
        <color rgb="FF000000"/>
        <rFont val="Noto Sans CJK SC"/>
        <family val="2"/>
      </rPr>
      <t xml:space="preserve">일 작업량 데이터베이스 </t>
    </r>
    <r>
      <rPr>
        <sz val="9.5"/>
        <color rgb="FF000000"/>
        <rFont val="맑은 고딕"/>
        <family val="3"/>
        <charset val="129"/>
      </rPr>
      <t>(④</t>
    </r>
    <r>
      <rPr>
        <sz val="9.5"/>
        <color rgb="FF000000"/>
        <rFont val="Noto Sans CJK SC"/>
        <family val="2"/>
      </rPr>
      <t>에서 자동 조회</t>
    </r>
    <r>
      <rPr>
        <sz val="9.5"/>
        <color rgb="FF000000"/>
        <rFont val="맑은 고딕"/>
        <family val="3"/>
        <charset val="129"/>
      </rPr>
      <t>)</t>
    </r>
  </si>
  <si>
    <t>④작업일수산정</t>
  </si>
  <si>
    <r>
      <rPr>
        <sz val="9.5"/>
        <color rgb="FF000000"/>
        <rFont val="Noto Sans CJK SC"/>
        <family val="2"/>
      </rPr>
      <t>수량집계 입력 → 부록</t>
    </r>
    <r>
      <rPr>
        <sz val="9.5"/>
        <color rgb="FF000000"/>
        <rFont val="맑은 고딕"/>
        <family val="3"/>
        <charset val="129"/>
      </rPr>
      <t xml:space="preserve">4 </t>
    </r>
    <r>
      <rPr>
        <sz val="9.5"/>
        <color rgb="FF000000"/>
        <rFont val="Noto Sans CJK SC"/>
        <family val="2"/>
      </rPr>
      <t xml:space="preserve">매칭 시 </t>
    </r>
    <r>
      <rPr>
        <sz val="9.5"/>
        <color rgb="FF000000"/>
        <rFont val="맑은 고딕"/>
        <family val="3"/>
        <charset val="129"/>
      </rPr>
      <t>1</t>
    </r>
    <r>
      <rPr>
        <sz val="9.5"/>
        <color rgb="FF000000"/>
        <rFont val="Noto Sans CJK SC"/>
        <family val="2"/>
      </rPr>
      <t xml:space="preserve">일작업량 자동조회 </t>
    </r>
    <r>
      <rPr>
        <sz val="9.5"/>
        <color rgb="FF000000"/>
        <rFont val="맑은 고딕"/>
        <family val="3"/>
        <charset val="129"/>
      </rPr>
      <t xml:space="preserve">/ </t>
    </r>
    <r>
      <rPr>
        <sz val="9.5"/>
        <color rgb="FF000000"/>
        <rFont val="Noto Sans CJK SC"/>
        <family val="2"/>
      </rPr>
      <t xml:space="preserve">그 외 공종은 품셈 </t>
    </r>
    <r>
      <rPr>
        <sz val="9.5"/>
        <color rgb="FF000000"/>
        <rFont val="맑은 고딕"/>
        <family val="3"/>
        <charset val="129"/>
      </rPr>
      <t>1</t>
    </r>
    <r>
      <rPr>
        <sz val="9.5"/>
        <color rgb="FF000000"/>
        <rFont val="Noto Sans CJK SC"/>
        <family val="2"/>
      </rPr>
      <t>일작업량 직접입력 → 작업일수 산출</t>
    </r>
  </si>
  <si>
    <r>
      <rPr>
        <b/>
        <sz val="10"/>
        <color rgb="FF000000"/>
        <rFont val="맑은 고딕"/>
        <family val="3"/>
        <charset val="129"/>
      </rPr>
      <t>⑤CP·</t>
    </r>
    <r>
      <rPr>
        <b/>
        <sz val="10"/>
        <color rgb="FF000000"/>
        <rFont val="Noto Sans CJK SC"/>
        <family val="2"/>
      </rPr>
      <t>공정순서</t>
    </r>
  </si>
  <si>
    <r>
      <rPr>
        <sz val="9.5"/>
        <color rgb="FF000000"/>
        <rFont val="Noto Sans CJK SC"/>
        <family val="2"/>
      </rPr>
      <t>순번</t>
    </r>
    <r>
      <rPr>
        <sz val="9.5"/>
        <color rgb="FF000000"/>
        <rFont val="맑은 고딕"/>
        <family val="3"/>
        <charset val="129"/>
      </rPr>
      <t>(</t>
    </r>
    <r>
      <rPr>
        <sz val="9.5"/>
        <color rgb="FF000000"/>
        <rFont val="Noto Sans CJK SC"/>
        <family val="2"/>
      </rPr>
      <t>작업순서</t>
    </r>
    <r>
      <rPr>
        <sz val="9.5"/>
        <color rgb="FF000000"/>
        <rFont val="맑은 고딕"/>
        <family val="3"/>
        <charset val="129"/>
      </rPr>
      <t xml:space="preserve">) </t>
    </r>
    <r>
      <rPr>
        <sz val="9.5"/>
        <color rgb="FF000000"/>
        <rFont val="Noto Sans CJK SC"/>
        <family val="2"/>
      </rPr>
      <t>입력 → 전 단계 완료 후 착수</t>
    </r>
    <r>
      <rPr>
        <sz val="9.5"/>
        <color rgb="FF000000"/>
        <rFont val="맑은 고딕"/>
        <family val="3"/>
        <charset val="129"/>
      </rPr>
      <t xml:space="preserve">, </t>
    </r>
    <r>
      <rPr>
        <sz val="9.5"/>
        <color rgb="FF000000"/>
        <rFont val="Noto Sans CJK SC"/>
        <family val="2"/>
      </rPr>
      <t>같은 순번</t>
    </r>
    <r>
      <rPr>
        <sz val="9.5"/>
        <color rgb="FF000000"/>
        <rFont val="맑은 고딕"/>
        <family val="3"/>
        <charset val="129"/>
      </rPr>
      <t>=</t>
    </r>
    <r>
      <rPr>
        <sz val="9.5"/>
        <color rgb="FF000000"/>
        <rFont val="Noto Sans CJK SC"/>
        <family val="2"/>
      </rPr>
      <t>병행</t>
    </r>
    <r>
      <rPr>
        <sz val="9.5"/>
        <color rgb="FF000000"/>
        <rFont val="맑은 고딕"/>
        <family val="3"/>
        <charset val="129"/>
      </rPr>
      <t xml:space="preserve">, </t>
    </r>
    <r>
      <rPr>
        <sz val="9.5"/>
        <color rgb="FF000000"/>
        <rFont val="Noto Sans CJK SC"/>
        <family val="2"/>
      </rPr>
      <t>중첩</t>
    </r>
    <r>
      <rPr>
        <sz val="9.5"/>
        <color rgb="FF000000"/>
        <rFont val="맑은 고딕"/>
        <family val="3"/>
        <charset val="129"/>
      </rPr>
      <t>(</t>
    </r>
    <r>
      <rPr>
        <sz val="9.5"/>
        <color rgb="FF000000"/>
        <rFont val="Noto Sans CJK SC"/>
        <family val="2"/>
      </rPr>
      <t>자동</t>
    </r>
    <r>
      <rPr>
        <sz val="9.5"/>
        <color rgb="FF000000"/>
        <rFont val="맑은 고딕"/>
        <family val="3"/>
        <charset val="129"/>
      </rPr>
      <t>/</t>
    </r>
    <r>
      <rPr>
        <sz val="9.5"/>
        <color rgb="FF000000"/>
        <rFont val="Noto Sans CJK SC"/>
        <family val="2"/>
      </rPr>
      <t>수동</t>
    </r>
    <r>
      <rPr>
        <sz val="9.5"/>
        <color rgb="FF000000"/>
        <rFont val="맑은 고딕"/>
        <family val="3"/>
        <charset val="129"/>
      </rPr>
      <t xml:space="preserve">) </t>
    </r>
    <r>
      <rPr>
        <sz val="9.5"/>
        <color rgb="FF000000"/>
        <rFont val="Noto Sans CJK SC"/>
        <family val="2"/>
      </rPr>
      <t>반영하여 일정 자동조정</t>
    </r>
    <r>
      <rPr>
        <sz val="9.5"/>
        <color rgb="FF000000"/>
        <rFont val="맑은 고딕"/>
        <family val="3"/>
        <charset val="129"/>
      </rPr>
      <t>. 3</t>
    </r>
    <r>
      <rPr>
        <sz val="9.5"/>
        <color rgb="FF000000"/>
        <rFont val="Noto Sans CJK SC"/>
        <family val="2"/>
      </rPr>
      <t xml:space="preserve">단계 </t>
    </r>
    <r>
      <rPr>
        <sz val="9.5"/>
        <color rgb="FF000000"/>
        <rFont val="맑은 고딕"/>
        <family val="3"/>
        <charset val="129"/>
      </rPr>
      <t>WBS·</t>
    </r>
    <r>
      <rPr>
        <sz val="9.5"/>
        <color rgb="FF000000"/>
        <rFont val="Noto Sans CJK SC"/>
        <family val="2"/>
      </rPr>
      <t>간트차트 자동 생성</t>
    </r>
  </si>
  <si>
    <t>⑥공사기간종합</t>
  </si>
  <si>
    <r>
      <rPr>
        <sz val="9.5"/>
        <color rgb="FF000000"/>
        <rFont val="Noto Sans CJK SC"/>
        <family val="2"/>
      </rPr>
      <t>준비</t>
    </r>
    <r>
      <rPr>
        <sz val="9.5"/>
        <color rgb="FF000000"/>
        <rFont val="맑은 고딕"/>
        <family val="3"/>
        <charset val="129"/>
      </rPr>
      <t>+CP+</t>
    </r>
    <r>
      <rPr>
        <sz val="9.5"/>
        <color rgb="FF000000"/>
        <rFont val="Noto Sans CJK SC"/>
        <family val="2"/>
      </rPr>
      <t xml:space="preserve">정리 </t>
    </r>
    <r>
      <rPr>
        <sz val="9.5"/>
        <color rgb="FF000000"/>
        <rFont val="맑은 고딕"/>
        <family val="3"/>
        <charset val="129"/>
      </rPr>
      <t xml:space="preserve">= </t>
    </r>
    <r>
      <rPr>
        <sz val="9.5"/>
        <color rgb="FF000000"/>
        <rFont val="Noto Sans CJK SC"/>
        <family val="2"/>
      </rPr>
      <t>총 공사기간</t>
    </r>
    <r>
      <rPr>
        <sz val="9.5"/>
        <color rgb="FF000000"/>
        <rFont val="맑은 고딕"/>
        <family val="3"/>
        <charset val="129"/>
      </rPr>
      <t xml:space="preserve">(A), </t>
    </r>
    <r>
      <rPr>
        <sz val="9.5"/>
        <color rgb="FF000000"/>
        <rFont val="Noto Sans CJK SC"/>
        <family val="2"/>
      </rPr>
      <t>개월 환산 및 월별 공정요약</t>
    </r>
  </si>
  <si>
    <t>⑦적정성검토</t>
  </si>
  <si>
    <r>
      <rPr>
        <sz val="9.5"/>
        <color rgb="FF000000"/>
        <rFont val="Noto Sans CJK SC"/>
        <family val="2"/>
      </rPr>
      <t>부록</t>
    </r>
    <r>
      <rPr>
        <sz val="9.5"/>
        <color rgb="FF000000"/>
        <rFont val="맑은 고딕"/>
        <family val="3"/>
        <charset val="129"/>
      </rPr>
      <t xml:space="preserve">5 </t>
    </r>
    <r>
      <rPr>
        <sz val="9.5"/>
        <color rgb="FF000000"/>
        <rFont val="Noto Sans CJK SC"/>
        <family val="2"/>
      </rPr>
      <t xml:space="preserve">산정공식 </t>
    </r>
    <r>
      <rPr>
        <sz val="9.5"/>
        <color rgb="FF000000"/>
        <rFont val="맑은 고딕"/>
        <family val="3"/>
        <charset val="129"/>
      </rPr>
      <t xml:space="preserve">/ </t>
    </r>
    <r>
      <rPr>
        <sz val="9.5"/>
        <color rgb="FF000000"/>
        <rFont val="Noto Sans CJK SC"/>
        <family val="2"/>
      </rPr>
      <t>실적평균</t>
    </r>
    <r>
      <rPr>
        <sz val="9.5"/>
        <color rgb="FF000000"/>
        <rFont val="맑은 고딕"/>
        <family val="3"/>
        <charset val="129"/>
      </rPr>
      <t>(B)</t>
    </r>
    <r>
      <rPr>
        <sz val="9.5"/>
        <color rgb="FF000000"/>
        <rFont val="Noto Sans CJK SC"/>
        <family val="2"/>
      </rPr>
      <t xml:space="preserve">과 비교하여 </t>
    </r>
    <r>
      <rPr>
        <sz val="9.5"/>
        <color rgb="FF000000"/>
        <rFont val="맑은 고딕"/>
        <family val="3"/>
        <charset val="129"/>
      </rPr>
      <t xml:space="preserve">±20% </t>
    </r>
    <r>
      <rPr>
        <sz val="9.5"/>
        <color rgb="FF000000"/>
        <rFont val="Noto Sans CJK SC"/>
        <family val="2"/>
      </rPr>
      <t>적정성 자동 판정</t>
    </r>
  </si>
  <si>
    <t>부록참고</t>
  </si>
  <si>
    <r>
      <rPr>
        <sz val="9.5"/>
        <color rgb="FF000000"/>
        <rFont val="Noto Sans CJK SC"/>
        <family val="2"/>
      </rPr>
      <t>부록</t>
    </r>
    <r>
      <rPr>
        <sz val="9.5"/>
        <color rgb="FF000000"/>
        <rFont val="맑은 고딕"/>
        <family val="3"/>
        <charset val="129"/>
      </rPr>
      <t xml:space="preserve">1 </t>
    </r>
    <r>
      <rPr>
        <sz val="9.5"/>
        <color rgb="FF000000"/>
        <rFont val="Noto Sans CJK SC"/>
        <family val="2"/>
      </rPr>
      <t>법정공휴일</t>
    </r>
    <r>
      <rPr>
        <sz val="9.5"/>
        <color rgb="FF000000"/>
        <rFont val="맑은 고딕"/>
        <family val="3"/>
        <charset val="129"/>
      </rPr>
      <t>(2026-2035)·</t>
    </r>
    <r>
      <rPr>
        <sz val="9.5"/>
        <color rgb="FF000000"/>
        <rFont val="Noto Sans CJK SC"/>
        <family val="2"/>
      </rPr>
      <t>부록</t>
    </r>
    <r>
      <rPr>
        <sz val="9.5"/>
        <color rgb="FF000000"/>
        <rFont val="맑은 고딕"/>
        <family val="3"/>
        <charset val="129"/>
      </rPr>
      <t xml:space="preserve">2 </t>
    </r>
    <r>
      <rPr>
        <sz val="9.5"/>
        <color rgb="FF000000"/>
        <rFont val="Noto Sans CJK SC"/>
        <family val="2"/>
      </rPr>
      <t>작업제한 기상조건</t>
    </r>
    <r>
      <rPr>
        <sz val="9.5"/>
        <color rgb="FF000000"/>
        <rFont val="맑은 고딕"/>
        <family val="3"/>
        <charset val="129"/>
      </rPr>
      <t>·</t>
    </r>
    <r>
      <rPr>
        <sz val="9.5"/>
        <color rgb="FF000000"/>
        <rFont val="Noto Sans CJK SC"/>
        <family val="2"/>
      </rPr>
      <t>부록</t>
    </r>
    <r>
      <rPr>
        <sz val="9.5"/>
        <color rgb="FF000000"/>
        <rFont val="맑은 고딕"/>
        <family val="3"/>
        <charset val="129"/>
      </rPr>
      <t xml:space="preserve">5 </t>
    </r>
    <r>
      <rPr>
        <sz val="9.5"/>
        <color rgb="FF000000"/>
        <rFont val="Noto Sans CJK SC"/>
        <family val="2"/>
      </rPr>
      <t>산정공식</t>
    </r>
  </si>
  <si>
    <r>
      <rPr>
        <b/>
        <sz val="10"/>
        <color rgb="FF000000"/>
        <rFont val="Noto Sans CJK SC"/>
        <family val="2"/>
      </rPr>
      <t>부록</t>
    </r>
    <r>
      <rPr>
        <b/>
        <sz val="10"/>
        <color rgb="FF000000"/>
        <rFont val="맑은 고딕"/>
        <family val="3"/>
        <charset val="129"/>
      </rPr>
      <t>3DB</t>
    </r>
  </si>
  <si>
    <r>
      <rPr>
        <sz val="9.5"/>
        <color rgb="FF000000"/>
        <rFont val="Noto Sans CJK SC"/>
        <family val="2"/>
      </rPr>
      <t>부록</t>
    </r>
    <r>
      <rPr>
        <sz val="9.5"/>
        <color rgb="FF000000"/>
        <rFont val="맑은 고딕"/>
        <family val="3"/>
        <charset val="129"/>
      </rPr>
      <t xml:space="preserve">3 </t>
    </r>
    <r>
      <rPr>
        <sz val="9.5"/>
        <color rgb="FF000000"/>
        <rFont val="Noto Sans CJK SC"/>
        <family val="2"/>
      </rPr>
      <t xml:space="preserve">전국 </t>
    </r>
    <r>
      <rPr>
        <sz val="9.5"/>
        <color rgb="FF000000"/>
        <rFont val="맑은 고딕"/>
        <family val="3"/>
        <charset val="129"/>
      </rPr>
      <t>95</t>
    </r>
    <r>
      <rPr>
        <sz val="9.5"/>
        <color rgb="FF000000"/>
        <rFont val="Noto Sans CJK SC"/>
        <family val="2"/>
      </rPr>
      <t xml:space="preserve">개 관측지점 </t>
    </r>
    <r>
      <rPr>
        <sz val="9.5"/>
        <color rgb="FF000000"/>
        <rFont val="맑은 고딕"/>
        <family val="3"/>
        <charset val="129"/>
      </rPr>
      <t>× 13</t>
    </r>
    <r>
      <rPr>
        <sz val="9.5"/>
        <color rgb="FF000000"/>
        <rFont val="Noto Sans CJK SC"/>
        <family val="2"/>
      </rPr>
      <t xml:space="preserve">개 기상조건 월별 비작업일수 원자료 </t>
    </r>
    <r>
      <rPr>
        <sz val="9.5"/>
        <color rgb="FF000000"/>
        <rFont val="맑은 고딕"/>
        <family val="3"/>
        <charset val="129"/>
      </rPr>
      <t>(</t>
    </r>
    <r>
      <rPr>
        <sz val="9.5"/>
        <color rgb="FF000000"/>
        <rFont val="Noto Sans CJK SC"/>
        <family val="2"/>
      </rPr>
      <t>편집 시 ②</t>
    </r>
    <r>
      <rPr>
        <sz val="9.5"/>
        <color rgb="FF000000"/>
        <rFont val="맑은 고딕"/>
        <family val="3"/>
        <charset val="129"/>
      </rPr>
      <t xml:space="preserve">-1 </t>
    </r>
    <r>
      <rPr>
        <sz val="9.5"/>
        <color rgb="FF000000"/>
        <rFont val="Noto Sans CJK SC"/>
        <family val="2"/>
      </rPr>
      <t>자동 반영</t>
    </r>
    <r>
      <rPr>
        <sz val="9.5"/>
        <color rgb="FF000000"/>
        <rFont val="맑은 고딕"/>
        <family val="3"/>
        <charset val="129"/>
      </rPr>
      <t>)</t>
    </r>
  </si>
  <si>
    <t>■ 셀 색상 안내</t>
  </si>
  <si>
    <t>예시</t>
  </si>
  <si>
    <r>
      <rPr>
        <sz val="10"/>
        <color rgb="FF000000"/>
        <rFont val="Noto Sans CJK SC"/>
        <family val="2"/>
      </rPr>
      <t xml:space="preserve">입력 셀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사용자 입력</t>
    </r>
    <r>
      <rPr>
        <sz val="10"/>
        <color rgb="FF000000"/>
        <rFont val="맑은 고딕"/>
        <family val="3"/>
        <charset val="129"/>
      </rPr>
      <t>)</t>
    </r>
  </si>
  <si>
    <t>자동 계산 셀</t>
  </si>
  <si>
    <r>
      <rPr>
        <sz val="10"/>
        <color rgb="FF000000"/>
        <rFont val="Noto Sans CJK SC"/>
        <family val="2"/>
      </rPr>
      <t>결과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요약 셀</t>
    </r>
  </si>
  <si>
    <t>검토 경고 셀</t>
  </si>
  <si>
    <r>
      <rPr>
        <i/>
        <sz val="9"/>
        <color rgb="FFC00000"/>
        <rFont val="Noto Sans CJK SC"/>
        <family val="2"/>
      </rPr>
      <t>※ 본 파일은 검토 보조도구이며</t>
    </r>
    <r>
      <rPr>
        <i/>
        <sz val="9"/>
        <color rgb="FFC00000"/>
        <rFont val="맑은 고딕"/>
        <family val="3"/>
        <charset val="129"/>
      </rPr>
      <t xml:space="preserve">, </t>
    </r>
    <r>
      <rPr>
        <i/>
        <sz val="9"/>
        <color rgb="FFC00000"/>
        <rFont val="Noto Sans CJK SC"/>
        <family val="2"/>
      </rPr>
      <t>현장여건</t>
    </r>
    <r>
      <rPr>
        <i/>
        <sz val="9"/>
        <color rgb="FFC00000"/>
        <rFont val="맑은 고딕"/>
        <family val="3"/>
        <charset val="129"/>
      </rPr>
      <t>·</t>
    </r>
    <r>
      <rPr>
        <i/>
        <sz val="9"/>
        <color rgb="FFC00000"/>
        <rFont val="Noto Sans CJK SC"/>
        <family val="2"/>
      </rPr>
      <t>공법</t>
    </r>
    <r>
      <rPr>
        <i/>
        <sz val="9"/>
        <color rgb="FFC00000"/>
        <rFont val="맑은 고딕"/>
        <family val="3"/>
        <charset val="129"/>
      </rPr>
      <t>·</t>
    </r>
    <r>
      <rPr>
        <i/>
        <sz val="9"/>
        <color rgb="FFC00000"/>
        <rFont val="Noto Sans CJK SC"/>
        <family val="2"/>
      </rPr>
      <t>지반</t>
    </r>
    <r>
      <rPr>
        <i/>
        <sz val="9"/>
        <color rgb="FFC00000"/>
        <rFont val="맑은 고딕"/>
        <family val="3"/>
        <charset val="129"/>
      </rPr>
      <t>·</t>
    </r>
    <r>
      <rPr>
        <i/>
        <sz val="9"/>
        <color rgb="FFC00000"/>
        <rFont val="Noto Sans CJK SC"/>
        <family val="2"/>
      </rPr>
      <t xml:space="preserve">기상조건에 따라 </t>
    </r>
    <r>
      <rPr>
        <i/>
        <sz val="9"/>
        <color rgb="FFC00000"/>
        <rFont val="맑은 고딕"/>
        <family val="3"/>
        <charset val="129"/>
      </rPr>
      <t>1</t>
    </r>
    <r>
      <rPr>
        <i/>
        <sz val="9"/>
        <color rgb="FFC00000"/>
        <rFont val="Noto Sans CJK SC"/>
        <family val="2"/>
      </rPr>
      <t>일작업량</t>
    </r>
    <r>
      <rPr>
        <i/>
        <sz val="9"/>
        <color rgb="FFC00000"/>
        <rFont val="맑은 고딕"/>
        <family val="3"/>
        <charset val="129"/>
      </rPr>
      <t>·</t>
    </r>
    <r>
      <rPr>
        <i/>
        <sz val="9"/>
        <color rgb="FFC00000"/>
        <rFont val="Noto Sans CJK SC"/>
        <family val="2"/>
      </rPr>
      <t>작업조</t>
    </r>
    <r>
      <rPr>
        <i/>
        <sz val="9"/>
        <color rgb="FFC00000"/>
        <rFont val="맑은 고딕"/>
        <family val="3"/>
        <charset val="129"/>
      </rPr>
      <t>·</t>
    </r>
    <r>
      <rPr>
        <i/>
        <sz val="9"/>
        <color rgb="FFC00000"/>
        <rFont val="Noto Sans CJK SC"/>
        <family val="2"/>
      </rPr>
      <t>공정순서를 조정하여 적용해야 합니다</t>
    </r>
    <r>
      <rPr>
        <i/>
        <sz val="9"/>
        <color rgb="FFC00000"/>
        <rFont val="맑은 고딕"/>
        <family val="3"/>
        <charset val="129"/>
      </rPr>
      <t>.</t>
    </r>
  </si>
  <si>
    <t>① 공사 개요 및 기본조건</t>
  </si>
  <si>
    <r>
      <rPr>
        <i/>
        <sz val="9"/>
        <color rgb="FF595959"/>
        <rFont val="Noto Sans CJK SC"/>
        <family val="2"/>
      </rPr>
      <t>노란색 셀에 입력하세요</t>
    </r>
    <r>
      <rPr>
        <i/>
        <sz val="9"/>
        <color rgb="FF595959"/>
        <rFont val="맑은 고딕"/>
        <family val="3"/>
        <charset val="129"/>
      </rPr>
      <t xml:space="preserve">. </t>
    </r>
    <r>
      <rPr>
        <i/>
        <sz val="9"/>
        <color rgb="FF595959"/>
        <rFont val="Noto Sans CJK SC"/>
        <family val="2"/>
      </rPr>
      <t>회색</t>
    </r>
    <r>
      <rPr>
        <i/>
        <sz val="9"/>
        <color rgb="FF595959"/>
        <rFont val="맑은 고딕"/>
        <family val="3"/>
        <charset val="129"/>
      </rPr>
      <t>/</t>
    </r>
    <r>
      <rPr>
        <i/>
        <sz val="9"/>
        <color rgb="FF595959"/>
        <rFont val="Noto Sans CJK SC"/>
        <family val="2"/>
      </rPr>
      <t>녹색 셀은 자동 계산됩니다</t>
    </r>
    <r>
      <rPr>
        <i/>
        <sz val="9"/>
        <color rgb="FF595959"/>
        <rFont val="맑은 고딕"/>
        <family val="3"/>
        <charset val="129"/>
      </rPr>
      <t>.</t>
    </r>
  </si>
  <si>
    <r>
      <rPr>
        <b/>
        <sz val="11"/>
        <color rgb="FF2E5496"/>
        <rFont val="맑은 고딕"/>
        <family val="3"/>
        <charset val="129"/>
      </rPr>
      <t xml:space="preserve">[ </t>
    </r>
    <r>
      <rPr>
        <b/>
        <sz val="11"/>
        <color rgb="FF2E5496"/>
        <rFont val="Noto Sans CJK SC"/>
        <family val="2"/>
      </rPr>
      <t xml:space="preserve">사업 정보 </t>
    </r>
    <r>
      <rPr>
        <b/>
        <sz val="11"/>
        <color rgb="FF2E5496"/>
        <rFont val="맑은 고딕"/>
        <family val="3"/>
        <charset val="129"/>
      </rPr>
      <t>]</t>
    </r>
  </si>
  <si>
    <t>공사명</t>
  </si>
  <si>
    <t>① 준비기간</t>
  </si>
  <si>
    <t>일</t>
  </si>
  <si>
    <t>발주청</t>
  </si>
  <si>
    <r>
      <rPr>
        <b/>
        <sz val="10"/>
        <color rgb="FF000000"/>
        <rFont val="Noto Sans CJK SC"/>
        <family val="2"/>
      </rPr>
      <t>② 비작업일수</t>
    </r>
    <r>
      <rPr>
        <b/>
        <sz val="10"/>
        <color rgb="FF000000"/>
        <rFont val="맑은 고딕"/>
        <family val="3"/>
        <charset val="129"/>
      </rPr>
      <t>(CP)</t>
    </r>
  </si>
  <si>
    <t>시설유형</t>
  </si>
  <si>
    <t>하수도</t>
  </si>
  <si>
    <r>
      <rPr>
        <b/>
        <sz val="10"/>
        <color rgb="FF000000"/>
        <rFont val="Noto Sans CJK SC"/>
        <family val="2"/>
      </rPr>
      <t>③ 작업일수</t>
    </r>
    <r>
      <rPr>
        <b/>
        <sz val="10"/>
        <color rgb="FF000000"/>
        <rFont val="맑은 고딕"/>
        <family val="3"/>
        <charset val="129"/>
      </rPr>
      <t>(CP)</t>
    </r>
  </si>
  <si>
    <r>
      <rPr>
        <b/>
        <sz val="10"/>
        <color rgb="FF000000"/>
        <rFont val="Noto Sans CJK SC"/>
        <family val="2"/>
      </rPr>
      <t>총공사비</t>
    </r>
    <r>
      <rPr>
        <b/>
        <sz val="10"/>
        <color rgb="FF000000"/>
        <rFont val="맑은 고딕"/>
        <family val="3"/>
        <charset val="129"/>
      </rPr>
      <t>(</t>
    </r>
    <r>
      <rPr>
        <b/>
        <sz val="10"/>
        <color rgb="FF000000"/>
        <rFont val="Noto Sans CJK SC"/>
        <family val="2"/>
      </rPr>
      <t>추정금액</t>
    </r>
    <r>
      <rPr>
        <b/>
        <sz val="10"/>
        <color rgb="FF000000"/>
        <rFont val="맑은 고딕"/>
        <family val="3"/>
        <charset val="129"/>
      </rPr>
      <t>)</t>
    </r>
  </si>
  <si>
    <t>백만원</t>
  </si>
  <si>
    <t>④ 정리기간</t>
  </si>
  <si>
    <r>
      <rPr>
        <b/>
        <sz val="10"/>
        <color rgb="FF000000"/>
        <rFont val="Noto Sans CJK SC"/>
        <family val="2"/>
      </rPr>
      <t xml:space="preserve">  └ 환산</t>
    </r>
    <r>
      <rPr>
        <b/>
        <sz val="10"/>
        <color rgb="FF000000"/>
        <rFont val="맑은 고딕"/>
        <family val="3"/>
        <charset val="129"/>
      </rPr>
      <t>(</t>
    </r>
    <r>
      <rPr>
        <b/>
        <sz val="10"/>
        <color rgb="FF000000"/>
        <rFont val="Noto Sans CJK SC"/>
        <family val="2"/>
      </rPr>
      <t>억원</t>
    </r>
    <r>
      <rPr>
        <b/>
        <sz val="10"/>
        <color rgb="FF000000"/>
        <rFont val="맑은 고딕"/>
        <family val="3"/>
        <charset val="129"/>
      </rPr>
      <t>)</t>
    </r>
  </si>
  <si>
    <t>억원</t>
  </si>
  <si>
    <r>
      <rPr>
        <b/>
        <sz val="10"/>
        <color rgb="FF000000"/>
        <rFont val="Noto Sans CJK SC"/>
        <family val="2"/>
      </rPr>
      <t>▶ 총 공사기간</t>
    </r>
    <r>
      <rPr>
        <b/>
        <sz val="10"/>
        <color rgb="FF000000"/>
        <rFont val="맑은 고딕"/>
        <family val="3"/>
        <charset val="129"/>
      </rPr>
      <t>(A)</t>
    </r>
  </si>
  <si>
    <r>
      <rPr>
        <b/>
        <sz val="10"/>
        <color rgb="FF000000"/>
        <rFont val="Noto Sans CJK SC"/>
        <family val="2"/>
      </rPr>
      <t>착수예정일</t>
    </r>
    <r>
      <rPr>
        <b/>
        <sz val="10"/>
        <color rgb="FF000000"/>
        <rFont val="맑은 고딕"/>
        <family val="3"/>
        <charset val="129"/>
      </rPr>
      <t>(YYYY-MM-DD)</t>
    </r>
  </si>
  <si>
    <r>
      <rPr>
        <b/>
        <sz val="10"/>
        <color rgb="FF000000"/>
        <rFont val="맑은 고딕"/>
        <family val="3"/>
        <charset val="129"/>
      </rPr>
      <t xml:space="preserve">   (</t>
    </r>
    <r>
      <rPr>
        <b/>
        <sz val="10"/>
        <color rgb="FF000000"/>
        <rFont val="Noto Sans CJK SC"/>
        <family val="2"/>
      </rPr>
      <t>개월 환산</t>
    </r>
    <r>
      <rPr>
        <b/>
        <sz val="10"/>
        <color rgb="FF000000"/>
        <rFont val="맑은 고딕"/>
        <family val="3"/>
        <charset val="129"/>
      </rPr>
      <t>)</t>
    </r>
  </si>
  <si>
    <t>개월</t>
  </si>
  <si>
    <r>
      <rPr>
        <b/>
        <sz val="10"/>
        <color rgb="FF000000"/>
        <rFont val="Noto Sans CJK SC"/>
        <family val="2"/>
      </rPr>
      <t>기상지역</t>
    </r>
    <r>
      <rPr>
        <b/>
        <sz val="10"/>
        <color rgb="FF000000"/>
        <rFont val="맑은 고딕"/>
        <family val="3"/>
        <charset val="129"/>
      </rPr>
      <t>(</t>
    </r>
    <r>
      <rPr>
        <b/>
        <sz val="10"/>
        <color rgb="FF000000"/>
        <rFont val="Noto Sans CJK SC"/>
        <family val="2"/>
      </rPr>
      <t>부록</t>
    </r>
    <r>
      <rPr>
        <b/>
        <sz val="10"/>
        <color rgb="FF000000"/>
        <rFont val="맑은 고딕"/>
        <family val="3"/>
        <charset val="129"/>
      </rPr>
      <t xml:space="preserve">3 </t>
    </r>
    <r>
      <rPr>
        <b/>
        <sz val="10"/>
        <color rgb="FF000000"/>
        <rFont val="Noto Sans CJK SC"/>
        <family val="2"/>
      </rPr>
      <t>기준</t>
    </r>
    <r>
      <rPr>
        <b/>
        <sz val="10"/>
        <color rgb="FF000000"/>
        <rFont val="맑은 고딕"/>
        <family val="3"/>
        <charset val="129"/>
      </rPr>
      <t>)</t>
    </r>
  </si>
  <si>
    <t>서울</t>
  </si>
  <si>
    <r>
      <rPr>
        <b/>
        <sz val="11"/>
        <color rgb="FFC00000"/>
        <rFont val="맑은 고딕"/>
        <family val="3"/>
        <charset val="129"/>
      </rPr>
      <t xml:space="preserve">[ </t>
    </r>
    <r>
      <rPr>
        <b/>
        <sz val="11"/>
        <color rgb="FFC00000"/>
        <rFont val="Noto Sans CJK SC"/>
        <family val="2"/>
      </rPr>
      <t xml:space="preserve">적정성 판정 </t>
    </r>
    <r>
      <rPr>
        <b/>
        <sz val="11"/>
        <color rgb="FFC00000"/>
        <rFont val="맑은 고딕"/>
        <family val="3"/>
        <charset val="129"/>
      </rPr>
      <t>]</t>
    </r>
  </si>
  <si>
    <r>
      <rPr>
        <b/>
        <sz val="11"/>
        <color rgb="FF2E5496"/>
        <rFont val="맑은 고딕"/>
        <family val="3"/>
        <charset val="129"/>
      </rPr>
      <t xml:space="preserve">[ </t>
    </r>
    <r>
      <rPr>
        <b/>
        <sz val="11"/>
        <color rgb="FF2E5496"/>
        <rFont val="Noto Sans CJK SC"/>
        <family val="2"/>
      </rPr>
      <t>준비</t>
    </r>
    <r>
      <rPr>
        <b/>
        <sz val="11"/>
        <color rgb="FF2E5496"/>
        <rFont val="맑은 고딕"/>
        <family val="3"/>
        <charset val="129"/>
      </rPr>
      <t>·</t>
    </r>
    <r>
      <rPr>
        <b/>
        <sz val="11"/>
        <color rgb="FF2E5496"/>
        <rFont val="Noto Sans CJK SC"/>
        <family val="2"/>
      </rPr>
      <t xml:space="preserve">정리기간 </t>
    </r>
    <r>
      <rPr>
        <b/>
        <sz val="11"/>
        <color rgb="FF2E5496"/>
        <rFont val="맑은 고딕"/>
        <family val="3"/>
        <charset val="129"/>
      </rPr>
      <t>]   (</t>
    </r>
    <r>
      <rPr>
        <b/>
        <sz val="11"/>
        <color rgb="FF2E5496"/>
        <rFont val="Noto Sans CJK SC"/>
        <family val="2"/>
      </rPr>
      <t>비작업일수 미계상</t>
    </r>
    <r>
      <rPr>
        <b/>
        <sz val="11"/>
        <color rgb="FF2E5496"/>
        <rFont val="맑은 고딕"/>
        <family val="3"/>
        <charset val="129"/>
      </rPr>
      <t>)</t>
    </r>
  </si>
  <si>
    <r>
      <rPr>
        <b/>
        <sz val="10"/>
        <color rgb="FF000000"/>
        <rFont val="Noto Sans CJK SC"/>
        <family val="2"/>
      </rPr>
      <t>기준 공사기간</t>
    </r>
    <r>
      <rPr>
        <b/>
        <sz val="10"/>
        <color rgb="FF000000"/>
        <rFont val="맑은 고딕"/>
        <family val="3"/>
        <charset val="129"/>
      </rPr>
      <t>(B)</t>
    </r>
  </si>
  <si>
    <t>편차율</t>
  </si>
  <si>
    <t>판정</t>
  </si>
  <si>
    <r>
      <rPr>
        <b/>
        <sz val="11"/>
        <color rgb="FF2E5496"/>
        <rFont val="맑은 고딕"/>
        <family val="3"/>
        <charset val="129"/>
      </rPr>
      <t xml:space="preserve">[ </t>
    </r>
    <r>
      <rPr>
        <b/>
        <sz val="11"/>
        <color rgb="FF2E5496"/>
        <rFont val="Noto Sans CJK SC"/>
        <family val="2"/>
      </rPr>
      <t>부록</t>
    </r>
    <r>
      <rPr>
        <b/>
        <sz val="11"/>
        <color rgb="FF2E5496"/>
        <rFont val="맑은 고딕"/>
        <family val="3"/>
        <charset val="129"/>
      </rPr>
      <t xml:space="preserve">5 </t>
    </r>
    <r>
      <rPr>
        <b/>
        <sz val="11"/>
        <color rgb="FF2E5496"/>
        <rFont val="Noto Sans CJK SC"/>
        <family val="2"/>
      </rPr>
      <t xml:space="preserve">적정성검토용 변수 </t>
    </r>
    <r>
      <rPr>
        <b/>
        <sz val="11"/>
        <color rgb="FF2E5496"/>
        <rFont val="맑은 고딕"/>
        <family val="3"/>
        <charset val="129"/>
      </rPr>
      <t>]</t>
    </r>
  </si>
  <si>
    <t>m</t>
  </si>
  <si>
    <r>
      <rPr>
        <b/>
        <sz val="14"/>
        <color rgb="FFFFFFFF"/>
        <rFont val="Noto Sans CJK SC"/>
        <family val="2"/>
      </rPr>
      <t xml:space="preserve">② 비작업일수 산정 </t>
    </r>
    <r>
      <rPr>
        <b/>
        <sz val="14"/>
        <color rgb="FFFFFFFF"/>
        <rFont val="맑은 고딕"/>
        <family val="3"/>
        <charset val="129"/>
      </rPr>
      <t>(</t>
    </r>
    <r>
      <rPr>
        <b/>
        <sz val="14"/>
        <color rgb="FFFFFFFF"/>
        <rFont val="Noto Sans CJK SC"/>
        <family val="2"/>
      </rPr>
      <t>월별</t>
    </r>
    <r>
      <rPr>
        <b/>
        <sz val="14"/>
        <color rgb="FFFFFFFF"/>
        <rFont val="맑은 고딕"/>
        <family val="3"/>
        <charset val="129"/>
      </rPr>
      <t>)</t>
    </r>
  </si>
  <si>
    <r>
      <rPr>
        <i/>
        <sz val="9"/>
        <color rgb="FF595959"/>
        <rFont val="Noto Sans CJK SC"/>
        <family val="2"/>
      </rPr>
      <t xml:space="preserve">비작업일수 </t>
    </r>
    <r>
      <rPr>
        <i/>
        <sz val="9"/>
        <color rgb="FF595959"/>
        <rFont val="맑은 고딕"/>
        <family val="3"/>
        <charset val="129"/>
      </rPr>
      <t xml:space="preserve">= </t>
    </r>
    <r>
      <rPr>
        <i/>
        <sz val="9"/>
        <color rgb="FF595959"/>
        <rFont val="Noto Sans CJK SC"/>
        <family val="2"/>
      </rPr>
      <t>기후비작업일수</t>
    </r>
    <r>
      <rPr>
        <i/>
        <sz val="9"/>
        <color rgb="FF595959"/>
        <rFont val="맑은 고딕"/>
        <family val="3"/>
        <charset val="129"/>
      </rPr>
      <t xml:space="preserve">(A) + </t>
    </r>
    <r>
      <rPr>
        <i/>
        <sz val="9"/>
        <color rgb="FF595959"/>
        <rFont val="Noto Sans CJK SC"/>
        <family val="2"/>
      </rPr>
      <t>법정공휴일수</t>
    </r>
    <r>
      <rPr>
        <i/>
        <sz val="9"/>
        <color rgb="FF595959"/>
        <rFont val="맑은 고딕"/>
        <family val="3"/>
        <charset val="129"/>
      </rPr>
      <t xml:space="preserve">(B) − </t>
    </r>
    <r>
      <rPr>
        <i/>
        <sz val="9"/>
        <color rgb="FF595959"/>
        <rFont val="Noto Sans CJK SC"/>
        <family val="2"/>
      </rPr>
      <t>중복일수</t>
    </r>
    <r>
      <rPr>
        <i/>
        <sz val="9"/>
        <color rgb="FF595959"/>
        <rFont val="맑은 고딕"/>
        <family val="3"/>
        <charset val="129"/>
      </rPr>
      <t>(C=A×B÷</t>
    </r>
    <r>
      <rPr>
        <i/>
        <sz val="9"/>
        <color rgb="FF595959"/>
        <rFont val="Noto Sans CJK SC"/>
        <family val="2"/>
      </rPr>
      <t>달력일수</t>
    </r>
    <r>
      <rPr>
        <i/>
        <sz val="9"/>
        <color rgb="FF595959"/>
        <rFont val="맑은 고딕"/>
        <family val="3"/>
        <charset val="129"/>
      </rPr>
      <t xml:space="preserve">, </t>
    </r>
    <r>
      <rPr>
        <i/>
        <sz val="9"/>
        <color rgb="FF595959"/>
        <rFont val="Noto Sans CJK SC"/>
        <family val="2"/>
      </rPr>
      <t>반올림</t>
    </r>
    <r>
      <rPr>
        <i/>
        <sz val="9"/>
        <color rgb="FF595959"/>
        <rFont val="맑은 고딕"/>
        <family val="3"/>
        <charset val="129"/>
      </rPr>
      <t xml:space="preserve">)  /  </t>
    </r>
    <r>
      <rPr>
        <i/>
        <sz val="9"/>
        <color rgb="FF595959"/>
        <rFont val="Noto Sans CJK SC"/>
        <family val="2"/>
      </rPr>
      <t>주</t>
    </r>
    <r>
      <rPr>
        <i/>
        <sz val="9"/>
        <color rgb="FF595959"/>
        <rFont val="맑은 고딕"/>
        <family val="3"/>
        <charset val="129"/>
      </rPr>
      <t>40</t>
    </r>
    <r>
      <rPr>
        <i/>
        <sz val="9"/>
        <color rgb="FF595959"/>
        <rFont val="Noto Sans CJK SC"/>
        <family val="2"/>
      </rPr>
      <t xml:space="preserve">시간 하한 월 </t>
    </r>
    <r>
      <rPr>
        <i/>
        <sz val="9"/>
        <color rgb="FF595959"/>
        <rFont val="맑은 고딕"/>
        <family val="3"/>
        <charset val="129"/>
      </rPr>
      <t>8</t>
    </r>
    <r>
      <rPr>
        <i/>
        <sz val="9"/>
        <color rgb="FF595959"/>
        <rFont val="Noto Sans CJK SC"/>
        <family val="2"/>
      </rPr>
      <t>일</t>
    </r>
  </si>
  <si>
    <t>착수년도</t>
  </si>
  <si>
    <t>착수월</t>
  </si>
  <si>
    <t>No</t>
  </si>
  <si>
    <t>년</t>
  </si>
  <si>
    <t>월</t>
  </si>
  <si>
    <t>달력일수</t>
  </si>
  <si>
    <r>
      <rPr>
        <b/>
        <sz val="10"/>
        <color rgb="FFFFFFFF"/>
        <rFont val="Noto Sans CJK SC"/>
        <family val="2"/>
      </rPr>
      <t>법정공휴일</t>
    </r>
    <r>
      <rPr>
        <b/>
        <sz val="10"/>
        <color rgb="FFFFFFFF"/>
        <rFont val="맑은 고딕"/>
        <family val="3"/>
        <charset val="129"/>
      </rPr>
      <t>(B)</t>
    </r>
  </si>
  <si>
    <r>
      <rPr>
        <b/>
        <sz val="10"/>
        <color rgb="FFFFFFFF"/>
        <rFont val="Noto Sans CJK SC"/>
        <family val="2"/>
      </rPr>
      <t>중복</t>
    </r>
    <r>
      <rPr>
        <b/>
        <sz val="10"/>
        <color rgb="FFFFFFFF"/>
        <rFont val="맑은 고딕"/>
        <family val="3"/>
        <charset val="129"/>
      </rPr>
      <t>(C)</t>
    </r>
  </si>
  <si>
    <r>
      <rPr>
        <b/>
        <sz val="10"/>
        <color rgb="FFFFFFFF"/>
        <rFont val="Noto Sans CJK SC"/>
        <family val="2"/>
      </rPr>
      <t>소계</t>
    </r>
    <r>
      <rPr>
        <b/>
        <sz val="10"/>
        <color rgb="FFFFFFFF"/>
        <rFont val="맑은 고딕"/>
        <family val="3"/>
        <charset val="129"/>
      </rPr>
      <t>(A+B-C)</t>
    </r>
  </si>
  <si>
    <t>적용비작업일수</t>
  </si>
  <si>
    <r>
      <rPr>
        <i/>
        <sz val="8"/>
        <color rgb="FF595959"/>
        <rFont val="Noto Sans CJK SC"/>
        <family val="2"/>
      </rPr>
      <t xml:space="preserve">※ 위 표는 착수일 기준 </t>
    </r>
    <r>
      <rPr>
        <i/>
        <sz val="8"/>
        <color rgb="FF595959"/>
        <rFont val="맑은 고딕"/>
        <family val="3"/>
        <charset val="129"/>
      </rPr>
      <t>36</t>
    </r>
    <r>
      <rPr>
        <i/>
        <sz val="8"/>
        <color rgb="FF595959"/>
        <rFont val="Noto Sans CJK SC"/>
        <family val="2"/>
      </rPr>
      <t>개월</t>
    </r>
    <r>
      <rPr>
        <i/>
        <sz val="8"/>
        <color rgb="FF595959"/>
        <rFont val="맑은 고딕"/>
        <family val="3"/>
        <charset val="129"/>
      </rPr>
      <t xml:space="preserve">. </t>
    </r>
    <r>
      <rPr>
        <i/>
        <sz val="8"/>
        <color rgb="FF595959"/>
        <rFont val="Noto Sans CJK SC"/>
        <family val="2"/>
      </rPr>
      <t>실제 공사기간을 초과하는 월은 ⑤</t>
    </r>
    <r>
      <rPr>
        <i/>
        <sz val="8"/>
        <color rgb="FF595959"/>
        <rFont val="맑은 고딕"/>
        <family val="3"/>
        <charset val="129"/>
      </rPr>
      <t>·⑥</t>
    </r>
    <r>
      <rPr>
        <i/>
        <sz val="8"/>
        <color rgb="FF595959"/>
        <rFont val="Noto Sans CJK SC"/>
        <family val="2"/>
      </rPr>
      <t>에서 자동으로 미반영됩니다</t>
    </r>
    <r>
      <rPr>
        <i/>
        <sz val="8"/>
        <color rgb="FF595959"/>
        <rFont val="맑은 고딕"/>
        <family val="3"/>
        <charset val="129"/>
      </rPr>
      <t>.</t>
    </r>
  </si>
  <si>
    <r>
      <rPr>
        <i/>
        <sz val="9"/>
        <color rgb="FF595959"/>
        <rFont val="Noto Sans CJK SC"/>
        <family val="2"/>
      </rPr>
      <t>※ 연평균 비작업일수</t>
    </r>
    <r>
      <rPr>
        <i/>
        <sz val="9"/>
        <color rgb="FF595959"/>
        <rFont val="맑은 고딕"/>
        <family val="3"/>
        <charset val="129"/>
      </rPr>
      <t>(</t>
    </r>
    <r>
      <rPr>
        <i/>
        <sz val="9"/>
        <color rgb="FF595959"/>
        <rFont val="Noto Sans CJK SC"/>
        <family val="2"/>
      </rPr>
      <t>법정공휴일</t>
    </r>
    <r>
      <rPr>
        <i/>
        <sz val="9"/>
        <color rgb="FF595959"/>
        <rFont val="맑은 고딕"/>
        <family val="3"/>
        <charset val="129"/>
      </rPr>
      <t>+</t>
    </r>
    <r>
      <rPr>
        <i/>
        <sz val="9"/>
        <color rgb="FF595959"/>
        <rFont val="Noto Sans CJK SC"/>
        <family val="2"/>
      </rPr>
      <t>기후</t>
    </r>
    <r>
      <rPr>
        <i/>
        <sz val="9"/>
        <color rgb="FF595959"/>
        <rFont val="맑은 고딕"/>
        <family val="3"/>
        <charset val="129"/>
      </rPr>
      <t xml:space="preserve">, </t>
    </r>
    <r>
      <rPr>
        <i/>
        <sz val="9"/>
        <color rgb="FF595959"/>
        <rFont val="Noto Sans CJK SC"/>
        <family val="2"/>
      </rPr>
      <t>중복제외</t>
    </r>
    <r>
      <rPr>
        <i/>
        <sz val="9"/>
        <color rgb="FF595959"/>
        <rFont val="맑은 고딕"/>
        <family val="3"/>
        <charset val="129"/>
      </rPr>
      <t>):</t>
    </r>
  </si>
  <si>
    <r>
      <rPr>
        <sz val="8"/>
        <color rgb="FF595959"/>
        <rFont val="Noto Sans CJK SC"/>
        <family val="2"/>
      </rPr>
      <t>일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>년</t>
    </r>
    <r>
      <rPr>
        <sz val="8"/>
        <color rgb="FF595959"/>
        <rFont val="맑은 고딕"/>
        <family val="3"/>
        <charset val="129"/>
      </rPr>
      <t>(</t>
    </r>
    <r>
      <rPr>
        <sz val="8"/>
        <color rgb="FF595959"/>
        <rFont val="Noto Sans CJK SC"/>
        <family val="2"/>
      </rPr>
      <t xml:space="preserve">착수후 </t>
    </r>
    <r>
      <rPr>
        <sz val="8"/>
        <color rgb="FF595959"/>
        <rFont val="맑은 고딕"/>
        <family val="3"/>
        <charset val="129"/>
      </rPr>
      <t>1</t>
    </r>
    <r>
      <rPr>
        <sz val="8"/>
        <color rgb="FF595959"/>
        <rFont val="Noto Sans CJK SC"/>
        <family val="2"/>
      </rPr>
      <t>년</t>
    </r>
    <r>
      <rPr>
        <sz val="8"/>
        <color rgb="FF595959"/>
        <rFont val="맑은 고딕"/>
        <family val="3"/>
        <charset val="129"/>
      </rPr>
      <t>)</t>
    </r>
  </si>
  <si>
    <r>
      <rPr>
        <i/>
        <sz val="9"/>
        <color rgb="FF595959"/>
        <rFont val="Noto Sans CJK SC"/>
        <family val="2"/>
      </rPr>
      <t>부록</t>
    </r>
    <r>
      <rPr>
        <i/>
        <sz val="9"/>
        <color rgb="FF595959"/>
        <rFont val="맑은 고딕"/>
        <family val="3"/>
        <charset val="129"/>
      </rPr>
      <t>2</t>
    </r>
    <r>
      <rPr>
        <i/>
        <sz val="9"/>
        <color rgb="FF595959"/>
        <rFont val="Noto Sans CJK SC"/>
        <family val="2"/>
      </rPr>
      <t>의 국가건설기준</t>
    </r>
    <r>
      <rPr>
        <i/>
        <sz val="9"/>
        <color rgb="FF595959"/>
        <rFont val="맑은 고딕"/>
        <family val="3"/>
        <charset val="129"/>
      </rPr>
      <t xml:space="preserve">(KCS </t>
    </r>
    <r>
      <rPr>
        <i/>
        <sz val="9"/>
        <color rgb="FF595959"/>
        <rFont val="Noto Sans CJK SC"/>
        <family val="2"/>
      </rPr>
      <t>등</t>
    </r>
    <r>
      <rPr>
        <i/>
        <sz val="9"/>
        <color rgb="FF595959"/>
        <rFont val="맑은 고딕"/>
        <family val="3"/>
        <charset val="129"/>
      </rPr>
      <t xml:space="preserve">) </t>
    </r>
    <r>
      <rPr>
        <i/>
        <sz val="9"/>
        <color rgb="FF595959"/>
        <rFont val="Noto Sans CJK SC"/>
        <family val="2"/>
      </rPr>
      <t>작업제한 기상조건을</t>
    </r>
    <r>
      <rPr>
        <i/>
        <sz val="9"/>
        <color rgb="FF595959"/>
        <rFont val="맑은 고딕"/>
        <family val="3"/>
        <charset val="129"/>
      </rPr>
      <t xml:space="preserve">, </t>
    </r>
    <r>
      <rPr>
        <i/>
        <sz val="9"/>
        <color rgb="FF595959"/>
        <rFont val="Noto Sans CJK SC"/>
        <family val="2"/>
      </rPr>
      <t>부록</t>
    </r>
    <r>
      <rPr>
        <i/>
        <sz val="9"/>
        <color rgb="FF595959"/>
        <rFont val="맑은 고딕"/>
        <family val="3"/>
        <charset val="129"/>
      </rPr>
      <t xml:space="preserve">3 </t>
    </r>
    <r>
      <rPr>
        <i/>
        <sz val="9"/>
        <color rgb="FF595959"/>
        <rFont val="Noto Sans CJK SC"/>
        <family val="2"/>
      </rPr>
      <t xml:space="preserve">기상청 </t>
    </r>
    <r>
      <rPr>
        <i/>
        <sz val="9"/>
        <color rgb="FF595959"/>
        <rFont val="맑은 고딕"/>
        <family val="3"/>
        <charset val="129"/>
      </rPr>
      <t>10</t>
    </r>
    <r>
      <rPr>
        <i/>
        <sz val="9"/>
        <color rgb="FF595959"/>
        <rFont val="Noto Sans CJK SC"/>
        <family val="2"/>
      </rPr>
      <t>년</t>
    </r>
    <r>
      <rPr>
        <i/>
        <sz val="9"/>
        <color rgb="FF595959"/>
        <rFont val="맑은 고딕"/>
        <family val="3"/>
        <charset val="129"/>
      </rPr>
      <t xml:space="preserve">(2015–2024) </t>
    </r>
    <r>
      <rPr>
        <i/>
        <sz val="9"/>
        <color rgb="FF595959"/>
        <rFont val="Noto Sans CJK SC"/>
        <family val="2"/>
      </rPr>
      <t>지역통계로 일수화하여 월별 기후비작업일수를 산정합니다</t>
    </r>
    <r>
      <rPr>
        <i/>
        <sz val="9"/>
        <color rgb="FF595959"/>
        <rFont val="맑은 고딕"/>
        <family val="3"/>
        <charset val="129"/>
      </rPr>
      <t>.</t>
    </r>
  </si>
  <si>
    <r>
      <rPr>
        <i/>
        <sz val="8.5"/>
        <color rgb="FFC00000"/>
        <rFont val="Noto Sans CJK SC"/>
        <family val="2"/>
      </rPr>
      <t xml:space="preserve">관측지점을 선택하면 </t>
    </r>
    <r>
      <rPr>
        <i/>
        <sz val="8.5"/>
        <color rgb="FFC00000"/>
        <rFont val="맑은 고딕"/>
        <family val="3"/>
        <charset val="129"/>
      </rPr>
      <t>13</t>
    </r>
    <r>
      <rPr>
        <i/>
        <sz val="8.5"/>
        <color rgb="FFC00000"/>
        <rFont val="Noto Sans CJK SC"/>
        <family val="2"/>
      </rPr>
      <t>개 기상조건 값이 부록</t>
    </r>
    <r>
      <rPr>
        <i/>
        <sz val="8.5"/>
        <color rgb="FFC00000"/>
        <rFont val="맑은 고딕"/>
        <family val="3"/>
        <charset val="129"/>
      </rPr>
      <t>3</t>
    </r>
    <r>
      <rPr>
        <i/>
        <sz val="8.5"/>
        <color rgb="FFC00000"/>
        <rFont val="Noto Sans CJK SC"/>
        <family val="2"/>
      </rPr>
      <t>에서 자동 반영됩니다</t>
    </r>
    <r>
      <rPr>
        <i/>
        <sz val="8.5"/>
        <color rgb="FFC00000"/>
        <rFont val="맑은 고딕"/>
        <family val="3"/>
        <charset val="129"/>
      </rPr>
      <t>. '</t>
    </r>
    <r>
      <rPr>
        <i/>
        <sz val="8.5"/>
        <color rgb="FFC00000"/>
        <rFont val="Noto Sans CJK SC"/>
        <family val="2"/>
      </rPr>
      <t>선택</t>
    </r>
    <r>
      <rPr>
        <i/>
        <sz val="8.5"/>
        <color rgb="FFC00000"/>
        <rFont val="맑은 고딕"/>
        <family val="3"/>
        <charset val="129"/>
      </rPr>
      <t>(Y)'</t>
    </r>
    <r>
      <rPr>
        <i/>
        <sz val="8.5"/>
        <color rgb="FFC00000"/>
        <rFont val="Noto Sans CJK SC"/>
        <family val="2"/>
      </rPr>
      <t>한 조건만 합산되며</t>
    </r>
    <r>
      <rPr>
        <i/>
        <sz val="8.5"/>
        <color rgb="FFC00000"/>
        <rFont val="맑은 고딕"/>
        <family val="3"/>
        <charset val="129"/>
      </rPr>
      <t xml:space="preserve">, </t>
    </r>
    <r>
      <rPr>
        <i/>
        <sz val="8.5"/>
        <color rgb="FFC00000"/>
        <rFont val="Noto Sans CJK SC"/>
        <family val="2"/>
      </rPr>
      <t>미세먼지는 별도 입력값을 사용합니다</t>
    </r>
    <r>
      <rPr>
        <i/>
        <sz val="8.5"/>
        <color rgb="FFC00000"/>
        <rFont val="맑은 고딕"/>
        <family val="3"/>
        <charset val="129"/>
      </rPr>
      <t>.</t>
    </r>
  </si>
  <si>
    <t>■ 관측지점 및 공사유형 선택</t>
  </si>
  <si>
    <t>관측지점</t>
  </si>
  <si>
    <t>서산</t>
  </si>
  <si>
    <t>행정구역</t>
  </si>
  <si>
    <t>선택방식</t>
  </si>
  <si>
    <t>공사유형</t>
  </si>
  <si>
    <r>
      <rPr>
        <i/>
        <sz val="8"/>
        <color rgb="FFC00000"/>
        <rFont val="맑은 고딕"/>
        <family val="3"/>
        <charset val="129"/>
      </rPr>
      <t>※ '</t>
    </r>
    <r>
      <rPr>
        <i/>
        <sz val="8"/>
        <color rgb="FFC00000"/>
        <rFont val="Noto Sans CJK SC"/>
        <family val="2"/>
      </rPr>
      <t>자동</t>
    </r>
    <r>
      <rPr>
        <i/>
        <sz val="8"/>
        <color rgb="FFC00000"/>
        <rFont val="맑은 고딕"/>
        <family val="3"/>
        <charset val="129"/>
      </rPr>
      <t>'</t>
    </r>
    <r>
      <rPr>
        <i/>
        <sz val="8"/>
        <color rgb="FFC00000"/>
        <rFont val="Noto Sans CJK SC"/>
        <family val="2"/>
      </rPr>
      <t>이면 ①공사개요의 시설유형에 따라 권장 기상조건이 자동 선택</t>
    </r>
    <r>
      <rPr>
        <i/>
        <sz val="8"/>
        <color rgb="FFC00000"/>
        <rFont val="맑은 고딕"/>
        <family val="3"/>
        <charset val="129"/>
      </rPr>
      <t>(</t>
    </r>
    <r>
      <rPr>
        <i/>
        <sz val="8"/>
        <color rgb="FFC00000"/>
        <rFont val="Noto Sans CJK SC"/>
        <family val="2"/>
      </rPr>
      <t>아래 매트릭스 기준</t>
    </r>
    <r>
      <rPr>
        <i/>
        <sz val="8"/>
        <color rgb="FFC00000"/>
        <rFont val="맑은 고딕"/>
        <family val="3"/>
        <charset val="129"/>
      </rPr>
      <t>). '</t>
    </r>
    <r>
      <rPr>
        <i/>
        <sz val="8"/>
        <color rgb="FFC00000"/>
        <rFont val="Noto Sans CJK SC"/>
        <family val="2"/>
      </rPr>
      <t>수동</t>
    </r>
    <r>
      <rPr>
        <i/>
        <sz val="8"/>
        <color rgb="FFC00000"/>
        <rFont val="맑은 고딕"/>
        <family val="3"/>
        <charset val="129"/>
      </rPr>
      <t>'</t>
    </r>
    <r>
      <rPr>
        <i/>
        <sz val="8"/>
        <color rgb="FFC00000"/>
        <rFont val="Noto Sans CJK SC"/>
        <family val="2"/>
      </rPr>
      <t xml:space="preserve">이면 </t>
    </r>
    <r>
      <rPr>
        <i/>
        <sz val="8"/>
        <color rgb="FFC00000"/>
        <rFont val="맑은 고딕"/>
        <family val="3"/>
        <charset val="129"/>
      </rPr>
      <t>'</t>
    </r>
    <r>
      <rPr>
        <i/>
        <sz val="8"/>
        <color rgb="FFC00000"/>
        <rFont val="Noto Sans CJK SC"/>
        <family val="2"/>
      </rPr>
      <t>수동선택</t>
    </r>
    <r>
      <rPr>
        <i/>
        <sz val="8"/>
        <color rgb="FFC00000"/>
        <rFont val="맑은 고딕"/>
        <family val="3"/>
        <charset val="129"/>
      </rPr>
      <t xml:space="preserve">(Y)' </t>
    </r>
    <r>
      <rPr>
        <i/>
        <sz val="8"/>
        <color rgb="FFC00000"/>
        <rFont val="Noto Sans CJK SC"/>
        <family val="2"/>
      </rPr>
      <t>칸으로 직접 지정</t>
    </r>
    <r>
      <rPr>
        <i/>
        <sz val="8"/>
        <color rgb="FFC00000"/>
        <rFont val="맑은 고딕"/>
        <family val="3"/>
        <charset val="129"/>
      </rPr>
      <t xml:space="preserve">. </t>
    </r>
    <r>
      <rPr>
        <i/>
        <sz val="8"/>
        <color rgb="FFC00000"/>
        <rFont val="Noto Sans CJK SC"/>
        <family val="2"/>
      </rPr>
      <t>하수도</t>
    </r>
    <r>
      <rPr>
        <i/>
        <sz val="8"/>
        <color rgb="FFC00000"/>
        <rFont val="맑은 고딕"/>
        <family val="3"/>
        <charset val="129"/>
      </rPr>
      <t>=</t>
    </r>
    <r>
      <rPr>
        <i/>
        <sz val="8"/>
        <color rgb="FFC00000"/>
        <rFont val="Noto Sans CJK SC"/>
        <family val="2"/>
      </rPr>
      <t>하수관로 공사 기준 적용</t>
    </r>
    <r>
      <rPr>
        <i/>
        <sz val="8"/>
        <color rgb="FFC00000"/>
        <rFont val="맑은 고딕"/>
        <family val="3"/>
        <charset val="129"/>
      </rPr>
      <t>.</t>
    </r>
  </si>
  <si>
    <r>
      <rPr>
        <b/>
        <sz val="10.5"/>
        <color rgb="FF1F3864"/>
        <rFont val="Noto Sans CJK SC"/>
        <family val="2"/>
      </rPr>
      <t>■ 부록</t>
    </r>
    <r>
      <rPr>
        <b/>
        <sz val="10.5"/>
        <color rgb="FF1F3864"/>
        <rFont val="맑은 고딕"/>
        <family val="3"/>
        <charset val="129"/>
      </rPr>
      <t xml:space="preserve">2 </t>
    </r>
    <r>
      <rPr>
        <b/>
        <sz val="10.5"/>
        <color rgb="FF1F3864"/>
        <rFont val="Noto Sans CJK SC"/>
        <family val="2"/>
      </rPr>
      <t xml:space="preserve">주요 작업제한 기상조건 </t>
    </r>
    <r>
      <rPr>
        <b/>
        <sz val="10.5"/>
        <color rgb="FF1F3864"/>
        <rFont val="맑은 고딕"/>
        <family val="3"/>
        <charset val="129"/>
      </rPr>
      <t>(</t>
    </r>
    <r>
      <rPr>
        <b/>
        <sz val="10.5"/>
        <color rgb="FF1F3864"/>
        <rFont val="Noto Sans CJK SC"/>
        <family val="2"/>
      </rPr>
      <t>해당 공종 선정 참고</t>
    </r>
    <r>
      <rPr>
        <b/>
        <sz val="10.5"/>
        <color rgb="FF1F3864"/>
        <rFont val="맑은 고딕"/>
        <family val="3"/>
        <charset val="129"/>
      </rPr>
      <t>)</t>
    </r>
  </si>
  <si>
    <r>
      <rPr>
        <b/>
        <sz val="9"/>
        <color rgb="FFFFFFFF"/>
        <rFont val="Noto Sans CJK SC"/>
        <family val="2"/>
      </rPr>
      <t>공종</t>
    </r>
    <r>
      <rPr>
        <b/>
        <sz val="9"/>
        <color rgb="FFFFFFFF"/>
        <rFont val="맑은 고딕"/>
        <family val="3"/>
        <charset val="129"/>
      </rPr>
      <t>/</t>
    </r>
    <r>
      <rPr>
        <b/>
        <sz val="9"/>
        <color rgb="FFFFFFFF"/>
        <rFont val="Noto Sans CJK SC"/>
        <family val="2"/>
      </rPr>
      <t>작업</t>
    </r>
  </si>
  <si>
    <t>작업제한 기상조건</t>
  </si>
  <si>
    <t>근거</t>
  </si>
  <si>
    <t>콘크리트 타설</t>
  </si>
  <si>
    <r>
      <rPr>
        <sz val="8.5"/>
        <color rgb="FF000000"/>
        <rFont val="Noto Sans CJK SC"/>
        <family val="2"/>
      </rPr>
      <t>강우</t>
    </r>
    <r>
      <rPr>
        <sz val="8.5"/>
        <color rgb="FF000000"/>
        <rFont val="맑은 고딕"/>
        <family val="3"/>
        <charset val="129"/>
      </rPr>
      <t>·</t>
    </r>
    <r>
      <rPr>
        <sz val="8.5"/>
        <color rgb="FF000000"/>
        <rFont val="Noto Sans CJK SC"/>
        <family val="2"/>
      </rPr>
      <t xml:space="preserve">강설 시 원칙 금지 </t>
    </r>
    <r>
      <rPr>
        <sz val="8.5"/>
        <color rgb="FF000000"/>
        <rFont val="맑은 고딕"/>
        <family val="3"/>
        <charset val="129"/>
      </rPr>
      <t xml:space="preserve">/ </t>
    </r>
    <r>
      <rPr>
        <sz val="8.5"/>
        <color rgb="FF000000"/>
        <rFont val="Noto Sans CJK SC"/>
        <family val="2"/>
      </rPr>
      <t xml:space="preserve">동절기 일평균 </t>
    </r>
    <r>
      <rPr>
        <sz val="8.5"/>
        <color rgb="FF000000"/>
        <rFont val="맑은 고딕"/>
        <family val="3"/>
        <charset val="129"/>
      </rPr>
      <t>4℃↓·</t>
    </r>
    <r>
      <rPr>
        <sz val="8.5"/>
        <color rgb="FF000000"/>
        <rFont val="Noto Sans CJK SC"/>
        <family val="2"/>
      </rPr>
      <t xml:space="preserve">타설후 </t>
    </r>
    <r>
      <rPr>
        <sz val="8.5"/>
        <color rgb="FF000000"/>
        <rFont val="맑은 고딕"/>
        <family val="3"/>
        <charset val="129"/>
      </rPr>
      <t xml:space="preserve">24h </t>
    </r>
    <r>
      <rPr>
        <sz val="8.5"/>
        <color rgb="FF000000"/>
        <rFont val="Noto Sans CJK SC"/>
        <family val="2"/>
      </rPr>
      <t xml:space="preserve">일최저 </t>
    </r>
    <r>
      <rPr>
        <sz val="8.5"/>
        <color rgb="FF000000"/>
        <rFont val="맑은 고딕"/>
        <family val="3"/>
        <charset val="129"/>
      </rPr>
      <t xml:space="preserve">0℃↓ → </t>
    </r>
    <r>
      <rPr>
        <sz val="8.5"/>
        <color rgb="FF000000"/>
        <rFont val="Noto Sans CJK SC"/>
        <family val="2"/>
      </rPr>
      <t xml:space="preserve">한중콘크리트 </t>
    </r>
    <r>
      <rPr>
        <sz val="8.5"/>
        <color rgb="FF000000"/>
        <rFont val="맑은 고딕"/>
        <family val="3"/>
        <charset val="129"/>
      </rPr>
      <t xml:space="preserve">/ </t>
    </r>
    <r>
      <rPr>
        <sz val="8.5"/>
        <color rgb="FF000000"/>
        <rFont val="Noto Sans CJK SC"/>
        <family val="2"/>
      </rPr>
      <t xml:space="preserve">혹서기 일평균 </t>
    </r>
    <r>
      <rPr>
        <sz val="8.5"/>
        <color rgb="FF000000"/>
        <rFont val="맑은 고딕"/>
        <family val="3"/>
        <charset val="129"/>
      </rPr>
      <t>25℃↑·</t>
    </r>
    <r>
      <rPr>
        <sz val="8.5"/>
        <color rgb="FF000000"/>
        <rFont val="Noto Sans CJK SC"/>
        <family val="2"/>
      </rPr>
      <t xml:space="preserve">타설후 </t>
    </r>
    <r>
      <rPr>
        <sz val="8.5"/>
        <color rgb="FF000000"/>
        <rFont val="맑은 고딕"/>
        <family val="3"/>
        <charset val="129"/>
      </rPr>
      <t xml:space="preserve">24h </t>
    </r>
    <r>
      <rPr>
        <sz val="8.5"/>
        <color rgb="FF000000"/>
        <rFont val="Noto Sans CJK SC"/>
        <family val="2"/>
      </rPr>
      <t xml:space="preserve">일최고 </t>
    </r>
    <r>
      <rPr>
        <sz val="8.5"/>
        <color rgb="FF000000"/>
        <rFont val="맑은 고딕"/>
        <family val="3"/>
        <charset val="129"/>
      </rPr>
      <t xml:space="preserve">30℃↑ → </t>
    </r>
    <r>
      <rPr>
        <sz val="8.5"/>
        <color rgb="FF000000"/>
        <rFont val="Noto Sans CJK SC"/>
        <family val="2"/>
      </rPr>
      <t>서중콘크리트</t>
    </r>
  </si>
  <si>
    <t>KCS 14 20 10·40·41</t>
  </si>
  <si>
    <r>
      <rPr>
        <b/>
        <sz val="8.5"/>
        <color rgb="FF000000"/>
        <rFont val="Noto Sans CJK SC"/>
        <family val="2"/>
      </rPr>
      <t>일반 토공</t>
    </r>
    <r>
      <rPr>
        <b/>
        <sz val="8.5"/>
        <color rgb="FF000000"/>
        <rFont val="맑은 고딕"/>
        <family val="3"/>
        <charset val="129"/>
      </rPr>
      <t>/</t>
    </r>
    <r>
      <rPr>
        <b/>
        <sz val="8.5"/>
        <color rgb="FF000000"/>
        <rFont val="Noto Sans CJK SC"/>
        <family val="2"/>
      </rPr>
      <t>가시설</t>
    </r>
    <r>
      <rPr>
        <b/>
        <sz val="8.5"/>
        <color rgb="FF000000"/>
        <rFont val="맑은 고딕"/>
        <family val="3"/>
        <charset val="129"/>
      </rPr>
      <t>(</t>
    </r>
    <r>
      <rPr>
        <b/>
        <sz val="8.5"/>
        <color rgb="FF000000"/>
        <rFont val="Noto Sans CJK SC"/>
        <family val="2"/>
      </rPr>
      <t>관로 굴착</t>
    </r>
    <r>
      <rPr>
        <b/>
        <sz val="8.5"/>
        <color rgb="FF000000"/>
        <rFont val="맑은 고딕"/>
        <family val="3"/>
        <charset val="129"/>
      </rPr>
      <t>)</t>
    </r>
  </si>
  <si>
    <r>
      <rPr>
        <sz val="8.5"/>
        <color rgb="FF000000"/>
        <rFont val="Noto Sans CJK SC"/>
        <family val="2"/>
      </rPr>
      <t>강우</t>
    </r>
    <r>
      <rPr>
        <sz val="8.5"/>
        <color rgb="FF000000"/>
        <rFont val="맑은 고딕"/>
        <family val="3"/>
        <charset val="129"/>
      </rPr>
      <t>·</t>
    </r>
    <r>
      <rPr>
        <sz val="8.5"/>
        <color rgb="FF000000"/>
        <rFont val="Noto Sans CJK SC"/>
        <family val="2"/>
      </rPr>
      <t>강설 시</t>
    </r>
    <r>
      <rPr>
        <sz val="8.5"/>
        <color rgb="FF000000"/>
        <rFont val="맑은 고딕"/>
        <family val="3"/>
        <charset val="129"/>
      </rPr>
      <t xml:space="preserve">, </t>
    </r>
    <r>
      <rPr>
        <sz val="8.5"/>
        <color rgb="FF000000"/>
        <rFont val="Noto Sans CJK SC"/>
        <family val="2"/>
      </rPr>
      <t xml:space="preserve">동절기 저온 시 작업제한 </t>
    </r>
    <r>
      <rPr>
        <sz val="8.5"/>
        <color rgb="FF000000"/>
        <rFont val="맑은 고딕"/>
        <family val="3"/>
        <charset val="129"/>
      </rPr>
      <t>(</t>
    </r>
    <r>
      <rPr>
        <sz val="8.5"/>
        <color rgb="FF000000"/>
        <rFont val="Noto Sans CJK SC"/>
        <family val="2"/>
      </rPr>
      <t>하수</t>
    </r>
    <r>
      <rPr>
        <sz val="8.5"/>
        <color rgb="FF000000"/>
        <rFont val="맑은 고딕"/>
        <family val="3"/>
        <charset val="129"/>
      </rPr>
      <t>·</t>
    </r>
    <r>
      <rPr>
        <sz val="8.5"/>
        <color rgb="FF000000"/>
        <rFont val="Noto Sans CJK SC"/>
        <family val="2"/>
      </rPr>
      <t>상수관로 굴착</t>
    </r>
    <r>
      <rPr>
        <sz val="8.5"/>
        <color rgb="FF000000"/>
        <rFont val="맑은 고딕"/>
        <family val="3"/>
        <charset val="129"/>
      </rPr>
      <t>·</t>
    </r>
    <r>
      <rPr>
        <sz val="8.5"/>
        <color rgb="FF000000"/>
        <rFont val="Noto Sans CJK SC"/>
        <family val="2"/>
      </rPr>
      <t>관부설 포함</t>
    </r>
    <r>
      <rPr>
        <sz val="8.5"/>
        <color rgb="FF000000"/>
        <rFont val="맑은 고딕"/>
        <family val="3"/>
        <charset val="129"/>
      </rPr>
      <t>)</t>
    </r>
  </si>
  <si>
    <r>
      <rPr>
        <sz val="8"/>
        <color rgb="FF595959"/>
        <rFont val="맑은 고딕"/>
        <family val="3"/>
        <charset val="129"/>
      </rPr>
      <t xml:space="preserve">KCS 11 </t>
    </r>
    <r>
      <rPr>
        <sz val="8"/>
        <color rgb="FF595959"/>
        <rFont val="Noto Sans CJK SC"/>
        <family val="2"/>
      </rPr>
      <t>계열</t>
    </r>
  </si>
  <si>
    <r>
      <rPr>
        <b/>
        <sz val="8.5"/>
        <color rgb="FF000000"/>
        <rFont val="Noto Sans CJK SC"/>
        <family val="2"/>
      </rPr>
      <t>양중</t>
    </r>
    <r>
      <rPr>
        <b/>
        <sz val="8.5"/>
        <color rgb="FF000000"/>
        <rFont val="맑은 고딕"/>
        <family val="3"/>
        <charset val="129"/>
      </rPr>
      <t>/</t>
    </r>
    <r>
      <rPr>
        <b/>
        <sz val="8.5"/>
        <color rgb="FF000000"/>
        <rFont val="Noto Sans CJK SC"/>
        <family val="2"/>
      </rPr>
      <t>타워크레인</t>
    </r>
  </si>
  <si>
    <r>
      <rPr>
        <sz val="8.5"/>
        <color rgb="FF000000"/>
        <rFont val="Noto Sans CJK SC"/>
        <family val="2"/>
      </rPr>
      <t xml:space="preserve">순간풍속 </t>
    </r>
    <r>
      <rPr>
        <sz val="8.5"/>
        <color rgb="FF000000"/>
        <rFont val="맑은 고딕"/>
        <family val="3"/>
        <charset val="129"/>
      </rPr>
      <t xml:space="preserve">15m/s↑ </t>
    </r>
    <r>
      <rPr>
        <sz val="8.5"/>
        <color rgb="FF000000"/>
        <rFont val="Noto Sans CJK SC"/>
        <family val="2"/>
      </rPr>
      <t>운전중지</t>
    </r>
    <r>
      <rPr>
        <sz val="8.5"/>
        <color rgb="FF000000"/>
        <rFont val="맑은 고딕"/>
        <family val="3"/>
        <charset val="129"/>
      </rPr>
      <t xml:space="preserve">, 10m/s↑ </t>
    </r>
    <r>
      <rPr>
        <sz val="8.5"/>
        <color rgb="FF000000"/>
        <rFont val="Noto Sans CJK SC"/>
        <family val="2"/>
      </rPr>
      <t>설치</t>
    </r>
    <r>
      <rPr>
        <sz val="8.5"/>
        <color rgb="FF000000"/>
        <rFont val="맑은 고딕"/>
        <family val="3"/>
        <charset val="129"/>
      </rPr>
      <t>·</t>
    </r>
    <r>
      <rPr>
        <sz val="8.5"/>
        <color rgb="FF000000"/>
        <rFont val="Noto Sans CJK SC"/>
        <family val="2"/>
      </rPr>
      <t>해체 중지</t>
    </r>
  </si>
  <si>
    <t>KCS 21 20 10</t>
  </si>
  <si>
    <t>강구조 현장용접</t>
  </si>
  <si>
    <r>
      <rPr>
        <sz val="8.5"/>
        <color rgb="FF000000"/>
        <rFont val="Noto Sans CJK SC"/>
        <family val="2"/>
      </rPr>
      <t xml:space="preserve">대기온도 </t>
    </r>
    <r>
      <rPr>
        <sz val="8.5"/>
        <color rgb="FF000000"/>
        <rFont val="맑은 고딕"/>
        <family val="3"/>
        <charset val="129"/>
      </rPr>
      <t xml:space="preserve">-20℃↓, </t>
    </r>
    <r>
      <rPr>
        <sz val="8.5"/>
        <color rgb="FF000000"/>
        <rFont val="Noto Sans CJK SC"/>
        <family val="2"/>
      </rPr>
      <t>강우</t>
    </r>
    <r>
      <rPr>
        <sz val="8.5"/>
        <color rgb="FF000000"/>
        <rFont val="맑은 고딕"/>
        <family val="3"/>
        <charset val="129"/>
      </rPr>
      <t>·</t>
    </r>
    <r>
      <rPr>
        <sz val="8.5"/>
        <color rgb="FF000000"/>
        <rFont val="Noto Sans CJK SC"/>
        <family val="2"/>
      </rPr>
      <t>강우직후</t>
    </r>
    <r>
      <rPr>
        <sz val="8.5"/>
        <color rgb="FF000000"/>
        <rFont val="맑은 고딕"/>
        <family val="3"/>
        <charset val="129"/>
      </rPr>
      <t xml:space="preserve">, </t>
    </r>
    <r>
      <rPr>
        <sz val="8.5"/>
        <color rgb="FF000000"/>
        <rFont val="Noto Sans CJK SC"/>
        <family val="2"/>
      </rPr>
      <t xml:space="preserve">풍속 </t>
    </r>
    <r>
      <rPr>
        <sz val="8.5"/>
        <color rgb="FF000000"/>
        <rFont val="맑은 고딕"/>
        <family val="3"/>
        <charset val="129"/>
      </rPr>
      <t>2m/s↑(FCAW)</t>
    </r>
  </si>
  <si>
    <t>KCS 14 31 30</t>
  </si>
  <si>
    <r>
      <rPr>
        <b/>
        <sz val="8.5"/>
        <color rgb="FF000000"/>
        <rFont val="Noto Sans CJK SC"/>
        <family val="2"/>
      </rPr>
      <t>도장</t>
    </r>
    <r>
      <rPr>
        <b/>
        <sz val="8.5"/>
        <color rgb="FF000000"/>
        <rFont val="맑은 고딕"/>
        <family val="3"/>
        <charset val="129"/>
      </rPr>
      <t>/</t>
    </r>
    <r>
      <rPr>
        <b/>
        <sz val="8.5"/>
        <color rgb="FF000000"/>
        <rFont val="Noto Sans CJK SC"/>
        <family val="2"/>
      </rPr>
      <t>방수</t>
    </r>
    <r>
      <rPr>
        <b/>
        <sz val="8.5"/>
        <color rgb="FF000000"/>
        <rFont val="맑은 고딕"/>
        <family val="3"/>
        <charset val="129"/>
      </rPr>
      <t>/</t>
    </r>
    <r>
      <rPr>
        <b/>
        <sz val="8.5"/>
        <color rgb="FF000000"/>
        <rFont val="Noto Sans CJK SC"/>
        <family val="2"/>
      </rPr>
      <t>포장</t>
    </r>
  </si>
  <si>
    <r>
      <rPr>
        <sz val="8.5"/>
        <color rgb="FF000000"/>
        <rFont val="맑은 고딕"/>
        <family val="3"/>
        <charset val="129"/>
      </rPr>
      <t xml:space="preserve">5℃ </t>
    </r>
    <r>
      <rPr>
        <sz val="8.5"/>
        <color rgb="FF000000"/>
        <rFont val="Noto Sans CJK SC"/>
        <family val="2"/>
      </rPr>
      <t>미만</t>
    </r>
    <r>
      <rPr>
        <sz val="8.5"/>
        <color rgb="FF000000"/>
        <rFont val="맑은 고딕"/>
        <family val="3"/>
        <charset val="129"/>
      </rPr>
      <t xml:space="preserve">, </t>
    </r>
    <r>
      <rPr>
        <sz val="8.5"/>
        <color rgb="FF000000"/>
        <rFont val="Noto Sans CJK SC"/>
        <family val="2"/>
      </rPr>
      <t>강우</t>
    </r>
    <r>
      <rPr>
        <sz val="8.5"/>
        <color rgb="FF000000"/>
        <rFont val="맑은 고딕"/>
        <family val="3"/>
        <charset val="129"/>
      </rPr>
      <t>·</t>
    </r>
    <r>
      <rPr>
        <sz val="8.5"/>
        <color rgb="FF000000"/>
        <rFont val="Noto Sans CJK SC"/>
        <family val="2"/>
      </rPr>
      <t>강설</t>
    </r>
    <r>
      <rPr>
        <sz val="8.5"/>
        <color rgb="FF000000"/>
        <rFont val="맑은 고딕"/>
        <family val="3"/>
        <charset val="129"/>
      </rPr>
      <t>·</t>
    </r>
    <r>
      <rPr>
        <sz val="8.5"/>
        <color rgb="FF000000"/>
        <rFont val="Noto Sans CJK SC"/>
        <family val="2"/>
      </rPr>
      <t>강풍 시</t>
    </r>
    <r>
      <rPr>
        <sz val="8.5"/>
        <color rgb="FF000000"/>
        <rFont val="맑은 고딕"/>
        <family val="3"/>
        <charset val="129"/>
      </rPr>
      <t>, 43℃↑</t>
    </r>
  </si>
  <si>
    <t>KCS 14 31 40</t>
  </si>
  <si>
    <r>
      <rPr>
        <b/>
        <sz val="8.5"/>
        <color rgb="FF000000"/>
        <rFont val="Noto Sans CJK SC"/>
        <family val="2"/>
      </rPr>
      <t>미세먼지</t>
    </r>
    <r>
      <rPr>
        <b/>
        <sz val="8.5"/>
        <color rgb="FF000000"/>
        <rFont val="맑은 고딕"/>
        <family val="3"/>
        <charset val="129"/>
      </rPr>
      <t>(</t>
    </r>
    <r>
      <rPr>
        <b/>
        <sz val="8.5"/>
        <color rgb="FF000000"/>
        <rFont val="Noto Sans CJK SC"/>
        <family val="2"/>
      </rPr>
      <t>고농도</t>
    </r>
    <r>
      <rPr>
        <b/>
        <sz val="8.5"/>
        <color rgb="FF000000"/>
        <rFont val="맑은 고딕"/>
        <family val="3"/>
        <charset val="129"/>
      </rPr>
      <t>)</t>
    </r>
  </si>
  <si>
    <r>
      <rPr>
        <sz val="8.5"/>
        <color rgb="FF000000"/>
        <rFont val="맑은 고딕"/>
        <family val="3"/>
        <charset val="129"/>
      </rPr>
      <t>PM2.5 '</t>
    </r>
    <r>
      <rPr>
        <sz val="8.5"/>
        <color rgb="FF000000"/>
        <rFont val="Noto Sans CJK SC"/>
        <family val="2"/>
      </rPr>
      <t>나쁨</t>
    </r>
    <r>
      <rPr>
        <sz val="8.5"/>
        <color rgb="FF000000"/>
        <rFont val="맑은 고딕"/>
        <family val="3"/>
        <charset val="129"/>
      </rPr>
      <t>'(</t>
    </r>
    <r>
      <rPr>
        <sz val="8.5"/>
        <color rgb="FF000000"/>
        <rFont val="Noto Sans CJK SC"/>
        <family val="2"/>
      </rPr>
      <t xml:space="preserve">일평균 </t>
    </r>
    <r>
      <rPr>
        <sz val="8.5"/>
        <color rgb="FF000000"/>
        <rFont val="맑은 고딕"/>
        <family val="3"/>
        <charset val="129"/>
      </rPr>
      <t>36</t>
    </r>
    <r>
      <rPr>
        <sz val="8.5"/>
        <color rgb="FF000000"/>
        <rFont val="Noto Sans CJK SC"/>
        <family val="2"/>
      </rPr>
      <t>㎍</t>
    </r>
    <r>
      <rPr>
        <sz val="8.5"/>
        <color rgb="FF000000"/>
        <rFont val="맑은 고딕"/>
        <family val="3"/>
        <charset val="129"/>
      </rPr>
      <t>/</t>
    </r>
    <r>
      <rPr>
        <sz val="8.5"/>
        <color rgb="FF000000"/>
        <rFont val="Noto Sans CJK SC"/>
        <family val="2"/>
      </rPr>
      <t>㎥↑</t>
    </r>
    <r>
      <rPr>
        <sz val="8.5"/>
        <color rgb="FF000000"/>
        <rFont val="맑은 고딕"/>
        <family val="3"/>
        <charset val="129"/>
      </rPr>
      <t>)·</t>
    </r>
    <r>
      <rPr>
        <sz val="8.5"/>
        <color rgb="FF000000"/>
        <rFont val="Noto Sans CJK SC"/>
        <family val="2"/>
      </rPr>
      <t>비상저감조치</t>
    </r>
    <r>
      <rPr>
        <sz val="8.5"/>
        <color rgb="FF000000"/>
        <rFont val="맑은 고딕"/>
        <family val="3"/>
        <charset val="129"/>
      </rPr>
      <t>(50</t>
    </r>
    <r>
      <rPr>
        <sz val="8.5"/>
        <color rgb="FF000000"/>
        <rFont val="Noto Sans CJK SC"/>
        <family val="2"/>
      </rPr>
      <t>㎍</t>
    </r>
    <r>
      <rPr>
        <sz val="8.5"/>
        <color rgb="FF000000"/>
        <rFont val="맑은 고딕"/>
        <family val="3"/>
        <charset val="129"/>
      </rPr>
      <t>/</t>
    </r>
    <r>
      <rPr>
        <sz val="8.5"/>
        <color rgb="FF000000"/>
        <rFont val="Noto Sans CJK SC"/>
        <family val="2"/>
      </rPr>
      <t>㎥↑</t>
    </r>
    <r>
      <rPr>
        <sz val="8.5"/>
        <color rgb="FF000000"/>
        <rFont val="맑은 고딕"/>
        <family val="3"/>
        <charset val="129"/>
      </rPr>
      <t xml:space="preserve">) </t>
    </r>
    <r>
      <rPr>
        <sz val="8.5"/>
        <color rgb="FF000000"/>
        <rFont val="Noto Sans CJK SC"/>
        <family val="2"/>
      </rPr>
      <t>시 옥외작업 조정</t>
    </r>
  </si>
  <si>
    <r>
      <rPr>
        <sz val="8"/>
        <color rgb="FF595959"/>
        <rFont val="Noto Sans CJK SC"/>
        <family val="2"/>
      </rPr>
      <t>대기관리권역법</t>
    </r>
    <r>
      <rPr>
        <sz val="8"/>
        <color rgb="FF595959"/>
        <rFont val="맑은 고딕"/>
        <family val="3"/>
        <charset val="129"/>
      </rPr>
      <t>·</t>
    </r>
    <r>
      <rPr>
        <sz val="8"/>
        <color rgb="FF595959"/>
        <rFont val="Noto Sans CJK SC"/>
        <family val="2"/>
      </rPr>
      <t>지자체 조례</t>
    </r>
  </si>
  <si>
    <r>
      <rPr>
        <b/>
        <sz val="10.5"/>
        <color rgb="FF1F3864"/>
        <rFont val="Noto Sans CJK SC"/>
        <family val="2"/>
      </rPr>
      <t xml:space="preserve">■ 시설유형별 권장 기상조건 </t>
    </r>
    <r>
      <rPr>
        <b/>
        <sz val="10.5"/>
        <color rgb="FF1F3864"/>
        <rFont val="맑은 고딕"/>
        <family val="3"/>
        <charset val="129"/>
      </rPr>
      <t>(</t>
    </r>
    <r>
      <rPr>
        <b/>
        <sz val="10.5"/>
        <color rgb="FF1F3864"/>
        <rFont val="Noto Sans CJK SC"/>
        <family val="2"/>
      </rPr>
      <t>선택방식</t>
    </r>
    <r>
      <rPr>
        <b/>
        <sz val="10.5"/>
        <color rgb="FF1F3864"/>
        <rFont val="맑은 고딕"/>
        <family val="3"/>
        <charset val="129"/>
      </rPr>
      <t>='</t>
    </r>
    <r>
      <rPr>
        <b/>
        <sz val="10.5"/>
        <color rgb="FF1F3864"/>
        <rFont val="Noto Sans CJK SC"/>
        <family val="2"/>
      </rPr>
      <t>자동</t>
    </r>
    <r>
      <rPr>
        <b/>
        <sz val="10.5"/>
        <color rgb="FF1F3864"/>
        <rFont val="맑은 고딕"/>
        <family val="3"/>
        <charset val="129"/>
      </rPr>
      <t xml:space="preserve">' </t>
    </r>
    <r>
      <rPr>
        <b/>
        <sz val="10.5"/>
        <color rgb="FF1F3864"/>
        <rFont val="Noto Sans CJK SC"/>
        <family val="2"/>
      </rPr>
      <t>시 적용</t>
    </r>
    <r>
      <rPr>
        <b/>
        <sz val="10.5"/>
        <color rgb="FF1F3864"/>
        <rFont val="맑은 고딕"/>
        <family val="3"/>
        <charset val="129"/>
      </rPr>
      <t>) — Y=</t>
    </r>
    <r>
      <rPr>
        <b/>
        <sz val="10.5"/>
        <color rgb="FF1F3864"/>
        <rFont val="Noto Sans CJK SC"/>
        <family val="2"/>
      </rPr>
      <t>권장</t>
    </r>
    <r>
      <rPr>
        <b/>
        <sz val="10.5"/>
        <color rgb="FF1F3864"/>
        <rFont val="맑은 고딕"/>
        <family val="3"/>
        <charset val="129"/>
      </rPr>
      <t xml:space="preserve">, </t>
    </r>
    <r>
      <rPr>
        <b/>
        <sz val="10.5"/>
        <color rgb="FF1F3864"/>
        <rFont val="Noto Sans CJK SC"/>
        <family val="2"/>
      </rPr>
      <t>셀 수정가능</t>
    </r>
  </si>
  <si>
    <r>
      <rPr>
        <b/>
        <sz val="8.5"/>
        <color rgb="FFFFFFFF"/>
        <rFont val="Noto Sans CJK SC"/>
        <family val="2"/>
      </rPr>
      <t xml:space="preserve">시설유형 </t>
    </r>
    <r>
      <rPr>
        <b/>
        <sz val="8.5"/>
        <color rgb="FFFFFFFF"/>
        <rFont val="맑은 고딕"/>
        <family val="3"/>
        <charset val="129"/>
      </rPr>
      <t xml:space="preserve">\ </t>
    </r>
    <r>
      <rPr>
        <b/>
        <sz val="8.5"/>
        <color rgb="FFFFFFFF"/>
        <rFont val="Noto Sans CJK SC"/>
        <family val="2"/>
      </rPr>
      <t>기상조건</t>
    </r>
  </si>
  <si>
    <r>
      <rPr>
        <b/>
        <sz val="6.5"/>
        <color rgb="FFFFFFFF"/>
        <rFont val="Noto Sans CJK SC"/>
        <family val="2"/>
      </rPr>
      <t>①체감</t>
    </r>
    <r>
      <rPr>
        <b/>
        <sz val="6.5"/>
        <color rgb="FFFFFFFF"/>
        <rFont val="맑은 고딕"/>
        <family val="3"/>
        <charset val="129"/>
      </rPr>
      <t>33</t>
    </r>
  </si>
  <si>
    <r>
      <rPr>
        <b/>
        <sz val="6.5"/>
        <color rgb="FFFFFFFF"/>
        <rFont val="Noto Sans CJK SC"/>
        <family val="2"/>
      </rPr>
      <t>②체감</t>
    </r>
    <r>
      <rPr>
        <b/>
        <sz val="6.5"/>
        <color rgb="FFFFFFFF"/>
        <rFont val="맑은 고딕"/>
        <family val="3"/>
        <charset val="129"/>
      </rPr>
      <t>35</t>
    </r>
  </si>
  <si>
    <r>
      <rPr>
        <b/>
        <sz val="6.5"/>
        <color rgb="FFFFFFFF"/>
        <rFont val="Noto Sans CJK SC"/>
        <family val="2"/>
      </rPr>
      <t>③최고</t>
    </r>
    <r>
      <rPr>
        <b/>
        <sz val="6.5"/>
        <color rgb="FFFFFFFF"/>
        <rFont val="맑은 고딕"/>
        <family val="3"/>
        <charset val="129"/>
      </rPr>
      <t>33</t>
    </r>
  </si>
  <si>
    <r>
      <rPr>
        <b/>
        <sz val="6.5"/>
        <color rgb="FFFFFFFF"/>
        <rFont val="Noto Sans CJK SC"/>
        <family val="2"/>
      </rPr>
      <t>④최고</t>
    </r>
    <r>
      <rPr>
        <b/>
        <sz val="6.5"/>
        <color rgb="FFFFFFFF"/>
        <rFont val="맑은 고딕"/>
        <family val="3"/>
        <charset val="129"/>
      </rPr>
      <t>35</t>
    </r>
  </si>
  <si>
    <r>
      <rPr>
        <b/>
        <sz val="6.5"/>
        <color rgb="FFFFFFFF"/>
        <rFont val="Noto Sans CJK SC"/>
        <family val="2"/>
      </rPr>
      <t>⑤최고</t>
    </r>
    <r>
      <rPr>
        <b/>
        <sz val="6.5"/>
        <color rgb="FFFFFFFF"/>
        <rFont val="맑은 고딕"/>
        <family val="3"/>
        <charset val="129"/>
      </rPr>
      <t>0</t>
    </r>
  </si>
  <si>
    <r>
      <rPr>
        <b/>
        <sz val="6.5"/>
        <color rgb="FFFFFFFF"/>
        <rFont val="Noto Sans CJK SC"/>
        <family val="2"/>
      </rPr>
      <t>⑥적설</t>
    </r>
    <r>
      <rPr>
        <b/>
        <sz val="6.5"/>
        <color rgb="FFFFFFFF"/>
        <rFont val="맑은 고딕"/>
        <family val="3"/>
        <charset val="129"/>
      </rPr>
      <t>5</t>
    </r>
  </si>
  <si>
    <t>⑦결합</t>
  </si>
  <si>
    <r>
      <rPr>
        <b/>
        <sz val="6.5"/>
        <color rgb="FFFFFFFF"/>
        <rFont val="Noto Sans CJK SC"/>
        <family val="2"/>
      </rPr>
      <t>⑧최저</t>
    </r>
    <r>
      <rPr>
        <b/>
        <sz val="6.5"/>
        <color rgb="FFFFFFFF"/>
        <rFont val="맑은 고딕"/>
        <family val="3"/>
        <charset val="129"/>
      </rPr>
      <t>-12</t>
    </r>
  </si>
  <si>
    <r>
      <rPr>
        <b/>
        <sz val="6.5"/>
        <color rgb="FFFFFFFF"/>
        <rFont val="Noto Sans CJK SC"/>
        <family val="2"/>
      </rPr>
      <t>⑨강우</t>
    </r>
    <r>
      <rPr>
        <b/>
        <sz val="6.5"/>
        <color rgb="FFFFFFFF"/>
        <rFont val="맑은 고딕"/>
        <family val="3"/>
        <charset val="129"/>
      </rPr>
      <t>3</t>
    </r>
  </si>
  <si>
    <r>
      <rPr>
        <b/>
        <sz val="6.5"/>
        <color rgb="FFFFFFFF"/>
        <rFont val="Noto Sans CJK SC"/>
        <family val="2"/>
      </rPr>
      <t>⑩강우</t>
    </r>
    <r>
      <rPr>
        <b/>
        <sz val="6.5"/>
        <color rgb="FFFFFFFF"/>
        <rFont val="맑은 고딕"/>
        <family val="3"/>
        <charset val="129"/>
      </rPr>
      <t>5</t>
    </r>
  </si>
  <si>
    <r>
      <rPr>
        <b/>
        <sz val="6.5"/>
        <color rgb="FFFFFFFF"/>
        <rFont val="Noto Sans CJK SC"/>
        <family val="2"/>
      </rPr>
      <t>⑪강우</t>
    </r>
    <r>
      <rPr>
        <b/>
        <sz val="6.5"/>
        <color rgb="FFFFFFFF"/>
        <rFont val="맑은 고딕"/>
        <family val="3"/>
        <charset val="129"/>
      </rPr>
      <t>10</t>
    </r>
  </si>
  <si>
    <r>
      <rPr>
        <b/>
        <sz val="6.5"/>
        <color rgb="FFFFFFFF"/>
        <rFont val="Noto Sans CJK SC"/>
        <family val="2"/>
      </rPr>
      <t>⑫강우</t>
    </r>
    <r>
      <rPr>
        <b/>
        <sz val="6.5"/>
        <color rgb="FFFFFFFF"/>
        <rFont val="맑은 고딕"/>
        <family val="3"/>
        <charset val="129"/>
      </rPr>
      <t>20</t>
    </r>
  </si>
  <si>
    <r>
      <rPr>
        <b/>
        <sz val="6.5"/>
        <color rgb="FFFFFFFF"/>
        <rFont val="Noto Sans CJK SC"/>
        <family val="2"/>
      </rPr>
      <t>⑬강풍</t>
    </r>
    <r>
      <rPr>
        <b/>
        <sz val="6.5"/>
        <color rgb="FFFFFFFF"/>
        <rFont val="맑은 고딕"/>
        <family val="3"/>
        <charset val="129"/>
      </rPr>
      <t>15</t>
    </r>
  </si>
  <si>
    <t>⑭미세먼지</t>
  </si>
  <si>
    <t>도로포장</t>
  </si>
  <si>
    <t>Y</t>
  </si>
  <si>
    <r>
      <rPr>
        <b/>
        <sz val="8.5"/>
        <color rgb="FF000000"/>
        <rFont val="Noto Sans CJK SC"/>
        <family val="2"/>
      </rPr>
      <t>도로</t>
    </r>
    <r>
      <rPr>
        <b/>
        <sz val="8.5"/>
        <color rgb="FF000000"/>
        <rFont val="맑은 고딕"/>
        <family val="3"/>
        <charset val="129"/>
      </rPr>
      <t>(</t>
    </r>
    <r>
      <rPr>
        <b/>
        <sz val="8.5"/>
        <color rgb="FF000000"/>
        <rFont val="Noto Sans CJK SC"/>
        <family val="2"/>
      </rPr>
      <t>토공</t>
    </r>
    <r>
      <rPr>
        <b/>
        <sz val="8.5"/>
        <color rgb="FF000000"/>
        <rFont val="맑은 고딕"/>
        <family val="3"/>
        <charset val="129"/>
      </rPr>
      <t>+</t>
    </r>
    <r>
      <rPr>
        <b/>
        <sz val="8.5"/>
        <color rgb="FF000000"/>
        <rFont val="Noto Sans CJK SC"/>
        <family val="2"/>
      </rPr>
      <t>교량</t>
    </r>
    <r>
      <rPr>
        <b/>
        <sz val="8.5"/>
        <color rgb="FF000000"/>
        <rFont val="맑은 고딕"/>
        <family val="3"/>
        <charset val="129"/>
      </rPr>
      <t>)</t>
    </r>
  </si>
  <si>
    <t>농업용수</t>
  </si>
  <si>
    <t>상수도</t>
  </si>
  <si>
    <r>
      <rPr>
        <b/>
        <sz val="8.5"/>
        <color rgb="FF000000"/>
        <rFont val="Noto Sans CJK SC"/>
        <family val="2"/>
      </rPr>
      <t>철도</t>
    </r>
    <r>
      <rPr>
        <b/>
        <sz val="8.5"/>
        <color rgb="FF000000"/>
        <rFont val="맑은 고딕"/>
        <family val="3"/>
        <charset val="129"/>
      </rPr>
      <t>(</t>
    </r>
    <r>
      <rPr>
        <b/>
        <sz val="8.5"/>
        <color rgb="FF000000"/>
        <rFont val="Noto Sans CJK SC"/>
        <family val="2"/>
      </rPr>
      <t>궤도</t>
    </r>
    <r>
      <rPr>
        <b/>
        <sz val="8.5"/>
        <color rgb="FF000000"/>
        <rFont val="맑은 고딕"/>
        <family val="3"/>
        <charset val="129"/>
      </rPr>
      <t>)</t>
    </r>
  </si>
  <si>
    <t>학교</t>
  </si>
  <si>
    <t>청사</t>
  </si>
  <si>
    <t>기타건축물</t>
  </si>
  <si>
    <t>기타</t>
  </si>
  <si>
    <r>
      <rPr>
        <i/>
        <sz val="8"/>
        <color rgb="FF595959"/>
        <rFont val="Noto Sans CJK SC"/>
        <family val="2"/>
      </rPr>
      <t>※ 하수도</t>
    </r>
    <r>
      <rPr>
        <i/>
        <sz val="8"/>
        <color rgb="FF595959"/>
        <rFont val="맑은 고딕"/>
        <family val="3"/>
        <charset val="129"/>
      </rPr>
      <t>=</t>
    </r>
    <r>
      <rPr>
        <i/>
        <sz val="8"/>
        <color rgb="FF595959"/>
        <rFont val="Noto Sans CJK SC"/>
        <family val="2"/>
      </rPr>
      <t>하수관로</t>
    </r>
    <r>
      <rPr>
        <i/>
        <sz val="8"/>
        <color rgb="FF595959"/>
        <rFont val="맑은 고딕"/>
        <family val="3"/>
        <charset val="129"/>
      </rPr>
      <t>(</t>
    </r>
    <r>
      <rPr>
        <i/>
        <sz val="8"/>
        <color rgb="FF595959"/>
        <rFont val="Noto Sans CJK SC"/>
        <family val="2"/>
      </rPr>
      <t>토공</t>
    </r>
    <r>
      <rPr>
        <i/>
        <sz val="8"/>
        <color rgb="FF595959"/>
        <rFont val="맑은 고딕"/>
        <family val="3"/>
        <charset val="129"/>
      </rPr>
      <t>·</t>
    </r>
    <r>
      <rPr>
        <i/>
        <sz val="8"/>
        <color rgb="FF595959"/>
        <rFont val="Noto Sans CJK SC"/>
        <family val="2"/>
      </rPr>
      <t>관부설</t>
    </r>
    <r>
      <rPr>
        <i/>
        <sz val="8"/>
        <color rgb="FF595959"/>
        <rFont val="맑은 고딕"/>
        <family val="3"/>
        <charset val="129"/>
      </rPr>
      <t xml:space="preserve">) </t>
    </r>
    <r>
      <rPr>
        <i/>
        <sz val="8"/>
        <color rgb="FF595959"/>
        <rFont val="Noto Sans CJK SC"/>
        <family val="2"/>
      </rPr>
      <t>기준 → 혹서기 폭염</t>
    </r>
    <r>
      <rPr>
        <i/>
        <sz val="8"/>
        <color rgb="FF595959"/>
        <rFont val="맑은 고딕"/>
        <family val="3"/>
        <charset val="129"/>
      </rPr>
      <t>(</t>
    </r>
    <r>
      <rPr>
        <i/>
        <sz val="8"/>
        <color rgb="FF595959"/>
        <rFont val="Noto Sans CJK SC"/>
        <family val="2"/>
      </rPr>
      <t>체감</t>
    </r>
    <r>
      <rPr>
        <i/>
        <sz val="8"/>
        <color rgb="FF595959"/>
        <rFont val="맑은 고딕"/>
        <family val="3"/>
        <charset val="129"/>
      </rPr>
      <t>33)·</t>
    </r>
    <r>
      <rPr>
        <i/>
        <sz val="8"/>
        <color rgb="FF595959"/>
        <rFont val="Noto Sans CJK SC"/>
        <family val="2"/>
      </rPr>
      <t>동절기 결합</t>
    </r>
    <r>
      <rPr>
        <i/>
        <sz val="8"/>
        <color rgb="FF595959"/>
        <rFont val="맑은 고딕"/>
        <family val="3"/>
        <charset val="129"/>
      </rPr>
      <t>·</t>
    </r>
    <r>
      <rPr>
        <i/>
        <sz val="8"/>
        <color rgb="FF595959"/>
        <rFont val="Noto Sans CJK SC"/>
        <family val="2"/>
      </rPr>
      <t>강우</t>
    </r>
    <r>
      <rPr>
        <i/>
        <sz val="8"/>
        <color rgb="FF595959"/>
        <rFont val="맑은 고딕"/>
        <family val="3"/>
        <charset val="129"/>
      </rPr>
      <t>10</t>
    </r>
    <r>
      <rPr>
        <i/>
        <sz val="8"/>
        <color rgb="FF595959"/>
        <rFont val="Noto Sans CJK SC"/>
        <family val="2"/>
      </rPr>
      <t>㎜</t>
    </r>
    <r>
      <rPr>
        <i/>
        <sz val="8"/>
        <color rgb="FF595959"/>
        <rFont val="맑은 고딕"/>
        <family val="3"/>
        <charset val="129"/>
      </rPr>
      <t>·</t>
    </r>
    <r>
      <rPr>
        <i/>
        <sz val="8"/>
        <color rgb="FF595959"/>
        <rFont val="Noto Sans CJK SC"/>
        <family val="2"/>
      </rPr>
      <t>미세먼지 권장</t>
    </r>
    <r>
      <rPr>
        <i/>
        <sz val="8"/>
        <color rgb="FF595959"/>
        <rFont val="맑은 고딕"/>
        <family val="3"/>
        <charset val="129"/>
      </rPr>
      <t xml:space="preserve">. </t>
    </r>
    <r>
      <rPr>
        <i/>
        <sz val="8"/>
        <color rgb="FF595959"/>
        <rFont val="Noto Sans CJK SC"/>
        <family val="2"/>
      </rPr>
      <t>구조물</t>
    </r>
    <r>
      <rPr>
        <i/>
        <sz val="8"/>
        <color rgb="FF595959"/>
        <rFont val="맑은 고딕"/>
        <family val="3"/>
        <charset val="129"/>
      </rPr>
      <t>(</t>
    </r>
    <r>
      <rPr>
        <i/>
        <sz val="8"/>
        <color rgb="FF595959"/>
        <rFont val="Noto Sans CJK SC"/>
        <family val="2"/>
      </rPr>
      <t>학교</t>
    </r>
    <r>
      <rPr>
        <i/>
        <sz val="8"/>
        <color rgb="FF595959"/>
        <rFont val="맑은 고딕"/>
        <family val="3"/>
        <charset val="129"/>
      </rPr>
      <t>·</t>
    </r>
    <r>
      <rPr>
        <i/>
        <sz val="8"/>
        <color rgb="FF595959"/>
        <rFont val="Noto Sans CJK SC"/>
        <family val="2"/>
      </rPr>
      <t>청사 등</t>
    </r>
    <r>
      <rPr>
        <i/>
        <sz val="8"/>
        <color rgb="FF595959"/>
        <rFont val="맑은 고딕"/>
        <family val="3"/>
        <charset val="129"/>
      </rPr>
      <t>)</t>
    </r>
    <r>
      <rPr>
        <i/>
        <sz val="8"/>
        <color rgb="FF595959"/>
        <rFont val="Noto Sans CJK SC"/>
        <family val="2"/>
      </rPr>
      <t>은 강우</t>
    </r>
    <r>
      <rPr>
        <i/>
        <sz val="8"/>
        <color rgb="FF595959"/>
        <rFont val="맑은 고딕"/>
        <family val="3"/>
        <charset val="129"/>
      </rPr>
      <t>5</t>
    </r>
    <r>
      <rPr>
        <i/>
        <sz val="8"/>
        <color rgb="FF595959"/>
        <rFont val="Noto Sans CJK SC"/>
        <family val="2"/>
      </rPr>
      <t>㎜</t>
    </r>
    <r>
      <rPr>
        <i/>
        <sz val="8"/>
        <color rgb="FF595959"/>
        <rFont val="맑은 고딕"/>
        <family val="3"/>
        <charset val="129"/>
      </rPr>
      <t>·</t>
    </r>
    <r>
      <rPr>
        <i/>
        <sz val="8"/>
        <color rgb="FF595959"/>
        <rFont val="Noto Sans CJK SC"/>
        <family val="2"/>
      </rPr>
      <t>강풍 포함</t>
    </r>
    <r>
      <rPr>
        <i/>
        <sz val="8"/>
        <color rgb="FF595959"/>
        <rFont val="맑은 고딕"/>
        <family val="3"/>
        <charset val="129"/>
      </rPr>
      <t xml:space="preserve">. </t>
    </r>
    <r>
      <rPr>
        <i/>
        <sz val="8"/>
        <color rgb="FF595959"/>
        <rFont val="Noto Sans CJK SC"/>
        <family val="2"/>
      </rPr>
      <t xml:space="preserve">셀의 </t>
    </r>
    <r>
      <rPr>
        <i/>
        <sz val="8"/>
        <color rgb="FF595959"/>
        <rFont val="맑은 고딕"/>
        <family val="3"/>
        <charset val="129"/>
      </rPr>
      <t>Y/</t>
    </r>
    <r>
      <rPr>
        <i/>
        <sz val="8"/>
        <color rgb="FF595959"/>
        <rFont val="Noto Sans CJK SC"/>
        <family val="2"/>
      </rPr>
      <t>공백을 수정하면 권장이 바뀝니다</t>
    </r>
    <r>
      <rPr>
        <i/>
        <sz val="8"/>
        <color rgb="FF595959"/>
        <rFont val="맑은 고딕"/>
        <family val="3"/>
        <charset val="129"/>
      </rPr>
      <t>.</t>
    </r>
  </si>
  <si>
    <t>선택</t>
  </si>
  <si>
    <t>구분</t>
  </si>
  <si>
    <t>기상조건</t>
  </si>
  <si>
    <r>
      <rPr>
        <b/>
        <sz val="8.5"/>
        <color rgb="FFFFFFFF"/>
        <rFont val="Noto Sans CJK SC"/>
        <family val="2"/>
      </rPr>
      <t>근거</t>
    </r>
    <r>
      <rPr>
        <b/>
        <sz val="8.5"/>
        <color rgb="FFFFFFFF"/>
        <rFont val="맑은 고딕"/>
        <family val="3"/>
        <charset val="129"/>
      </rPr>
      <t>/</t>
    </r>
    <r>
      <rPr>
        <b/>
        <sz val="8.5"/>
        <color rgb="FFFFFFFF"/>
        <rFont val="Noto Sans CJK SC"/>
        <family val="2"/>
      </rPr>
      <t>기준</t>
    </r>
  </si>
  <si>
    <r>
      <rPr>
        <b/>
        <sz val="8.5"/>
        <color rgb="FFFFFFFF"/>
        <rFont val="맑은 고딕"/>
        <family val="3"/>
        <charset val="129"/>
      </rPr>
      <t>1</t>
    </r>
    <r>
      <rPr>
        <b/>
        <sz val="8.5"/>
        <color rgb="FFFFFFFF"/>
        <rFont val="Noto Sans CJK SC"/>
        <family val="2"/>
      </rPr>
      <t>월</t>
    </r>
  </si>
  <si>
    <r>
      <rPr>
        <b/>
        <sz val="8.5"/>
        <color rgb="FFFFFFFF"/>
        <rFont val="맑은 고딕"/>
        <family val="3"/>
        <charset val="129"/>
      </rPr>
      <t>2</t>
    </r>
    <r>
      <rPr>
        <b/>
        <sz val="8.5"/>
        <color rgb="FFFFFFFF"/>
        <rFont val="Noto Sans CJK SC"/>
        <family val="2"/>
      </rPr>
      <t>월</t>
    </r>
  </si>
  <si>
    <r>
      <rPr>
        <b/>
        <sz val="8.5"/>
        <color rgb="FFFFFFFF"/>
        <rFont val="맑은 고딕"/>
        <family val="3"/>
        <charset val="129"/>
      </rPr>
      <t>3</t>
    </r>
    <r>
      <rPr>
        <b/>
        <sz val="8.5"/>
        <color rgb="FFFFFFFF"/>
        <rFont val="Noto Sans CJK SC"/>
        <family val="2"/>
      </rPr>
      <t>월</t>
    </r>
  </si>
  <si>
    <r>
      <rPr>
        <b/>
        <sz val="8.5"/>
        <color rgb="FFFFFFFF"/>
        <rFont val="맑은 고딕"/>
        <family val="3"/>
        <charset val="129"/>
      </rPr>
      <t>4</t>
    </r>
    <r>
      <rPr>
        <b/>
        <sz val="8.5"/>
        <color rgb="FFFFFFFF"/>
        <rFont val="Noto Sans CJK SC"/>
        <family val="2"/>
      </rPr>
      <t>월</t>
    </r>
  </si>
  <si>
    <r>
      <rPr>
        <b/>
        <sz val="8.5"/>
        <color rgb="FFFFFFFF"/>
        <rFont val="맑은 고딕"/>
        <family val="3"/>
        <charset val="129"/>
      </rPr>
      <t>5</t>
    </r>
    <r>
      <rPr>
        <b/>
        <sz val="8.5"/>
        <color rgb="FFFFFFFF"/>
        <rFont val="Noto Sans CJK SC"/>
        <family val="2"/>
      </rPr>
      <t>월</t>
    </r>
  </si>
  <si>
    <r>
      <rPr>
        <b/>
        <sz val="8.5"/>
        <color rgb="FFFFFFFF"/>
        <rFont val="맑은 고딕"/>
        <family val="3"/>
        <charset val="129"/>
      </rPr>
      <t>6</t>
    </r>
    <r>
      <rPr>
        <b/>
        <sz val="8.5"/>
        <color rgb="FFFFFFFF"/>
        <rFont val="Noto Sans CJK SC"/>
        <family val="2"/>
      </rPr>
      <t>월</t>
    </r>
  </si>
  <si>
    <r>
      <rPr>
        <b/>
        <sz val="8.5"/>
        <color rgb="FFFFFFFF"/>
        <rFont val="맑은 고딕"/>
        <family val="3"/>
        <charset val="129"/>
      </rPr>
      <t>7</t>
    </r>
    <r>
      <rPr>
        <b/>
        <sz val="8.5"/>
        <color rgb="FFFFFFFF"/>
        <rFont val="Noto Sans CJK SC"/>
        <family val="2"/>
      </rPr>
      <t>월</t>
    </r>
  </si>
  <si>
    <r>
      <rPr>
        <b/>
        <sz val="8.5"/>
        <color rgb="FFFFFFFF"/>
        <rFont val="맑은 고딕"/>
        <family val="3"/>
        <charset val="129"/>
      </rPr>
      <t>8</t>
    </r>
    <r>
      <rPr>
        <b/>
        <sz val="8.5"/>
        <color rgb="FFFFFFFF"/>
        <rFont val="Noto Sans CJK SC"/>
        <family val="2"/>
      </rPr>
      <t>월</t>
    </r>
  </si>
  <si>
    <r>
      <rPr>
        <b/>
        <sz val="8.5"/>
        <color rgb="FFFFFFFF"/>
        <rFont val="맑은 고딕"/>
        <family val="3"/>
        <charset val="129"/>
      </rPr>
      <t>9</t>
    </r>
    <r>
      <rPr>
        <b/>
        <sz val="8.5"/>
        <color rgb="FFFFFFFF"/>
        <rFont val="Noto Sans CJK SC"/>
        <family val="2"/>
      </rPr>
      <t>월</t>
    </r>
  </si>
  <si>
    <r>
      <rPr>
        <b/>
        <sz val="8.5"/>
        <color rgb="FFFFFFFF"/>
        <rFont val="맑은 고딕"/>
        <family val="3"/>
        <charset val="129"/>
      </rPr>
      <t>10</t>
    </r>
    <r>
      <rPr>
        <b/>
        <sz val="8.5"/>
        <color rgb="FFFFFFFF"/>
        <rFont val="Noto Sans CJK SC"/>
        <family val="2"/>
      </rPr>
      <t>월</t>
    </r>
  </si>
  <si>
    <r>
      <rPr>
        <b/>
        <sz val="8.5"/>
        <color rgb="FFFFFFFF"/>
        <rFont val="맑은 고딕"/>
        <family val="3"/>
        <charset val="129"/>
      </rPr>
      <t>11</t>
    </r>
    <r>
      <rPr>
        <b/>
        <sz val="8.5"/>
        <color rgb="FFFFFFFF"/>
        <rFont val="Noto Sans CJK SC"/>
        <family val="2"/>
      </rPr>
      <t>월</t>
    </r>
  </si>
  <si>
    <r>
      <rPr>
        <b/>
        <sz val="8.5"/>
        <color rgb="FFFFFFFF"/>
        <rFont val="맑은 고딕"/>
        <family val="3"/>
        <charset val="129"/>
      </rPr>
      <t>12</t>
    </r>
    <r>
      <rPr>
        <b/>
        <sz val="8.5"/>
        <color rgb="FFFFFFFF"/>
        <rFont val="Noto Sans CJK SC"/>
        <family val="2"/>
      </rPr>
      <t>월</t>
    </r>
  </si>
  <si>
    <t>소계</t>
  </si>
  <si>
    <t>수동선택</t>
  </si>
  <si>
    <t>권장</t>
  </si>
  <si>
    <t>혹서기</t>
  </si>
  <si>
    <r>
      <rPr>
        <sz val="8.5"/>
        <color rgb="FF000000"/>
        <rFont val="Noto Sans CJK SC"/>
        <family val="2"/>
      </rPr>
      <t xml:space="preserve">체감온도 </t>
    </r>
    <r>
      <rPr>
        <sz val="8.5"/>
        <color rgb="FF000000"/>
        <rFont val="맑은 고딕"/>
        <family val="3"/>
        <charset val="129"/>
      </rPr>
      <t xml:space="preserve">33℃ </t>
    </r>
    <r>
      <rPr>
        <sz val="8.5"/>
        <color rgb="FF000000"/>
        <rFont val="Noto Sans CJK SC"/>
        <family val="2"/>
      </rPr>
      <t>이상</t>
    </r>
  </si>
  <si>
    <r>
      <rPr>
        <sz val="8"/>
        <color rgb="FF595959"/>
        <rFont val="Noto Sans CJK SC"/>
        <family val="2"/>
      </rPr>
      <t>서중콘크리트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 xml:space="preserve">폭염 </t>
    </r>
    <r>
      <rPr>
        <sz val="8"/>
        <color rgb="FF595959"/>
        <rFont val="맑은 고딕"/>
        <family val="3"/>
        <charset val="129"/>
      </rPr>
      <t>KCS 14 20 41</t>
    </r>
  </si>
  <si>
    <r>
      <rPr>
        <sz val="8.5"/>
        <color rgb="FF000000"/>
        <rFont val="Noto Sans CJK SC"/>
        <family val="2"/>
      </rPr>
      <t xml:space="preserve">체감온도 </t>
    </r>
    <r>
      <rPr>
        <sz val="8.5"/>
        <color rgb="FF000000"/>
        <rFont val="맑은 고딕"/>
        <family val="3"/>
        <charset val="129"/>
      </rPr>
      <t xml:space="preserve">35℃ </t>
    </r>
    <r>
      <rPr>
        <sz val="8.5"/>
        <color rgb="FF000000"/>
        <rFont val="Noto Sans CJK SC"/>
        <family val="2"/>
      </rPr>
      <t>이상</t>
    </r>
  </si>
  <si>
    <t>폭염경보 기준</t>
  </si>
  <si>
    <r>
      <rPr>
        <sz val="8.5"/>
        <color rgb="FF000000"/>
        <rFont val="Noto Sans CJK SC"/>
        <family val="2"/>
      </rPr>
      <t xml:space="preserve">일최고온도 </t>
    </r>
    <r>
      <rPr>
        <sz val="8.5"/>
        <color rgb="FF000000"/>
        <rFont val="맑은 고딕"/>
        <family val="3"/>
        <charset val="129"/>
      </rPr>
      <t xml:space="preserve">33℃ </t>
    </r>
    <r>
      <rPr>
        <sz val="8.5"/>
        <color rgb="FF000000"/>
        <rFont val="Noto Sans CJK SC"/>
        <family val="2"/>
      </rPr>
      <t>이상</t>
    </r>
  </si>
  <si>
    <t>서중콘크리트 참고</t>
  </si>
  <si>
    <r>
      <rPr>
        <sz val="8.5"/>
        <color rgb="FF000000"/>
        <rFont val="Noto Sans CJK SC"/>
        <family val="2"/>
      </rPr>
      <t xml:space="preserve">일최고온도 </t>
    </r>
    <r>
      <rPr>
        <sz val="8.5"/>
        <color rgb="FF000000"/>
        <rFont val="맑은 고딕"/>
        <family val="3"/>
        <charset val="129"/>
      </rPr>
      <t xml:space="preserve">35℃ </t>
    </r>
    <r>
      <rPr>
        <sz val="8.5"/>
        <color rgb="FF000000"/>
        <rFont val="Noto Sans CJK SC"/>
        <family val="2"/>
      </rPr>
      <t>이상</t>
    </r>
  </si>
  <si>
    <t>폭염특보</t>
  </si>
  <si>
    <t>동절기</t>
  </si>
  <si>
    <r>
      <rPr>
        <sz val="8.5"/>
        <color rgb="FF000000"/>
        <rFont val="Noto Sans CJK SC"/>
        <family val="2"/>
      </rPr>
      <t xml:space="preserve">일최고기온 </t>
    </r>
    <r>
      <rPr>
        <sz val="8.5"/>
        <color rgb="FF000000"/>
        <rFont val="맑은 고딕"/>
        <family val="3"/>
        <charset val="129"/>
      </rPr>
      <t xml:space="preserve">0℃ </t>
    </r>
    <r>
      <rPr>
        <sz val="8.5"/>
        <color rgb="FF000000"/>
        <rFont val="Noto Sans CJK SC"/>
        <family val="2"/>
      </rPr>
      <t>이하</t>
    </r>
  </si>
  <si>
    <r>
      <rPr>
        <sz val="8"/>
        <color rgb="FF595959"/>
        <rFont val="Noto Sans CJK SC"/>
        <family val="2"/>
      </rPr>
      <t xml:space="preserve">한중콘크리트 </t>
    </r>
    <r>
      <rPr>
        <sz val="8"/>
        <color rgb="FF595959"/>
        <rFont val="맑은 고딕"/>
        <family val="3"/>
        <charset val="129"/>
      </rPr>
      <t>KCS 14 20 40</t>
    </r>
  </si>
  <si>
    <r>
      <rPr>
        <sz val="8.5"/>
        <color rgb="FF000000"/>
        <rFont val="Noto Sans CJK SC"/>
        <family val="2"/>
      </rPr>
      <t xml:space="preserve">일최심신적설 </t>
    </r>
    <r>
      <rPr>
        <sz val="8.5"/>
        <color rgb="FF000000"/>
        <rFont val="맑은 고딕"/>
        <family val="3"/>
        <charset val="129"/>
      </rPr>
      <t>5</t>
    </r>
    <r>
      <rPr>
        <sz val="8.5"/>
        <color rgb="FF000000"/>
        <rFont val="Noto Sans CJK SC"/>
        <family val="2"/>
      </rPr>
      <t>㎝ 이상</t>
    </r>
  </si>
  <si>
    <t>강설 작업제한</t>
  </si>
  <si>
    <r>
      <rPr>
        <sz val="8.5"/>
        <color rgb="FF000000"/>
        <rFont val="Noto Sans CJK SC"/>
        <family val="2"/>
      </rPr>
      <t xml:space="preserve">일최고 </t>
    </r>
    <r>
      <rPr>
        <sz val="8.5"/>
        <color rgb="FF000000"/>
        <rFont val="맑은 고딕"/>
        <family val="3"/>
        <charset val="129"/>
      </rPr>
      <t xml:space="preserve">0℃↓ </t>
    </r>
    <r>
      <rPr>
        <sz val="8.5"/>
        <color rgb="FF000000"/>
        <rFont val="Noto Sans CJK SC"/>
        <family val="2"/>
      </rPr>
      <t xml:space="preserve">또는 적설 </t>
    </r>
    <r>
      <rPr>
        <sz val="8.5"/>
        <color rgb="FF000000"/>
        <rFont val="맑은 고딕"/>
        <family val="3"/>
        <charset val="129"/>
      </rPr>
      <t>5</t>
    </r>
    <r>
      <rPr>
        <sz val="8.5"/>
        <color rgb="FF000000"/>
        <rFont val="Noto Sans CJK SC"/>
        <family val="2"/>
      </rPr>
      <t>㎝↑</t>
    </r>
    <r>
      <rPr>
        <sz val="8.5"/>
        <color rgb="FF000000"/>
        <rFont val="맑은 고딕"/>
        <family val="3"/>
        <charset val="129"/>
      </rPr>
      <t>(</t>
    </r>
    <r>
      <rPr>
        <sz val="8.5"/>
        <color rgb="FF000000"/>
        <rFont val="Noto Sans CJK SC"/>
        <family val="2"/>
      </rPr>
      <t>결합</t>
    </r>
    <r>
      <rPr>
        <sz val="8.5"/>
        <color rgb="FF000000"/>
        <rFont val="맑은 고딕"/>
        <family val="3"/>
        <charset val="129"/>
      </rPr>
      <t>)</t>
    </r>
  </si>
  <si>
    <r>
      <rPr>
        <sz val="8"/>
        <color rgb="FF595959"/>
        <rFont val="Noto Sans CJK SC"/>
        <family val="2"/>
      </rPr>
      <t>한중</t>
    </r>
    <r>
      <rPr>
        <sz val="8"/>
        <color rgb="FF595959"/>
        <rFont val="맑은 고딕"/>
        <family val="3"/>
        <charset val="129"/>
      </rPr>
      <t>+</t>
    </r>
    <r>
      <rPr>
        <sz val="8"/>
        <color rgb="FF595959"/>
        <rFont val="Noto Sans CJK SC"/>
        <family val="2"/>
      </rPr>
      <t>강설</t>
    </r>
    <r>
      <rPr>
        <sz val="8"/>
        <color rgb="FF595959"/>
        <rFont val="맑은 고딕"/>
        <family val="3"/>
        <charset val="129"/>
      </rPr>
      <t>(</t>
    </r>
    <r>
      <rPr>
        <sz val="8"/>
        <color rgb="FF595959"/>
        <rFont val="Noto Sans CJK SC"/>
        <family val="2"/>
      </rPr>
      <t>중복제거</t>
    </r>
    <r>
      <rPr>
        <sz val="8"/>
        <color rgb="FF595959"/>
        <rFont val="맑은 고딕"/>
        <family val="3"/>
        <charset val="129"/>
      </rPr>
      <t>)</t>
    </r>
  </si>
  <si>
    <r>
      <rPr>
        <sz val="8.5"/>
        <color rgb="FF000000"/>
        <rFont val="Noto Sans CJK SC"/>
        <family val="2"/>
      </rPr>
      <t xml:space="preserve">일최저기온 </t>
    </r>
    <r>
      <rPr>
        <sz val="8.5"/>
        <color rgb="FF000000"/>
        <rFont val="맑은 고딕"/>
        <family val="3"/>
        <charset val="129"/>
      </rPr>
      <t xml:space="preserve">-12℃ </t>
    </r>
    <r>
      <rPr>
        <sz val="8.5"/>
        <color rgb="FF000000"/>
        <rFont val="Noto Sans CJK SC"/>
        <family val="2"/>
      </rPr>
      <t>이하</t>
    </r>
  </si>
  <si>
    <t>혹한 작업중지</t>
  </si>
  <si>
    <t>강우</t>
  </si>
  <si>
    <r>
      <rPr>
        <sz val="8.5"/>
        <color rgb="FF000000"/>
        <rFont val="Noto Sans CJK SC"/>
        <family val="2"/>
      </rPr>
      <t xml:space="preserve">일강수량 </t>
    </r>
    <r>
      <rPr>
        <sz val="8.5"/>
        <color rgb="FF000000"/>
        <rFont val="맑은 고딕"/>
        <family val="3"/>
        <charset val="129"/>
      </rPr>
      <t>3</t>
    </r>
    <r>
      <rPr>
        <sz val="8.5"/>
        <color rgb="FF000000"/>
        <rFont val="Noto Sans CJK SC"/>
        <family val="2"/>
      </rPr>
      <t>㎜ 이상</t>
    </r>
  </si>
  <si>
    <r>
      <rPr>
        <sz val="8"/>
        <color rgb="FF595959"/>
        <rFont val="Noto Sans CJK SC"/>
        <family val="2"/>
      </rPr>
      <t>강우 타설금지</t>
    </r>
    <r>
      <rPr>
        <sz val="8"/>
        <color rgb="FF595959"/>
        <rFont val="맑은 고딕"/>
        <family val="3"/>
        <charset val="129"/>
      </rPr>
      <t>(</t>
    </r>
    <r>
      <rPr>
        <sz val="8"/>
        <color rgb="FF595959"/>
        <rFont val="Noto Sans CJK SC"/>
        <family val="2"/>
      </rPr>
      <t>보수적</t>
    </r>
    <r>
      <rPr>
        <sz val="8"/>
        <color rgb="FF595959"/>
        <rFont val="맑은 고딕"/>
        <family val="3"/>
        <charset val="129"/>
      </rPr>
      <t>)</t>
    </r>
  </si>
  <si>
    <r>
      <rPr>
        <sz val="8.5"/>
        <color rgb="FF000000"/>
        <rFont val="Noto Sans CJK SC"/>
        <family val="2"/>
      </rPr>
      <t xml:space="preserve">일강수량 </t>
    </r>
    <r>
      <rPr>
        <sz val="8.5"/>
        <color rgb="FF000000"/>
        <rFont val="맑은 고딕"/>
        <family val="3"/>
        <charset val="129"/>
      </rPr>
      <t>5</t>
    </r>
    <r>
      <rPr>
        <sz val="8.5"/>
        <color rgb="FF000000"/>
        <rFont val="Noto Sans CJK SC"/>
        <family val="2"/>
      </rPr>
      <t>㎜ 이상</t>
    </r>
  </si>
  <si>
    <r>
      <rPr>
        <sz val="8"/>
        <color rgb="FF595959"/>
        <rFont val="Noto Sans CJK SC"/>
        <family val="2"/>
      </rPr>
      <t>강우 타설금지</t>
    </r>
    <r>
      <rPr>
        <sz val="8"/>
        <color rgb="FF595959"/>
        <rFont val="맑은 고딕"/>
        <family val="3"/>
        <charset val="129"/>
      </rPr>
      <t>(</t>
    </r>
    <r>
      <rPr>
        <sz val="8"/>
        <color rgb="FF595959"/>
        <rFont val="Noto Sans CJK SC"/>
        <family val="2"/>
      </rPr>
      <t>표준</t>
    </r>
    <r>
      <rPr>
        <sz val="8"/>
        <color rgb="FF595959"/>
        <rFont val="맑은 고딕"/>
        <family val="3"/>
        <charset val="129"/>
      </rPr>
      <t>)</t>
    </r>
  </si>
  <si>
    <r>
      <rPr>
        <sz val="8.5"/>
        <color rgb="FF000000"/>
        <rFont val="Noto Sans CJK SC"/>
        <family val="2"/>
      </rPr>
      <t xml:space="preserve">일강수량 </t>
    </r>
    <r>
      <rPr>
        <sz val="8.5"/>
        <color rgb="FF000000"/>
        <rFont val="맑은 고딕"/>
        <family val="3"/>
        <charset val="129"/>
      </rPr>
      <t>10</t>
    </r>
    <r>
      <rPr>
        <sz val="8.5"/>
        <color rgb="FF000000"/>
        <rFont val="Noto Sans CJK SC"/>
        <family val="2"/>
      </rPr>
      <t>㎜ 이상</t>
    </r>
  </si>
  <si>
    <r>
      <rPr>
        <sz val="8"/>
        <color rgb="FF595959"/>
        <rFont val="Noto Sans CJK SC"/>
        <family val="2"/>
      </rPr>
      <t>토공</t>
    </r>
    <r>
      <rPr>
        <sz val="8"/>
        <color rgb="FF595959"/>
        <rFont val="맑은 고딕"/>
        <family val="3"/>
        <charset val="129"/>
      </rPr>
      <t>·</t>
    </r>
    <r>
      <rPr>
        <sz val="8"/>
        <color rgb="FF595959"/>
        <rFont val="Noto Sans CJK SC"/>
        <family val="2"/>
      </rPr>
      <t>관로 강우제한</t>
    </r>
  </si>
  <si>
    <r>
      <rPr>
        <sz val="8.5"/>
        <color rgb="FF000000"/>
        <rFont val="Noto Sans CJK SC"/>
        <family val="2"/>
      </rPr>
      <t xml:space="preserve">일강수량 </t>
    </r>
    <r>
      <rPr>
        <sz val="8.5"/>
        <color rgb="FF000000"/>
        <rFont val="맑은 고딕"/>
        <family val="3"/>
        <charset val="129"/>
      </rPr>
      <t>20</t>
    </r>
    <r>
      <rPr>
        <sz val="8.5"/>
        <color rgb="FF000000"/>
        <rFont val="Noto Sans CJK SC"/>
        <family val="2"/>
      </rPr>
      <t>㎜ 이상</t>
    </r>
  </si>
  <si>
    <t>집중호우 제한</t>
  </si>
  <si>
    <t>강풍</t>
  </si>
  <si>
    <r>
      <rPr>
        <sz val="8.5"/>
        <color rgb="FF000000"/>
        <rFont val="Noto Sans CJK SC"/>
        <family val="2"/>
      </rPr>
      <t xml:space="preserve">일최대순간풍속 </t>
    </r>
    <r>
      <rPr>
        <sz val="8.5"/>
        <color rgb="FF000000"/>
        <rFont val="맑은 고딕"/>
        <family val="3"/>
        <charset val="129"/>
      </rPr>
      <t xml:space="preserve">15m/s </t>
    </r>
    <r>
      <rPr>
        <sz val="8.5"/>
        <color rgb="FF000000"/>
        <rFont val="Noto Sans CJK SC"/>
        <family val="2"/>
      </rPr>
      <t>이상</t>
    </r>
  </si>
  <si>
    <r>
      <rPr>
        <sz val="8"/>
        <color rgb="FF595959"/>
        <rFont val="Noto Sans CJK SC"/>
        <family val="2"/>
      </rPr>
      <t>양중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 xml:space="preserve">타워크레인 </t>
    </r>
    <r>
      <rPr>
        <sz val="8"/>
        <color rgb="FF595959"/>
        <rFont val="맑은 고딕"/>
        <family val="3"/>
        <charset val="129"/>
      </rPr>
      <t>KCS 21 20 10</t>
    </r>
  </si>
  <si>
    <t>미세먼지</t>
  </si>
  <si>
    <r>
      <rPr>
        <sz val="8.5"/>
        <color rgb="FF000000"/>
        <rFont val="맑은 고딕"/>
        <family val="3"/>
        <charset val="129"/>
      </rPr>
      <t>PM2.5 '</t>
    </r>
    <r>
      <rPr>
        <sz val="8.5"/>
        <color rgb="FF000000"/>
        <rFont val="Noto Sans CJK SC"/>
        <family val="2"/>
      </rPr>
      <t>나쁨</t>
    </r>
    <r>
      <rPr>
        <sz val="8.5"/>
        <color rgb="FF000000"/>
        <rFont val="맑은 고딕"/>
        <family val="3"/>
        <charset val="129"/>
      </rPr>
      <t>' 36</t>
    </r>
    <r>
      <rPr>
        <sz val="8.5"/>
        <color rgb="FF000000"/>
        <rFont val="Noto Sans CJK SC"/>
        <family val="2"/>
      </rPr>
      <t>㎍</t>
    </r>
    <r>
      <rPr>
        <sz val="8.5"/>
        <color rgb="FF000000"/>
        <rFont val="맑은 고딕"/>
        <family val="3"/>
        <charset val="129"/>
      </rPr>
      <t>/</t>
    </r>
    <r>
      <rPr>
        <sz val="8.5"/>
        <color rgb="FF000000"/>
        <rFont val="Noto Sans CJK SC"/>
        <family val="2"/>
      </rPr>
      <t xml:space="preserve">㎥↑ </t>
    </r>
    <r>
      <rPr>
        <sz val="8.5"/>
        <color rgb="FF000000"/>
        <rFont val="맑은 고딕"/>
        <family val="3"/>
        <charset val="129"/>
      </rPr>
      <t>(</t>
    </r>
    <r>
      <rPr>
        <sz val="8.5"/>
        <color rgb="FF000000"/>
        <rFont val="Noto Sans CJK SC"/>
        <family val="2"/>
      </rPr>
      <t>고농도</t>
    </r>
    <r>
      <rPr>
        <sz val="8.5"/>
        <color rgb="FF000000"/>
        <rFont val="맑은 고딕"/>
        <family val="3"/>
        <charset val="129"/>
      </rPr>
      <t>)</t>
    </r>
  </si>
  <si>
    <r>
      <rPr>
        <b/>
        <sz val="9"/>
        <color rgb="FFFFFFFF"/>
        <rFont val="Noto Sans CJK SC"/>
        <family val="2"/>
      </rPr>
      <t xml:space="preserve">▶ 월별 기후비작업일수 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선택조건 합계 → ②에 자동연동</t>
    </r>
    <r>
      <rPr>
        <b/>
        <sz val="9"/>
        <color rgb="FFFFFFFF"/>
        <rFont val="맑은 고딕"/>
        <family val="3"/>
        <charset val="129"/>
      </rPr>
      <t>)</t>
    </r>
  </si>
  <si>
    <r>
      <rPr>
        <i/>
        <sz val="8"/>
        <color rgb="FF595959"/>
        <rFont val="Noto Sans CJK SC"/>
        <family val="2"/>
      </rPr>
      <t xml:space="preserve">※ 선택방식 </t>
    </r>
    <r>
      <rPr>
        <i/>
        <sz val="8"/>
        <color rgb="FF595959"/>
        <rFont val="맑은 고딕"/>
        <family val="3"/>
        <charset val="129"/>
      </rPr>
      <t>'</t>
    </r>
    <r>
      <rPr>
        <i/>
        <sz val="8"/>
        <color rgb="FF595959"/>
        <rFont val="Noto Sans CJK SC"/>
        <family val="2"/>
      </rPr>
      <t>자동</t>
    </r>
    <r>
      <rPr>
        <i/>
        <sz val="8"/>
        <color rgb="FF595959"/>
        <rFont val="맑은 고딕"/>
        <family val="3"/>
        <charset val="129"/>
      </rPr>
      <t xml:space="preserve">': </t>
    </r>
    <r>
      <rPr>
        <i/>
        <sz val="8"/>
        <color rgb="FF595959"/>
        <rFont val="Noto Sans CJK SC"/>
        <family val="2"/>
      </rPr>
      <t xml:space="preserve">위 </t>
    </r>
    <r>
      <rPr>
        <i/>
        <sz val="8"/>
        <color rgb="FF595959"/>
        <rFont val="맑은 고딕"/>
        <family val="3"/>
        <charset val="129"/>
      </rPr>
      <t>[</t>
    </r>
    <r>
      <rPr>
        <i/>
        <sz val="8"/>
        <color rgb="FF595959"/>
        <rFont val="Noto Sans CJK SC"/>
        <family val="2"/>
      </rPr>
      <t>시설유형별 권장 매트릭스</t>
    </r>
    <r>
      <rPr>
        <i/>
        <sz val="8"/>
        <color rgb="FF595959"/>
        <rFont val="맑은 고딕"/>
        <family val="3"/>
        <charset val="129"/>
      </rPr>
      <t>]</t>
    </r>
    <r>
      <rPr>
        <i/>
        <sz val="8"/>
        <color rgb="FF595959"/>
        <rFont val="Noto Sans CJK SC"/>
        <family val="2"/>
      </rPr>
      <t>에서 현재 시설유형</t>
    </r>
    <r>
      <rPr>
        <i/>
        <sz val="8"/>
        <color rgb="FF595959"/>
        <rFont val="맑은 고딕"/>
        <family val="3"/>
        <charset val="129"/>
      </rPr>
      <t>(①</t>
    </r>
    <r>
      <rPr>
        <i/>
        <sz val="8"/>
        <color rgb="FF595959"/>
        <rFont val="Noto Sans CJK SC"/>
        <family val="2"/>
      </rPr>
      <t>공사개요</t>
    </r>
    <r>
      <rPr>
        <i/>
        <sz val="8"/>
        <color rgb="FF595959"/>
        <rFont val="맑은 고딕"/>
        <family val="3"/>
        <charset val="129"/>
      </rPr>
      <t xml:space="preserve">) </t>
    </r>
    <r>
      <rPr>
        <i/>
        <sz val="8"/>
        <color rgb="FF595959"/>
        <rFont val="Noto Sans CJK SC"/>
        <family val="2"/>
      </rPr>
      <t xml:space="preserve">행의 </t>
    </r>
    <r>
      <rPr>
        <i/>
        <sz val="8"/>
        <color rgb="FF595959"/>
        <rFont val="맑은 고딕"/>
        <family val="3"/>
        <charset val="129"/>
      </rPr>
      <t>Y</t>
    </r>
    <r>
      <rPr>
        <i/>
        <sz val="8"/>
        <color rgb="FF595959"/>
        <rFont val="Noto Sans CJK SC"/>
        <family val="2"/>
      </rPr>
      <t xml:space="preserve">가 </t>
    </r>
    <r>
      <rPr>
        <i/>
        <sz val="8"/>
        <color rgb="FF595959"/>
        <rFont val="맑은 고딕"/>
        <family val="3"/>
        <charset val="129"/>
      </rPr>
      <t>'</t>
    </r>
    <r>
      <rPr>
        <i/>
        <sz val="8"/>
        <color rgb="FF595959"/>
        <rFont val="Noto Sans CJK SC"/>
        <family val="2"/>
      </rPr>
      <t>선택</t>
    </r>
    <r>
      <rPr>
        <i/>
        <sz val="8"/>
        <color rgb="FF595959"/>
        <rFont val="맑은 고딕"/>
        <family val="3"/>
        <charset val="129"/>
      </rPr>
      <t>'</t>
    </r>
    <r>
      <rPr>
        <i/>
        <sz val="8"/>
        <color rgb="FF595959"/>
        <rFont val="Noto Sans CJK SC"/>
        <family val="2"/>
      </rPr>
      <t>에 자동 반영</t>
    </r>
    <r>
      <rPr>
        <i/>
        <sz val="8"/>
        <color rgb="FF595959"/>
        <rFont val="맑은 고딕"/>
        <family val="3"/>
        <charset val="129"/>
      </rPr>
      <t>. '</t>
    </r>
    <r>
      <rPr>
        <i/>
        <sz val="8"/>
        <color rgb="FF595959"/>
        <rFont val="Noto Sans CJK SC"/>
        <family val="2"/>
      </rPr>
      <t>수동</t>
    </r>
    <r>
      <rPr>
        <i/>
        <sz val="8"/>
        <color rgb="FF595959"/>
        <rFont val="맑은 고딕"/>
        <family val="3"/>
        <charset val="129"/>
      </rPr>
      <t>': '</t>
    </r>
    <r>
      <rPr>
        <i/>
        <sz val="8"/>
        <color rgb="FF595959"/>
        <rFont val="Noto Sans CJK SC"/>
        <family val="2"/>
      </rPr>
      <t>수동선택</t>
    </r>
    <r>
      <rPr>
        <i/>
        <sz val="8"/>
        <color rgb="FF595959"/>
        <rFont val="맑은 고딕"/>
        <family val="3"/>
        <charset val="129"/>
      </rPr>
      <t xml:space="preserve">(Y)' </t>
    </r>
    <r>
      <rPr>
        <i/>
        <sz val="8"/>
        <color rgb="FF595959"/>
        <rFont val="Noto Sans CJK SC"/>
        <family val="2"/>
      </rPr>
      <t>칸 값 사용</t>
    </r>
    <r>
      <rPr>
        <i/>
        <sz val="8"/>
        <color rgb="FF595959"/>
        <rFont val="맑은 고딕"/>
        <family val="3"/>
        <charset val="129"/>
      </rPr>
      <t>.</t>
    </r>
  </si>
  <si>
    <r>
      <rPr>
        <i/>
        <sz val="8"/>
        <color rgb="FF595959"/>
        <rFont val="맑은 고딕"/>
        <family val="3"/>
        <charset val="129"/>
      </rPr>
      <t>※ 13</t>
    </r>
    <r>
      <rPr>
        <i/>
        <sz val="8"/>
        <color rgb="FF595959"/>
        <rFont val="Noto Sans CJK SC"/>
        <family val="2"/>
      </rPr>
      <t>개 기상조건 값은 선택한 관측지점의 부록</t>
    </r>
    <r>
      <rPr>
        <i/>
        <sz val="8"/>
        <color rgb="FF595959"/>
        <rFont val="맑은 고딕"/>
        <family val="3"/>
        <charset val="129"/>
      </rPr>
      <t xml:space="preserve">3(2015–2024) </t>
    </r>
    <r>
      <rPr>
        <i/>
        <sz val="8"/>
        <color rgb="FF595959"/>
        <rFont val="Noto Sans CJK SC"/>
        <family val="2"/>
      </rPr>
      <t>통계가 자동 조회됩니다</t>
    </r>
    <r>
      <rPr>
        <i/>
        <sz val="8"/>
        <color rgb="FF595959"/>
        <rFont val="맑은 고딕"/>
        <family val="3"/>
        <charset val="129"/>
      </rPr>
      <t>(</t>
    </r>
    <r>
      <rPr>
        <i/>
        <sz val="8"/>
        <color rgb="FF595959"/>
        <rFont val="Noto Sans CJK SC"/>
        <family val="2"/>
      </rPr>
      <t>회색 셀</t>
    </r>
    <r>
      <rPr>
        <i/>
        <sz val="8"/>
        <color rgb="FF595959"/>
        <rFont val="맑은 고딕"/>
        <family val="3"/>
        <charset val="129"/>
      </rPr>
      <t xml:space="preserve">). </t>
    </r>
    <r>
      <rPr>
        <i/>
        <sz val="8"/>
        <color rgb="FF595959"/>
        <rFont val="Noto Sans CJK SC"/>
        <family val="2"/>
      </rPr>
      <t>통계 수치 변경</t>
    </r>
    <r>
      <rPr>
        <i/>
        <sz val="8"/>
        <color rgb="FF595959"/>
        <rFont val="맑은 고딕"/>
        <family val="3"/>
        <charset val="129"/>
      </rPr>
      <t>·</t>
    </r>
    <r>
      <rPr>
        <i/>
        <sz val="8"/>
        <color rgb="FF595959"/>
        <rFont val="Noto Sans CJK SC"/>
        <family val="2"/>
      </rPr>
      <t xml:space="preserve">지점 추가는 </t>
    </r>
    <r>
      <rPr>
        <i/>
        <sz val="8"/>
        <color rgb="FF595959"/>
        <rFont val="맑은 고딕"/>
        <family val="3"/>
        <charset val="129"/>
      </rPr>
      <t>[</t>
    </r>
    <r>
      <rPr>
        <i/>
        <sz val="8"/>
        <color rgb="FF595959"/>
        <rFont val="Noto Sans CJK SC"/>
        <family val="2"/>
      </rPr>
      <t>부록</t>
    </r>
    <r>
      <rPr>
        <i/>
        <sz val="8"/>
        <color rgb="FF595959"/>
        <rFont val="맑은 고딕"/>
        <family val="3"/>
        <charset val="129"/>
      </rPr>
      <t xml:space="preserve">3DB] </t>
    </r>
    <r>
      <rPr>
        <i/>
        <sz val="8"/>
        <color rgb="FF595959"/>
        <rFont val="Noto Sans CJK SC"/>
        <family val="2"/>
      </rPr>
      <t>시트에서 직접 편집하면 자동 반영됩니다</t>
    </r>
    <r>
      <rPr>
        <i/>
        <sz val="8"/>
        <color rgb="FF595959"/>
        <rFont val="맑은 고딕"/>
        <family val="3"/>
        <charset val="129"/>
      </rPr>
      <t>.</t>
    </r>
  </si>
  <si>
    <r>
      <rPr>
        <i/>
        <sz val="8"/>
        <color rgb="FF595959"/>
        <rFont val="Noto Sans CJK SC"/>
        <family val="2"/>
      </rPr>
      <t>※ 중복계상 주의</t>
    </r>
    <r>
      <rPr>
        <i/>
        <sz val="8"/>
        <color rgb="FF595959"/>
        <rFont val="맑은 고딕"/>
        <family val="3"/>
        <charset val="129"/>
      </rPr>
      <t xml:space="preserve">: </t>
    </r>
    <r>
      <rPr>
        <i/>
        <sz val="8"/>
        <color rgb="FF595959"/>
        <rFont val="Noto Sans CJK SC"/>
        <family val="2"/>
      </rPr>
      <t xml:space="preserve">동절기는 </t>
    </r>
    <r>
      <rPr>
        <i/>
        <sz val="8"/>
        <color rgb="FF595959"/>
        <rFont val="맑은 고딕"/>
        <family val="3"/>
        <charset val="129"/>
      </rPr>
      <t>(</t>
    </r>
    <r>
      <rPr>
        <i/>
        <sz val="8"/>
        <color rgb="FF595959"/>
        <rFont val="Noto Sans CJK SC"/>
        <family val="2"/>
      </rPr>
      <t>일최고</t>
    </r>
    <r>
      <rPr>
        <i/>
        <sz val="8"/>
        <color rgb="FF595959"/>
        <rFont val="맑은 고딕"/>
        <family val="3"/>
        <charset val="129"/>
      </rPr>
      <t xml:space="preserve">0℃↓ </t>
    </r>
    <r>
      <rPr>
        <i/>
        <sz val="8"/>
        <color rgb="FF595959"/>
        <rFont val="Noto Sans CJK SC"/>
        <family val="2"/>
      </rPr>
      <t>또는 적설</t>
    </r>
    <r>
      <rPr>
        <i/>
        <sz val="8"/>
        <color rgb="FF595959"/>
        <rFont val="맑은 고딕"/>
        <family val="3"/>
        <charset val="129"/>
      </rPr>
      <t>5</t>
    </r>
    <r>
      <rPr>
        <i/>
        <sz val="8"/>
        <color rgb="FF595959"/>
        <rFont val="Noto Sans CJK SC"/>
        <family val="2"/>
      </rPr>
      <t>㎝↑</t>
    </r>
    <r>
      <rPr>
        <i/>
        <sz val="8"/>
        <color rgb="FF595959"/>
        <rFont val="맑은 고딕"/>
        <family val="3"/>
        <charset val="129"/>
      </rPr>
      <t xml:space="preserve">) </t>
    </r>
    <r>
      <rPr>
        <i/>
        <sz val="8"/>
        <color rgb="FF595959"/>
        <rFont val="Noto Sans CJK SC"/>
        <family val="2"/>
      </rPr>
      <t xml:space="preserve">결합조건 </t>
    </r>
    <r>
      <rPr>
        <i/>
        <sz val="8"/>
        <color rgb="FF595959"/>
        <rFont val="맑은 고딕"/>
        <family val="3"/>
        <charset val="129"/>
      </rPr>
      <t>1</t>
    </r>
    <r>
      <rPr>
        <i/>
        <sz val="8"/>
        <color rgb="FF595959"/>
        <rFont val="Noto Sans CJK SC"/>
        <family val="2"/>
      </rPr>
      <t>개만 선택 권장</t>
    </r>
    <r>
      <rPr>
        <i/>
        <sz val="8"/>
        <color rgb="FF595959"/>
        <rFont val="맑은 고딕"/>
        <family val="3"/>
        <charset val="129"/>
      </rPr>
      <t xml:space="preserve">. </t>
    </r>
    <r>
      <rPr>
        <i/>
        <sz val="8"/>
        <color rgb="FF595959"/>
        <rFont val="Noto Sans CJK SC"/>
        <family val="2"/>
      </rPr>
      <t xml:space="preserve">강우는 공종특성에 맞는 임계값 </t>
    </r>
    <r>
      <rPr>
        <i/>
        <sz val="8"/>
        <color rgb="FF595959"/>
        <rFont val="맑은 고딕"/>
        <family val="3"/>
        <charset val="129"/>
      </rPr>
      <t>1</t>
    </r>
    <r>
      <rPr>
        <i/>
        <sz val="8"/>
        <color rgb="FF595959"/>
        <rFont val="Noto Sans CJK SC"/>
        <family val="2"/>
      </rPr>
      <t>개만 선택</t>
    </r>
    <r>
      <rPr>
        <i/>
        <sz val="8"/>
        <color rgb="FF595959"/>
        <rFont val="맑은 고딕"/>
        <family val="3"/>
        <charset val="129"/>
      </rPr>
      <t>(</t>
    </r>
    <r>
      <rPr>
        <i/>
        <sz val="8"/>
        <color rgb="FF595959"/>
        <rFont val="Noto Sans CJK SC"/>
        <family val="2"/>
      </rPr>
      <t xml:space="preserve">구조물 </t>
    </r>
    <r>
      <rPr>
        <i/>
        <sz val="8"/>
        <color rgb="FF595959"/>
        <rFont val="맑은 고딕"/>
        <family val="3"/>
        <charset val="129"/>
      </rPr>
      <t>5</t>
    </r>
    <r>
      <rPr>
        <i/>
        <sz val="8"/>
        <color rgb="FF595959"/>
        <rFont val="Noto Sans CJK SC"/>
        <family val="2"/>
      </rPr>
      <t>㎜</t>
    </r>
    <r>
      <rPr>
        <i/>
        <sz val="8"/>
        <color rgb="FF595959"/>
        <rFont val="맑은 고딕"/>
        <family val="3"/>
        <charset val="129"/>
      </rPr>
      <t xml:space="preserve">, </t>
    </r>
    <r>
      <rPr>
        <i/>
        <sz val="8"/>
        <color rgb="FF595959"/>
        <rFont val="Noto Sans CJK SC"/>
        <family val="2"/>
      </rPr>
      <t>관로</t>
    </r>
    <r>
      <rPr>
        <i/>
        <sz val="8"/>
        <color rgb="FF595959"/>
        <rFont val="맑은 고딕"/>
        <family val="3"/>
        <charset val="129"/>
      </rPr>
      <t>·</t>
    </r>
    <r>
      <rPr>
        <i/>
        <sz val="8"/>
        <color rgb="FF595959"/>
        <rFont val="Noto Sans CJK SC"/>
        <family val="2"/>
      </rPr>
      <t xml:space="preserve">토공 </t>
    </r>
    <r>
      <rPr>
        <i/>
        <sz val="8"/>
        <color rgb="FF595959"/>
        <rFont val="맑은 고딕"/>
        <family val="3"/>
        <charset val="129"/>
      </rPr>
      <t>10</t>
    </r>
    <r>
      <rPr>
        <i/>
        <sz val="8"/>
        <color rgb="FF595959"/>
        <rFont val="Noto Sans CJK SC"/>
        <family val="2"/>
      </rPr>
      <t>㎜</t>
    </r>
    <r>
      <rPr>
        <i/>
        <sz val="8"/>
        <color rgb="FF595959"/>
        <rFont val="맑은 고딕"/>
        <family val="3"/>
        <charset val="129"/>
      </rPr>
      <t>).</t>
    </r>
  </si>
  <si>
    <r>
      <rPr>
        <i/>
        <sz val="8"/>
        <color rgb="FF595959"/>
        <rFont val="Noto Sans CJK SC"/>
        <family val="2"/>
      </rPr>
      <t>※ 미세먼지</t>
    </r>
    <r>
      <rPr>
        <i/>
        <sz val="8"/>
        <color rgb="FF595959"/>
        <rFont val="맑은 고딕"/>
        <family val="3"/>
        <charset val="129"/>
      </rPr>
      <t>(</t>
    </r>
    <r>
      <rPr>
        <i/>
        <sz val="8"/>
        <color rgb="FF595959"/>
        <rFont val="Noto Sans CJK SC"/>
        <family val="2"/>
      </rPr>
      <t>노란셀</t>
    </r>
    <r>
      <rPr>
        <i/>
        <sz val="8"/>
        <color rgb="FF595959"/>
        <rFont val="맑은 고딕"/>
        <family val="3"/>
        <charset val="129"/>
      </rPr>
      <t>)</t>
    </r>
    <r>
      <rPr>
        <i/>
        <sz val="8"/>
        <color rgb="FF595959"/>
        <rFont val="Noto Sans CJK SC"/>
        <family val="2"/>
      </rPr>
      <t>는 부록</t>
    </r>
    <r>
      <rPr>
        <i/>
        <sz val="8"/>
        <color rgb="FF595959"/>
        <rFont val="맑은 고딕"/>
        <family val="3"/>
        <charset val="129"/>
      </rPr>
      <t>3</t>
    </r>
    <r>
      <rPr>
        <i/>
        <sz val="8"/>
        <color rgb="FF595959"/>
        <rFont val="Noto Sans CJK SC"/>
        <family val="2"/>
      </rPr>
      <t>에 없어 별도 입력합니다</t>
    </r>
    <r>
      <rPr>
        <i/>
        <sz val="8"/>
        <color rgb="FF595959"/>
        <rFont val="맑은 고딕"/>
        <family val="3"/>
        <charset val="129"/>
      </rPr>
      <t xml:space="preserve">. </t>
    </r>
    <r>
      <rPr>
        <i/>
        <sz val="8"/>
        <color rgb="FF595959"/>
        <rFont val="Noto Sans CJK SC"/>
        <family val="2"/>
      </rPr>
      <t>기본값은 세종 측정소 기준</t>
    </r>
    <r>
      <rPr>
        <i/>
        <sz val="8"/>
        <color rgb="FF595959"/>
        <rFont val="맑은 고딕"/>
        <family val="3"/>
        <charset val="129"/>
      </rPr>
      <t>(</t>
    </r>
    <r>
      <rPr>
        <i/>
        <sz val="8"/>
        <color rgb="FF595959"/>
        <rFont val="Noto Sans CJK SC"/>
        <family val="2"/>
      </rPr>
      <t xml:space="preserve">환경부 </t>
    </r>
    <r>
      <rPr>
        <i/>
        <sz val="8"/>
        <color rgb="FF595959"/>
        <rFont val="맑은 고딕"/>
        <family val="3"/>
        <charset val="129"/>
      </rPr>
      <t>2024, PM2.5 '</t>
    </r>
    <r>
      <rPr>
        <i/>
        <sz val="8"/>
        <color rgb="FF595959"/>
        <rFont val="Noto Sans CJK SC"/>
        <family val="2"/>
      </rPr>
      <t>나쁨</t>
    </r>
    <r>
      <rPr>
        <i/>
        <sz val="8"/>
        <color rgb="FF595959"/>
        <rFont val="맑은 고딕"/>
        <family val="3"/>
        <charset val="129"/>
      </rPr>
      <t>' 36</t>
    </r>
    <r>
      <rPr>
        <i/>
        <sz val="8"/>
        <color rgb="FF595959"/>
        <rFont val="Noto Sans CJK SC"/>
        <family val="2"/>
      </rPr>
      <t>㎍</t>
    </r>
    <r>
      <rPr>
        <i/>
        <sz val="8"/>
        <color rgb="FF595959"/>
        <rFont val="맑은 고딕"/>
        <family val="3"/>
        <charset val="129"/>
      </rPr>
      <t>/</t>
    </r>
    <r>
      <rPr>
        <i/>
        <sz val="8"/>
        <color rgb="FF595959"/>
        <rFont val="Noto Sans CJK SC"/>
        <family val="2"/>
      </rPr>
      <t xml:space="preserve">㎥↑ 연 </t>
    </r>
    <r>
      <rPr>
        <i/>
        <sz val="8"/>
        <color rgb="FF595959"/>
        <rFont val="맑은 고딕"/>
        <family val="3"/>
        <charset val="129"/>
      </rPr>
      <t>19</t>
    </r>
    <r>
      <rPr>
        <i/>
        <sz val="8"/>
        <color rgb="FF595959"/>
        <rFont val="Noto Sans CJK SC"/>
        <family val="2"/>
      </rPr>
      <t>일</t>
    </r>
    <r>
      <rPr>
        <i/>
        <sz val="8"/>
        <color rgb="FF595959"/>
        <rFont val="맑은 고딕"/>
        <family val="3"/>
        <charset val="129"/>
      </rPr>
      <t>)</t>
    </r>
    <r>
      <rPr>
        <i/>
        <sz val="8"/>
        <color rgb="FF595959"/>
        <rFont val="Noto Sans CJK SC"/>
        <family val="2"/>
      </rPr>
      <t>을 겨울</t>
    </r>
    <r>
      <rPr>
        <i/>
        <sz val="8"/>
        <color rgb="FF595959"/>
        <rFont val="맑은 고딕"/>
        <family val="3"/>
        <charset val="129"/>
      </rPr>
      <t>·</t>
    </r>
    <r>
      <rPr>
        <i/>
        <sz val="8"/>
        <color rgb="FF595959"/>
        <rFont val="Noto Sans CJK SC"/>
        <family val="2"/>
      </rPr>
      <t>봄 집중 배분한 값이며</t>
    </r>
    <r>
      <rPr>
        <i/>
        <sz val="8"/>
        <color rgb="FF595959"/>
        <rFont val="맑은 고딕"/>
        <family val="3"/>
        <charset val="129"/>
      </rPr>
      <t xml:space="preserve">, </t>
    </r>
    <r>
      <rPr>
        <i/>
        <sz val="8"/>
        <color rgb="FF595959"/>
        <rFont val="Noto Sans CJK SC"/>
        <family val="2"/>
      </rPr>
      <t>다른 연도</t>
    </r>
    <r>
      <rPr>
        <i/>
        <sz val="8"/>
        <color rgb="FF595959"/>
        <rFont val="맑은 고딕"/>
        <family val="3"/>
        <charset val="129"/>
      </rPr>
      <t>·</t>
    </r>
    <r>
      <rPr>
        <i/>
        <sz val="8"/>
        <color rgb="FF595959"/>
        <rFont val="Noto Sans CJK SC"/>
        <family val="2"/>
      </rPr>
      <t>지점은 에어코리아</t>
    </r>
    <r>
      <rPr>
        <i/>
        <sz val="8"/>
        <color rgb="FF595959"/>
        <rFont val="맑은 고딕"/>
        <family val="3"/>
        <charset val="129"/>
      </rPr>
      <t xml:space="preserve">·KOSIS </t>
    </r>
    <r>
      <rPr>
        <i/>
        <sz val="8"/>
        <color rgb="FF595959"/>
        <rFont val="Noto Sans CJK SC"/>
        <family val="2"/>
      </rPr>
      <t>통계로 수정하세요</t>
    </r>
    <r>
      <rPr>
        <i/>
        <sz val="8"/>
        <color rgb="FF595959"/>
        <rFont val="맑은 고딕"/>
        <family val="3"/>
        <charset val="129"/>
      </rPr>
      <t>.</t>
    </r>
  </si>
  <si>
    <r>
      <rPr>
        <b/>
        <sz val="13"/>
        <color rgb="FFFFFFFF"/>
        <rFont val="맑은 고딕"/>
        <family val="3"/>
        <charset val="129"/>
      </rPr>
      <t>③ 1</t>
    </r>
    <r>
      <rPr>
        <b/>
        <sz val="13"/>
        <color rgb="FFFFFFFF"/>
        <rFont val="Noto Sans CJK SC"/>
        <family val="2"/>
      </rPr>
      <t xml:space="preserve">일 작업량 </t>
    </r>
    <r>
      <rPr>
        <b/>
        <sz val="13"/>
        <color rgb="FFFFFFFF"/>
        <rFont val="맑은 고딕"/>
        <family val="3"/>
        <charset val="129"/>
      </rPr>
      <t>DB (</t>
    </r>
    <r>
      <rPr>
        <b/>
        <sz val="13"/>
        <color rgb="FFFFFFFF"/>
        <rFont val="Noto Sans CJK SC"/>
        <family val="2"/>
      </rPr>
      <t>부록</t>
    </r>
    <r>
      <rPr>
        <b/>
        <sz val="13"/>
        <color rgb="FFFFFFFF"/>
        <rFont val="맑은 고딕"/>
        <family val="3"/>
        <charset val="129"/>
      </rPr>
      <t>4) — ④</t>
    </r>
    <r>
      <rPr>
        <b/>
        <sz val="13"/>
        <color rgb="FFFFFFFF"/>
        <rFont val="Noto Sans CJK SC"/>
        <family val="2"/>
      </rPr>
      <t>작업일수산정에서 자동 조회</t>
    </r>
  </si>
  <si>
    <r>
      <rPr>
        <i/>
        <sz val="9"/>
        <color rgb="FF595959"/>
        <rFont val="Noto Sans CJK SC"/>
        <family val="2"/>
      </rPr>
      <t>부록</t>
    </r>
    <r>
      <rPr>
        <i/>
        <sz val="9"/>
        <color rgb="FF595959"/>
        <rFont val="맑은 고딕"/>
        <family val="3"/>
        <charset val="129"/>
      </rPr>
      <t xml:space="preserve">4: </t>
    </r>
    <r>
      <rPr>
        <i/>
        <sz val="9"/>
        <color rgb="FF595959"/>
        <rFont val="Noto Sans CJK SC"/>
        <family val="2"/>
      </rPr>
      <t>대표</t>
    </r>
    <r>
      <rPr>
        <i/>
        <sz val="9"/>
        <color rgb="FF595959"/>
        <rFont val="맑은 고딕"/>
        <family val="3"/>
        <charset val="129"/>
      </rPr>
      <t>·</t>
    </r>
    <r>
      <rPr>
        <i/>
        <sz val="9"/>
        <color rgb="FF595959"/>
        <rFont val="Noto Sans CJK SC"/>
        <family val="2"/>
      </rPr>
      <t>일반화된 공종</t>
    </r>
    <r>
      <rPr>
        <i/>
        <sz val="9"/>
        <color rgb="FF595959"/>
        <rFont val="맑은 고딕"/>
        <family val="3"/>
        <charset val="129"/>
      </rPr>
      <t>/</t>
    </r>
    <r>
      <rPr>
        <i/>
        <sz val="9"/>
        <color rgb="FF595959"/>
        <rFont val="Noto Sans CJK SC"/>
        <family val="2"/>
      </rPr>
      <t>공법</t>
    </r>
    <r>
      <rPr>
        <i/>
        <sz val="9"/>
        <color rgb="FF595959"/>
        <rFont val="맑은 고딕"/>
        <family val="3"/>
        <charset val="129"/>
      </rPr>
      <t xml:space="preserve">, </t>
    </r>
    <r>
      <rPr>
        <i/>
        <sz val="9"/>
        <color rgb="FF595959"/>
        <rFont val="Noto Sans CJK SC"/>
        <family val="2"/>
      </rPr>
      <t>표준품셈 생산성</t>
    </r>
    <r>
      <rPr>
        <i/>
        <sz val="9"/>
        <color rgb="FF595959"/>
        <rFont val="맑은 고딕"/>
        <family val="3"/>
        <charset val="129"/>
      </rPr>
      <t>(1</t>
    </r>
    <r>
      <rPr>
        <i/>
        <sz val="9"/>
        <color rgb="FF595959"/>
        <rFont val="Noto Sans CJK SC"/>
        <family val="2"/>
      </rPr>
      <t>개 작업조 투입</t>
    </r>
    <r>
      <rPr>
        <i/>
        <sz val="9"/>
        <color rgb="FF595959"/>
        <rFont val="맑은 고딕"/>
        <family val="3"/>
        <charset val="129"/>
      </rPr>
      <t xml:space="preserve">) </t>
    </r>
    <r>
      <rPr>
        <i/>
        <sz val="9"/>
        <color rgb="FF595959"/>
        <rFont val="Noto Sans CJK SC"/>
        <family val="2"/>
      </rPr>
      <t>기준</t>
    </r>
    <r>
      <rPr>
        <i/>
        <sz val="9"/>
        <color rgb="FF595959"/>
        <rFont val="맑은 고딕"/>
        <family val="3"/>
        <charset val="129"/>
      </rPr>
      <t xml:space="preserve">. </t>
    </r>
    <r>
      <rPr>
        <i/>
        <sz val="9"/>
        <color rgb="FF595959"/>
        <rFont val="Noto Sans CJK SC"/>
        <family val="2"/>
      </rPr>
      <t>현장여건 고려하여 조정 적용</t>
    </r>
    <r>
      <rPr>
        <i/>
        <sz val="9"/>
        <color rgb="FF595959"/>
        <rFont val="맑은 고딕"/>
        <family val="3"/>
        <charset val="129"/>
      </rPr>
      <t>.</t>
    </r>
  </si>
  <si>
    <r>
      <rPr>
        <i/>
        <sz val="8.5"/>
        <color rgb="FFC00000"/>
        <rFont val="맑은 고딕"/>
        <family val="3"/>
        <charset val="129"/>
      </rPr>
      <t>※ '</t>
    </r>
    <r>
      <rPr>
        <i/>
        <sz val="8.5"/>
        <color rgb="FFC00000"/>
        <rFont val="Noto Sans CJK SC"/>
        <family val="2"/>
      </rPr>
      <t>키</t>
    </r>
    <r>
      <rPr>
        <i/>
        <sz val="8.5"/>
        <color rgb="FFC00000"/>
        <rFont val="맑은 고딕"/>
        <family val="3"/>
        <charset val="129"/>
      </rPr>
      <t xml:space="preserve">' = </t>
    </r>
    <r>
      <rPr>
        <i/>
        <sz val="8.5"/>
        <color rgb="FFC00000"/>
        <rFont val="Noto Sans CJK SC"/>
        <family val="2"/>
      </rPr>
      <t xml:space="preserve">대공정 </t>
    </r>
    <r>
      <rPr>
        <i/>
        <sz val="8.5"/>
        <color rgb="FFC00000"/>
        <rFont val="맑은 고딕"/>
        <family val="3"/>
        <charset val="129"/>
      </rPr>
      <t xml:space="preserve">+ </t>
    </r>
    <r>
      <rPr>
        <i/>
        <sz val="8.5"/>
        <color rgb="FFC00000"/>
        <rFont val="Noto Sans CJK SC"/>
        <family val="2"/>
      </rPr>
      <t xml:space="preserve">세부공종 </t>
    </r>
    <r>
      <rPr>
        <i/>
        <sz val="8.5"/>
        <color rgb="FFC00000"/>
        <rFont val="맑은 고딕"/>
        <family val="3"/>
        <charset val="129"/>
      </rPr>
      <t>(④</t>
    </r>
    <r>
      <rPr>
        <i/>
        <sz val="8.5"/>
        <color rgb="FFC00000"/>
        <rFont val="Noto Sans CJK SC"/>
        <family val="2"/>
      </rPr>
      <t xml:space="preserve">에서 이 키로 </t>
    </r>
    <r>
      <rPr>
        <i/>
        <sz val="8.5"/>
        <color rgb="FFC00000"/>
        <rFont val="맑은 고딕"/>
        <family val="3"/>
        <charset val="129"/>
      </rPr>
      <t>1</t>
    </r>
    <r>
      <rPr>
        <i/>
        <sz val="8.5"/>
        <color rgb="FFC00000"/>
        <rFont val="Noto Sans CJK SC"/>
        <family val="2"/>
      </rPr>
      <t>일작업량을 조회</t>
    </r>
    <r>
      <rPr>
        <i/>
        <sz val="8.5"/>
        <color rgb="FFC00000"/>
        <rFont val="맑은 고딕"/>
        <family val="3"/>
        <charset val="129"/>
      </rPr>
      <t xml:space="preserve">). </t>
    </r>
    <r>
      <rPr>
        <i/>
        <sz val="8.5"/>
        <color rgb="FFC00000"/>
        <rFont val="Noto Sans CJK SC"/>
        <family val="2"/>
      </rPr>
      <t>부록</t>
    </r>
    <r>
      <rPr>
        <i/>
        <sz val="8.5"/>
        <color rgb="FFC00000"/>
        <rFont val="맑은 고딕"/>
        <family val="3"/>
        <charset val="129"/>
      </rPr>
      <t>4</t>
    </r>
    <r>
      <rPr>
        <i/>
        <sz val="8.5"/>
        <color rgb="FFC00000"/>
        <rFont val="Noto Sans CJK SC"/>
        <family val="2"/>
      </rPr>
      <t>에 없는 공종은 ④에서 직접입력</t>
    </r>
    <r>
      <rPr>
        <i/>
        <sz val="8.5"/>
        <color rgb="FFC00000"/>
        <rFont val="맑은 고딕"/>
        <family val="3"/>
        <charset val="129"/>
      </rPr>
      <t>.</t>
    </r>
  </si>
  <si>
    <t>분야</t>
  </si>
  <si>
    <t>대공정</t>
  </si>
  <si>
    <r>
      <rPr>
        <b/>
        <sz val="10"/>
        <color rgb="FFFFFFFF"/>
        <rFont val="Noto Sans CJK SC"/>
        <family val="2"/>
      </rPr>
      <t>세부공종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키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</si>
  <si>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Noto Sans CJK SC"/>
        <family val="2"/>
      </rPr>
      <t>작업조건</t>
    </r>
    <r>
      <rPr>
        <b/>
        <sz val="10"/>
        <color rgb="FFFFFFFF"/>
        <rFont val="맑은 고딕"/>
        <family val="3"/>
        <charset val="129"/>
      </rPr>
      <t>/</t>
    </r>
    <r>
      <rPr>
        <b/>
        <sz val="10"/>
        <color rgb="FFFFFFFF"/>
        <rFont val="Noto Sans CJK SC"/>
        <family val="2"/>
      </rPr>
      <t>산출근거</t>
    </r>
  </si>
  <si>
    <r>
      <rPr>
        <b/>
        <sz val="10"/>
        <color rgb="FFFFFFFF"/>
        <rFont val="맑은 고딕"/>
        <family val="3"/>
        <charset val="129"/>
      </rPr>
      <t>1</t>
    </r>
    <r>
      <rPr>
        <b/>
        <sz val="10"/>
        <color rgb="FFFFFFFF"/>
        <rFont val="Noto Sans CJK SC"/>
        <family val="2"/>
      </rPr>
      <t>일작업량</t>
    </r>
  </si>
  <si>
    <t>단위</t>
  </si>
  <si>
    <t>조회키</t>
  </si>
  <si>
    <t>토목</t>
  </si>
  <si>
    <t>공통가설</t>
  </si>
  <si>
    <t>가설사무실</t>
  </si>
  <si>
    <t>-</t>
  </si>
  <si>
    <r>
      <rPr>
        <sz val="9"/>
        <color rgb="FF000000"/>
        <rFont val="Noto Sans CJK SC"/>
        <family val="2"/>
      </rPr>
      <t>개소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일</t>
    </r>
  </si>
  <si>
    <t>가설울타리</t>
  </si>
  <si>
    <r>
      <rPr>
        <sz val="9"/>
        <color rgb="FF000000"/>
        <rFont val="맑은 고딕"/>
        <family val="3"/>
        <charset val="129"/>
      </rPr>
      <t>H</t>
    </r>
    <r>
      <rPr>
        <sz val="9"/>
        <color rgb="FF000000"/>
        <rFont val="Noto Sans CJK SC"/>
        <family val="2"/>
      </rPr>
      <t xml:space="preserve">형강지주 </t>
    </r>
    <r>
      <rPr>
        <sz val="9"/>
        <color rgb="FF000000"/>
        <rFont val="맑은 고딕"/>
        <family val="3"/>
        <charset val="129"/>
      </rPr>
      <t xml:space="preserve">4m </t>
    </r>
    <r>
      <rPr>
        <sz val="9"/>
        <color rgb="FF000000"/>
        <rFont val="Noto Sans CJK SC"/>
        <family val="2"/>
      </rPr>
      <t>이하</t>
    </r>
  </si>
  <si>
    <r>
      <rPr>
        <sz val="9"/>
        <color rgb="FF000000"/>
        <rFont val="맑은 고딕"/>
        <family val="3"/>
        <charset val="129"/>
      </rPr>
      <t>m/</t>
    </r>
    <r>
      <rPr>
        <sz val="9"/>
        <color rgb="FF000000"/>
        <rFont val="Noto Sans CJK SC"/>
        <family val="2"/>
      </rPr>
      <t>일</t>
    </r>
  </si>
  <si>
    <t>가설방음벽</t>
  </si>
  <si>
    <t>구조물 동바리</t>
  </si>
  <si>
    <r>
      <rPr>
        <sz val="9"/>
        <color rgb="FF000000"/>
        <rFont val="Noto Sans CJK SC"/>
        <family val="2"/>
      </rPr>
      <t xml:space="preserve">시스템동바리 </t>
    </r>
    <r>
      <rPr>
        <sz val="9"/>
        <color rgb="FF000000"/>
        <rFont val="맑은 고딕"/>
        <family val="3"/>
        <charset val="129"/>
      </rPr>
      <t xml:space="preserve">30m </t>
    </r>
    <r>
      <rPr>
        <sz val="9"/>
        <color rgb="FF000000"/>
        <rFont val="Noto Sans CJK SC"/>
        <family val="2"/>
      </rPr>
      <t>이하</t>
    </r>
  </si>
  <si>
    <r>
      <rPr>
        <sz val="9"/>
        <color rgb="FF000000"/>
        <rFont val="Noto Sans CJK SC"/>
        <family val="2"/>
      </rPr>
      <t>㎥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일</t>
    </r>
  </si>
  <si>
    <t>구조물 비계</t>
  </si>
  <si>
    <r>
      <rPr>
        <sz val="9"/>
        <color rgb="FF000000"/>
        <rFont val="Noto Sans CJK SC"/>
        <family val="2"/>
      </rPr>
      <t xml:space="preserve">강관비계 </t>
    </r>
    <r>
      <rPr>
        <sz val="9"/>
        <color rgb="FF000000"/>
        <rFont val="맑은 고딕"/>
        <family val="3"/>
        <charset val="129"/>
      </rPr>
      <t xml:space="preserve">30m </t>
    </r>
    <r>
      <rPr>
        <sz val="9"/>
        <color rgb="FF000000"/>
        <rFont val="Noto Sans CJK SC"/>
        <family val="2"/>
      </rPr>
      <t>이하</t>
    </r>
  </si>
  <si>
    <r>
      <rPr>
        <sz val="9"/>
        <color rgb="FF000000"/>
        <rFont val="Noto Sans CJK SC"/>
        <family val="2"/>
      </rPr>
      <t>㎡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일</t>
    </r>
  </si>
  <si>
    <r>
      <rPr>
        <sz val="9"/>
        <color rgb="FF000000"/>
        <rFont val="Noto Sans CJK SC"/>
        <family val="2"/>
      </rPr>
      <t>가설흙막이</t>
    </r>
    <r>
      <rPr>
        <sz val="9"/>
        <color rgb="FF000000"/>
        <rFont val="맑은 고딕"/>
        <family val="3"/>
        <charset val="129"/>
      </rPr>
      <t>(H</t>
    </r>
    <r>
      <rPr>
        <sz val="9"/>
        <color rgb="FF000000"/>
        <rFont val="Noto Sans CJK SC"/>
        <family val="2"/>
      </rPr>
      <t>파일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</si>
  <si>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>진동파일해머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근입장</t>
    </r>
    <r>
      <rPr>
        <sz val="9"/>
        <color rgb="FF000000"/>
        <rFont val="맑은 고딕"/>
        <family val="3"/>
        <charset val="129"/>
      </rPr>
      <t>20m</t>
    </r>
  </si>
  <si>
    <r>
      <rPr>
        <sz val="9"/>
        <color rgb="FF000000"/>
        <rFont val="Noto Sans CJK SC"/>
        <family val="2"/>
      </rPr>
      <t>본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일</t>
    </r>
  </si>
  <si>
    <r>
      <rPr>
        <sz val="9"/>
        <color rgb="FF000000"/>
        <rFont val="Noto Sans CJK SC"/>
        <family val="2"/>
      </rPr>
      <t>가설흙막이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워터제트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</si>
  <si>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>강널말뚝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근입장</t>
    </r>
    <r>
      <rPr>
        <sz val="9"/>
        <color rgb="FF000000"/>
        <rFont val="맑은 고딕"/>
        <family val="3"/>
        <charset val="129"/>
      </rPr>
      <t>20m</t>
    </r>
  </si>
  <si>
    <t>토공</t>
  </si>
  <si>
    <t>기존시설물 깨기</t>
  </si>
  <si>
    <r>
      <rPr>
        <sz val="9"/>
        <color rgb="FF000000"/>
        <rFont val="Noto Sans CJK SC"/>
        <family val="2"/>
      </rPr>
      <t xml:space="preserve">아스콘 </t>
    </r>
    <r>
      <rPr>
        <sz val="9"/>
        <color rgb="FF000000"/>
        <rFont val="맑은 고딕"/>
        <family val="3"/>
        <charset val="129"/>
      </rPr>
      <t>t=30</t>
    </r>
    <r>
      <rPr>
        <sz val="9"/>
        <color rgb="FF000000"/>
        <rFont val="Noto Sans CJK SC"/>
        <family val="2"/>
      </rPr>
      <t>㎝ 이상</t>
    </r>
  </si>
  <si>
    <t>벌목</t>
  </si>
  <si>
    <r>
      <rPr>
        <sz val="9"/>
        <color rgb="FF000000"/>
        <rFont val="Noto Sans CJK SC"/>
        <family val="2"/>
      </rPr>
      <t xml:space="preserve">벌목 </t>
    </r>
    <r>
      <rPr>
        <sz val="9"/>
        <color rgb="FF000000"/>
        <rFont val="맑은 고딕"/>
        <family val="3"/>
        <charset val="129"/>
      </rPr>
      <t xml:space="preserve">8m </t>
    </r>
    <r>
      <rPr>
        <sz val="9"/>
        <color rgb="FF000000"/>
        <rFont val="Noto Sans CJK SC"/>
        <family val="2"/>
      </rPr>
      <t>이상</t>
    </r>
  </si>
  <si>
    <t>벌개제근</t>
  </si>
  <si>
    <t>표토제거</t>
  </si>
  <si>
    <t>답구간</t>
  </si>
  <si>
    <r>
      <rPr>
        <sz val="9"/>
        <color rgb="FF000000"/>
        <rFont val="Noto Sans CJK SC"/>
        <family val="2"/>
      </rPr>
      <t>흙깍기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토사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</si>
  <si>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 xml:space="preserve">굴삭기 </t>
    </r>
    <r>
      <rPr>
        <sz val="9"/>
        <color rgb="FF000000"/>
        <rFont val="맑은 고딕"/>
        <family val="3"/>
        <charset val="129"/>
      </rPr>
      <t>1.0</t>
    </r>
    <r>
      <rPr>
        <sz val="9"/>
        <color rgb="FF000000"/>
        <rFont val="Noto Sans CJK SC"/>
        <family val="2"/>
      </rPr>
      <t>㎥</t>
    </r>
  </si>
  <si>
    <r>
      <rPr>
        <sz val="9"/>
        <color rgb="FF000000"/>
        <rFont val="Noto Sans CJK SC"/>
        <family val="2"/>
      </rPr>
      <t>흙깍기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리핑암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</si>
  <si>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>리퍼</t>
    </r>
    <r>
      <rPr>
        <sz val="9"/>
        <color rgb="FF000000"/>
        <rFont val="맑은 고딕"/>
        <family val="3"/>
        <charset val="129"/>
      </rPr>
      <t>2</t>
    </r>
    <r>
      <rPr>
        <sz val="9"/>
        <color rgb="FF000000"/>
        <rFont val="Noto Sans CJK SC"/>
        <family val="2"/>
      </rPr>
      <t>본</t>
    </r>
    <r>
      <rPr>
        <sz val="9"/>
        <color rgb="FF000000"/>
        <rFont val="맑은 고딕"/>
        <family val="3"/>
        <charset val="129"/>
      </rPr>
      <t>+</t>
    </r>
    <r>
      <rPr>
        <sz val="9"/>
        <color rgb="FF000000"/>
        <rFont val="Noto Sans CJK SC"/>
        <family val="2"/>
      </rPr>
      <t>불도저</t>
    </r>
    <r>
      <rPr>
        <sz val="9"/>
        <color rgb="FF000000"/>
        <rFont val="맑은 고딕"/>
        <family val="3"/>
        <charset val="129"/>
      </rPr>
      <t>32</t>
    </r>
    <r>
      <rPr>
        <sz val="9"/>
        <color rgb="FF000000"/>
        <rFont val="Noto Sans CJK SC"/>
        <family val="2"/>
      </rPr>
      <t>톤</t>
    </r>
  </si>
  <si>
    <r>
      <rPr>
        <sz val="9"/>
        <color rgb="FF000000"/>
        <rFont val="Noto Sans CJK SC"/>
        <family val="2"/>
      </rPr>
      <t>흙깍기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발파암</t>
    </r>
    <r>
      <rPr>
        <sz val="9"/>
        <color rgb="FF000000"/>
        <rFont val="맑은 고딕"/>
        <family val="3"/>
        <charset val="129"/>
      </rPr>
      <t>-</t>
    </r>
    <r>
      <rPr>
        <sz val="9"/>
        <color rgb="FF000000"/>
        <rFont val="Noto Sans CJK SC"/>
        <family val="2"/>
      </rPr>
      <t>브레이커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</si>
  <si>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>연암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보통암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경암 평균</t>
    </r>
  </si>
  <si>
    <r>
      <rPr>
        <sz val="9"/>
        <color rgb="FF000000"/>
        <rFont val="Noto Sans CJK SC"/>
        <family val="2"/>
      </rPr>
      <t>흙깍기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발파암</t>
    </r>
    <r>
      <rPr>
        <sz val="9"/>
        <color rgb="FF000000"/>
        <rFont val="맑은 고딕"/>
        <family val="3"/>
        <charset val="129"/>
      </rPr>
      <t>-</t>
    </r>
    <r>
      <rPr>
        <sz val="9"/>
        <color rgb="FF000000"/>
        <rFont val="Noto Sans CJK SC"/>
        <family val="2"/>
      </rPr>
      <t>진동제어</t>
    </r>
    <r>
      <rPr>
        <sz val="9"/>
        <color rgb="FF000000"/>
        <rFont val="맑은 고딕"/>
        <family val="3"/>
        <charset val="129"/>
      </rPr>
      <t>)</t>
    </r>
  </si>
  <si>
    <t>소규모</t>
  </si>
  <si>
    <r>
      <rPr>
        <sz val="9"/>
        <color rgb="FF000000"/>
        <rFont val="Noto Sans CJK SC"/>
        <family val="2"/>
      </rPr>
      <t>터파기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토사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</si>
  <si>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 xml:space="preserve">굴삭기 </t>
    </r>
    <r>
      <rPr>
        <sz val="9"/>
        <color rgb="FF000000"/>
        <rFont val="맑은 고딕"/>
        <family val="3"/>
        <charset val="129"/>
      </rPr>
      <t>0.7</t>
    </r>
    <r>
      <rPr>
        <sz val="9"/>
        <color rgb="FF000000"/>
        <rFont val="Noto Sans CJK SC"/>
        <family val="2"/>
      </rPr>
      <t>㎥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자연터파기</t>
    </r>
  </si>
  <si>
    <r>
      <rPr>
        <sz val="9"/>
        <color rgb="FF000000"/>
        <rFont val="Noto Sans CJK SC"/>
        <family val="2"/>
      </rPr>
      <t>터파기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리핑암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</si>
  <si>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 xml:space="preserve">브레이커 </t>
    </r>
    <r>
      <rPr>
        <sz val="9"/>
        <color rgb="FF000000"/>
        <rFont val="맑은 고딕"/>
        <family val="3"/>
        <charset val="129"/>
      </rPr>
      <t>0.7</t>
    </r>
    <r>
      <rPr>
        <sz val="9"/>
        <color rgb="FF000000"/>
        <rFont val="Noto Sans CJK SC"/>
        <family val="2"/>
      </rPr>
      <t>㎥</t>
    </r>
  </si>
  <si>
    <r>
      <rPr>
        <sz val="9"/>
        <color rgb="FF000000"/>
        <rFont val="Noto Sans CJK SC"/>
        <family val="2"/>
      </rPr>
      <t>터파기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발파암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</si>
  <si>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>흙쌓기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노상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</si>
  <si>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 xml:space="preserve">모터그레이더 </t>
    </r>
    <r>
      <rPr>
        <sz val="9"/>
        <color rgb="FF000000"/>
        <rFont val="맑은 고딕"/>
        <family val="3"/>
        <charset val="129"/>
      </rPr>
      <t>3.6</t>
    </r>
    <r>
      <rPr>
        <sz val="9"/>
        <color rgb="FF000000"/>
        <rFont val="Noto Sans CJK SC"/>
        <family val="2"/>
      </rPr>
      <t>㎥</t>
    </r>
  </si>
  <si>
    <r>
      <rPr>
        <sz val="9"/>
        <color rgb="FF000000"/>
        <rFont val="Noto Sans CJK SC"/>
        <family val="2"/>
      </rPr>
      <t>흙쌓기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노체</t>
    </r>
    <r>
      <rPr>
        <sz val="9"/>
        <color rgb="FF000000"/>
        <rFont val="맑은 고딕"/>
        <family val="3"/>
        <charset val="129"/>
      </rPr>
      <t>)</t>
    </r>
  </si>
  <si>
    <t>암쌓기</t>
  </si>
  <si>
    <r>
      <rPr>
        <sz val="9"/>
        <color rgb="FF000000"/>
        <rFont val="Noto Sans CJK SC"/>
        <family val="2"/>
      </rPr>
      <t xml:space="preserve">불도저 </t>
    </r>
    <r>
      <rPr>
        <sz val="9"/>
        <color rgb="FF000000"/>
        <rFont val="맑은 고딕"/>
        <family val="3"/>
        <charset val="129"/>
      </rPr>
      <t>32</t>
    </r>
    <r>
      <rPr>
        <sz val="9"/>
        <color rgb="FF000000"/>
        <rFont val="Noto Sans CJK SC"/>
        <family val="2"/>
      </rPr>
      <t>톤</t>
    </r>
  </si>
  <si>
    <t>되메우기</t>
  </si>
  <si>
    <r>
      <rPr>
        <sz val="9"/>
        <color rgb="FF000000"/>
        <rFont val="Noto Sans CJK SC"/>
        <family val="2"/>
      </rPr>
      <t>램머</t>
    </r>
    <r>
      <rPr>
        <sz val="9"/>
        <color rgb="FF000000"/>
        <rFont val="맑은 고딕"/>
        <family val="3"/>
        <charset val="129"/>
      </rPr>
      <t xml:space="preserve">(80kg) </t>
    </r>
    <r>
      <rPr>
        <sz val="9"/>
        <color rgb="FF000000"/>
        <rFont val="Noto Sans CJK SC"/>
        <family val="2"/>
      </rPr>
      <t>다짐</t>
    </r>
  </si>
  <si>
    <t>연약지반</t>
  </si>
  <si>
    <r>
      <rPr>
        <sz val="9"/>
        <color rgb="FF000000"/>
        <rFont val="Noto Sans CJK SC"/>
        <family val="2"/>
      </rPr>
      <t>매트부설</t>
    </r>
    <r>
      <rPr>
        <sz val="9"/>
        <color rgb="FF000000"/>
        <rFont val="맑은 고딕"/>
        <family val="3"/>
        <charset val="129"/>
      </rPr>
      <t>(PP,PET)</t>
    </r>
  </si>
  <si>
    <t>샌드매트 포설</t>
  </si>
  <si>
    <r>
      <rPr>
        <sz val="9"/>
        <color rgb="FF000000"/>
        <rFont val="Noto Sans CJK SC"/>
        <family val="2"/>
      </rPr>
      <t>불도저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습지</t>
    </r>
    <r>
      <rPr>
        <sz val="9"/>
        <color rgb="FF000000"/>
        <rFont val="맑은 고딕"/>
        <family val="3"/>
        <charset val="129"/>
      </rPr>
      <t>)13</t>
    </r>
    <r>
      <rPr>
        <sz val="9"/>
        <color rgb="FF000000"/>
        <rFont val="Noto Sans CJK SC"/>
        <family val="2"/>
      </rPr>
      <t>톤</t>
    </r>
  </si>
  <si>
    <t>PBD</t>
  </si>
  <si>
    <r>
      <rPr>
        <sz val="9"/>
        <color rgb="FF000000"/>
        <rFont val="맑은 고딕"/>
        <family val="3"/>
        <charset val="129"/>
      </rPr>
      <t xml:space="preserve">L=25m </t>
    </r>
    <r>
      <rPr>
        <sz val="9"/>
        <color rgb="FF000000"/>
        <rFont val="Noto Sans CJK SC"/>
        <family val="2"/>
      </rPr>
      <t>이하</t>
    </r>
  </si>
  <si>
    <r>
      <rPr>
        <sz val="9"/>
        <color rgb="FF000000"/>
        <rFont val="Noto Sans CJK SC"/>
        <family val="2"/>
      </rPr>
      <t>활동방지공</t>
    </r>
    <r>
      <rPr>
        <sz val="9"/>
        <color rgb="FF000000"/>
        <rFont val="맑은 고딕"/>
        <family val="3"/>
        <charset val="129"/>
      </rPr>
      <t>(SCP)</t>
    </r>
  </si>
  <si>
    <r>
      <rPr>
        <sz val="9"/>
        <color rgb="FF000000"/>
        <rFont val="Noto Sans CJK SC"/>
        <family val="2"/>
      </rPr>
      <t xml:space="preserve">모대다짐말뚝 </t>
    </r>
    <r>
      <rPr>
        <sz val="9"/>
        <color rgb="FF000000"/>
        <rFont val="맑은 고딕"/>
        <family val="3"/>
        <charset val="129"/>
      </rPr>
      <t>L=25m</t>
    </r>
  </si>
  <si>
    <r>
      <rPr>
        <sz val="9"/>
        <color rgb="FF000000"/>
        <rFont val="Noto Sans CJK SC"/>
        <family val="2"/>
      </rPr>
      <t>지반보강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고압분사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</si>
  <si>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>직경</t>
    </r>
    <r>
      <rPr>
        <sz val="9"/>
        <color rgb="FF000000"/>
        <rFont val="맑은 고딕"/>
        <family val="3"/>
        <charset val="129"/>
      </rPr>
      <t>800mm L=25m</t>
    </r>
  </si>
  <si>
    <t>배수공</t>
  </si>
  <si>
    <r>
      <rPr>
        <sz val="9"/>
        <color rgb="FF000000"/>
        <rFont val="Noto Sans CJK SC"/>
        <family val="2"/>
      </rPr>
      <t>암거공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지중강판</t>
    </r>
    <r>
      <rPr>
        <sz val="9"/>
        <color rgb="FF000000"/>
        <rFont val="맑은 고딕"/>
        <family val="3"/>
        <charset val="129"/>
      </rPr>
      <t>)</t>
    </r>
  </si>
  <si>
    <t>B=5m L=15m</t>
  </si>
  <si>
    <r>
      <rPr>
        <sz val="9"/>
        <color rgb="FF000000"/>
        <rFont val="맑은 고딕"/>
        <family val="3"/>
        <charset val="129"/>
      </rPr>
      <t>span/</t>
    </r>
    <r>
      <rPr>
        <sz val="9"/>
        <color rgb="FF000000"/>
        <rFont val="Noto Sans CJK SC"/>
        <family val="2"/>
      </rPr>
      <t>일</t>
    </r>
  </si>
  <si>
    <r>
      <rPr>
        <sz val="9"/>
        <color rgb="FF000000"/>
        <rFont val="Noto Sans CJK SC"/>
        <family val="2"/>
      </rPr>
      <t>암거공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철콘</t>
    </r>
    <r>
      <rPr>
        <sz val="9"/>
        <color rgb="FF000000"/>
        <rFont val="맑은 고딕"/>
        <family val="3"/>
        <charset val="129"/>
      </rPr>
      <t>)</t>
    </r>
  </si>
  <si>
    <t>B=3m H=1.8m L=15m</t>
  </si>
  <si>
    <t>날개벽</t>
  </si>
  <si>
    <r>
      <rPr>
        <sz val="9"/>
        <color rgb="FF000000"/>
        <rFont val="맑은 고딕"/>
        <family val="3"/>
        <charset val="129"/>
      </rPr>
      <t xml:space="preserve">B=2.5m H=2.4m L=5m </t>
    </r>
    <r>
      <rPr>
        <sz val="9"/>
        <color rgb="FF000000"/>
        <rFont val="Noto Sans CJK SC"/>
        <family val="2"/>
      </rPr>
      <t>옹벽식</t>
    </r>
  </si>
  <si>
    <r>
      <rPr>
        <sz val="9"/>
        <color rgb="FF000000"/>
        <rFont val="Noto Sans CJK SC"/>
        <family val="2"/>
      </rPr>
      <t>배수관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흄관</t>
    </r>
    <r>
      <rPr>
        <sz val="9"/>
        <color rgb="FF000000"/>
        <rFont val="맑은 고딕"/>
        <family val="3"/>
        <charset val="129"/>
      </rPr>
      <t>/VR)</t>
    </r>
  </si>
  <si>
    <r>
      <rPr>
        <sz val="9"/>
        <color rgb="FF000000"/>
        <rFont val="맑은 고딕"/>
        <family val="3"/>
        <charset val="129"/>
      </rPr>
      <t xml:space="preserve">D600 </t>
    </r>
    <r>
      <rPr>
        <sz val="9"/>
        <color rgb="FF000000"/>
        <rFont val="Noto Sans CJK SC"/>
        <family val="2"/>
      </rPr>
      <t>고무링접합</t>
    </r>
  </si>
  <si>
    <r>
      <rPr>
        <sz val="9"/>
        <color rgb="FF000000"/>
        <rFont val="Noto Sans CJK SC"/>
        <family val="2"/>
      </rPr>
      <t>배수관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강관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</si>
  <si>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맑은 고딕"/>
        <family val="3"/>
        <charset val="129"/>
      </rPr>
      <t xml:space="preserve">D800 </t>
    </r>
    <r>
      <rPr>
        <sz val="9"/>
        <color rgb="FF000000"/>
        <rFont val="Noto Sans CJK SC"/>
        <family val="2"/>
      </rPr>
      <t>접합제외</t>
    </r>
  </si>
  <si>
    <r>
      <rPr>
        <sz val="9"/>
        <color rgb="FF000000"/>
        <rFont val="Noto Sans CJK SC"/>
        <family val="2"/>
      </rPr>
      <t>배수관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강관압입추진</t>
    </r>
    <r>
      <rPr>
        <sz val="9"/>
        <color rgb="FF000000"/>
        <rFont val="맑은 고딕"/>
        <family val="3"/>
        <charset val="129"/>
      </rPr>
      <t>)</t>
    </r>
  </si>
  <si>
    <t>D800</t>
  </si>
  <si>
    <r>
      <rPr>
        <sz val="9"/>
        <color rgb="FF000000"/>
        <rFont val="Noto Sans CJK SC"/>
        <family val="2"/>
      </rPr>
      <t>옹벽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콘크리트</t>
    </r>
    <r>
      <rPr>
        <sz val="9"/>
        <color rgb="FF000000"/>
        <rFont val="맑은 고딕"/>
        <family val="3"/>
        <charset val="129"/>
      </rPr>
      <t>)</t>
    </r>
  </si>
  <si>
    <t>B=4m H=5m L=15m</t>
  </si>
  <si>
    <r>
      <rPr>
        <sz val="9"/>
        <color rgb="FF000000"/>
        <rFont val="Noto Sans CJK SC"/>
        <family val="2"/>
      </rPr>
      <t>옹벽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보강토</t>
    </r>
    <r>
      <rPr>
        <sz val="9"/>
        <color rgb="FF000000"/>
        <rFont val="맑은 고딕"/>
        <family val="3"/>
        <charset val="129"/>
      </rPr>
      <t>)</t>
    </r>
  </si>
  <si>
    <t>블록식 뒤채움제외</t>
  </si>
  <si>
    <r>
      <rPr>
        <sz val="9"/>
        <color rgb="FF000000"/>
        <rFont val="맑은 고딕"/>
        <family val="3"/>
        <charset val="129"/>
      </rPr>
      <t>L</t>
    </r>
    <r>
      <rPr>
        <sz val="9"/>
        <color rgb="FF000000"/>
        <rFont val="Noto Sans CJK SC"/>
        <family val="2"/>
      </rPr>
      <t>형측구</t>
    </r>
  </si>
  <si>
    <t>B=0.9 H=2.3 L=20m</t>
  </si>
  <si>
    <r>
      <rPr>
        <sz val="9"/>
        <color rgb="FF000000"/>
        <rFont val="맑은 고딕"/>
        <family val="3"/>
        <charset val="129"/>
      </rPr>
      <t>U</t>
    </r>
    <r>
      <rPr>
        <sz val="9"/>
        <color rgb="FF000000"/>
        <rFont val="Noto Sans CJK SC"/>
        <family val="2"/>
      </rPr>
      <t>형측구</t>
    </r>
  </si>
  <si>
    <t>B=1.08 H=1.0 L=20m</t>
  </si>
  <si>
    <t>포장</t>
  </si>
  <si>
    <t>아스팔트 보조기층</t>
  </si>
  <si>
    <r>
      <rPr>
        <sz val="9"/>
        <color rgb="FF000000"/>
        <rFont val="Noto Sans CJK SC"/>
        <family val="2"/>
      </rPr>
      <t>대형다짐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본선</t>
    </r>
  </si>
  <si>
    <r>
      <rPr>
        <sz val="9"/>
        <color rgb="FF000000"/>
        <rFont val="Noto Sans CJK SC"/>
        <family val="2"/>
      </rPr>
      <t>아스팔트 기층</t>
    </r>
    <r>
      <rPr>
        <sz val="9"/>
        <color rgb="FF000000"/>
        <rFont val="맑은 고딕"/>
        <family val="3"/>
        <charset val="129"/>
      </rPr>
      <t>(5~7</t>
    </r>
    <r>
      <rPr>
        <sz val="9"/>
        <color rgb="FF000000"/>
        <rFont val="Noto Sans CJK SC"/>
        <family val="2"/>
      </rPr>
      <t>㎝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</si>
  <si>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맑은 고딕"/>
        <family val="3"/>
        <charset val="129"/>
      </rPr>
      <t>3m≤</t>
    </r>
    <r>
      <rPr>
        <sz val="9"/>
        <color rgb="FF000000"/>
        <rFont val="Noto Sans CJK SC"/>
        <family val="2"/>
      </rPr>
      <t>폭</t>
    </r>
  </si>
  <si>
    <r>
      <rPr>
        <sz val="9"/>
        <color rgb="FF000000"/>
        <rFont val="Noto Sans CJK SC"/>
        <family val="2"/>
      </rPr>
      <t>아스팔트 기층</t>
    </r>
    <r>
      <rPr>
        <sz val="9"/>
        <color rgb="FF000000"/>
        <rFont val="맑은 고딕"/>
        <family val="3"/>
        <charset val="129"/>
      </rPr>
      <t>(8~10</t>
    </r>
    <r>
      <rPr>
        <sz val="9"/>
        <color rgb="FF000000"/>
        <rFont val="Noto Sans CJK SC"/>
        <family val="2"/>
      </rPr>
      <t>㎝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</si>
  <si>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>아스팔트 중간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표층</t>
    </r>
  </si>
  <si>
    <r>
      <rPr>
        <sz val="9"/>
        <color rgb="FF000000"/>
        <rFont val="맑은 고딕"/>
        <family val="3"/>
        <charset val="129"/>
      </rPr>
      <t>3m≤</t>
    </r>
    <r>
      <rPr>
        <sz val="9"/>
        <color rgb="FF000000"/>
        <rFont val="Noto Sans CJK SC"/>
        <family val="2"/>
      </rPr>
      <t xml:space="preserve">시공폭 </t>
    </r>
    <r>
      <rPr>
        <sz val="9"/>
        <color rgb="FF000000"/>
        <rFont val="맑은 고딕"/>
        <family val="3"/>
        <charset val="129"/>
      </rPr>
      <t>5~7</t>
    </r>
    <r>
      <rPr>
        <sz val="9"/>
        <color rgb="FF000000"/>
        <rFont val="Noto Sans CJK SC"/>
        <family val="2"/>
      </rPr>
      <t>㎝</t>
    </r>
  </si>
  <si>
    <t>린콘크리트</t>
  </si>
  <si>
    <t>기층 포설</t>
  </si>
  <si>
    <r>
      <rPr>
        <sz val="9"/>
        <color rgb="FF000000"/>
        <rFont val="Noto Sans CJK SC"/>
        <family val="2"/>
      </rPr>
      <t>콘크리트표층</t>
    </r>
    <r>
      <rPr>
        <sz val="9"/>
        <color rgb="FF000000"/>
        <rFont val="맑은 고딕"/>
        <family val="3"/>
        <charset val="129"/>
      </rPr>
      <t>(1</t>
    </r>
    <r>
      <rPr>
        <sz val="9"/>
        <color rgb="FF000000"/>
        <rFont val="Noto Sans CJK SC"/>
        <family val="2"/>
      </rPr>
      <t>차로</t>
    </r>
    <r>
      <rPr>
        <sz val="9"/>
        <color rgb="FF000000"/>
        <rFont val="맑은 고딕"/>
        <family val="3"/>
        <charset val="129"/>
      </rPr>
      <t>)</t>
    </r>
  </si>
  <si>
    <t>일반구간</t>
  </si>
  <si>
    <r>
      <rPr>
        <sz val="9"/>
        <color rgb="FF000000"/>
        <rFont val="Noto Sans CJK SC"/>
        <family val="2"/>
      </rPr>
      <t>콘크리트표층</t>
    </r>
    <r>
      <rPr>
        <sz val="9"/>
        <color rgb="FF000000"/>
        <rFont val="맑은 고딕"/>
        <family val="3"/>
        <charset val="129"/>
      </rPr>
      <t>(2</t>
    </r>
    <r>
      <rPr>
        <sz val="9"/>
        <color rgb="FF000000"/>
        <rFont val="Noto Sans CJK SC"/>
        <family val="2"/>
      </rPr>
      <t>차로</t>
    </r>
    <r>
      <rPr>
        <sz val="9"/>
        <color rgb="FF000000"/>
        <rFont val="맑은 고딕"/>
        <family val="3"/>
        <charset val="129"/>
      </rPr>
      <t>)</t>
    </r>
  </si>
  <si>
    <t>교량</t>
  </si>
  <si>
    <t>직접기초</t>
  </si>
  <si>
    <r>
      <rPr>
        <sz val="9"/>
        <color rgb="FF000000"/>
        <rFont val="맑은 고딕"/>
        <family val="3"/>
        <charset val="129"/>
      </rPr>
      <t>1</t>
    </r>
    <r>
      <rPr>
        <sz val="9"/>
        <color rgb="FF000000"/>
        <rFont val="Noto Sans CJK SC"/>
        <family val="2"/>
      </rPr>
      <t>개소</t>
    </r>
  </si>
  <si>
    <t>말뚝기초</t>
  </si>
  <si>
    <r>
      <rPr>
        <sz val="9"/>
        <color rgb="FF000000"/>
        <rFont val="맑은 고딕"/>
        <family val="3"/>
        <charset val="129"/>
      </rPr>
      <t xml:space="preserve">SDA 20m </t>
    </r>
    <r>
      <rPr>
        <sz val="9"/>
        <color rgb="FF000000"/>
        <rFont val="Noto Sans CJK SC"/>
        <family val="2"/>
      </rPr>
      <t>이상</t>
    </r>
  </si>
  <si>
    <t>교대벽체</t>
  </si>
  <si>
    <t>1Lot=2.5m</t>
  </si>
  <si>
    <r>
      <rPr>
        <sz val="9"/>
        <color rgb="FF000000"/>
        <rFont val="맑은 고딕"/>
        <family val="3"/>
        <charset val="129"/>
      </rPr>
      <t>Lot/</t>
    </r>
    <r>
      <rPr>
        <sz val="9"/>
        <color rgb="FF000000"/>
        <rFont val="Noto Sans CJK SC"/>
        <family val="2"/>
      </rPr>
      <t>일</t>
    </r>
  </si>
  <si>
    <t>교각기둥</t>
  </si>
  <si>
    <t>1Lot=3.0m</t>
  </si>
  <si>
    <t>코핑</t>
  </si>
  <si>
    <t>거더제작</t>
  </si>
  <si>
    <r>
      <rPr>
        <sz val="9"/>
        <color rgb="FF000000"/>
        <rFont val="맑은 고딕"/>
        <family val="3"/>
        <charset val="129"/>
      </rPr>
      <t>1</t>
    </r>
    <r>
      <rPr>
        <sz val="9"/>
        <color rgb="FF000000"/>
        <rFont val="Noto Sans CJK SC"/>
        <family val="2"/>
      </rPr>
      <t>본</t>
    </r>
  </si>
  <si>
    <r>
      <rPr>
        <sz val="9"/>
        <color rgb="FF000000"/>
        <rFont val="Noto Sans CJK SC"/>
        <family val="2"/>
      </rPr>
      <t>거더 운반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거치</t>
    </r>
  </si>
  <si>
    <r>
      <rPr>
        <sz val="9"/>
        <color rgb="FF000000"/>
        <rFont val="Noto Sans CJK SC"/>
        <family val="2"/>
      </rPr>
      <t>상부슬래브</t>
    </r>
    <r>
      <rPr>
        <sz val="9"/>
        <color rgb="FF000000"/>
        <rFont val="맑은 고딕"/>
        <family val="3"/>
        <charset val="129"/>
      </rPr>
      <t>(1</t>
    </r>
    <r>
      <rPr>
        <sz val="9"/>
        <color rgb="FF000000"/>
        <rFont val="Noto Sans CJK SC"/>
        <family val="2"/>
      </rPr>
      <t>경간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</si>
  <si>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맑은 고딕"/>
        <family val="3"/>
        <charset val="129"/>
      </rPr>
      <t>1</t>
    </r>
    <r>
      <rPr>
        <sz val="9"/>
        <color rgb="FF000000"/>
        <rFont val="Noto Sans CJK SC"/>
        <family val="2"/>
      </rPr>
      <t>경간</t>
    </r>
  </si>
  <si>
    <r>
      <rPr>
        <sz val="9"/>
        <color rgb="FF000000"/>
        <rFont val="Noto Sans CJK SC"/>
        <family val="2"/>
      </rPr>
      <t>경간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일</t>
    </r>
  </si>
  <si>
    <t>터널</t>
  </si>
  <si>
    <t>갱구부 보강</t>
  </si>
  <si>
    <r>
      <rPr>
        <sz val="9"/>
        <color rgb="FF000000"/>
        <rFont val="Noto Sans CJK SC"/>
        <family val="2"/>
      </rPr>
      <t>시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종점부</t>
    </r>
  </si>
  <si>
    <r>
      <rPr>
        <sz val="9"/>
        <color rgb="FF000000"/>
        <rFont val="Noto Sans CJK SC"/>
        <family val="2"/>
      </rPr>
      <t xml:space="preserve">굴착및보강 </t>
    </r>
    <r>
      <rPr>
        <sz val="9"/>
        <color rgb="FF000000"/>
        <rFont val="맑은 고딕"/>
        <family val="3"/>
        <charset val="129"/>
      </rPr>
      <t>P-1</t>
    </r>
  </si>
  <si>
    <t>사이클타임</t>
  </si>
  <si>
    <r>
      <rPr>
        <sz val="9"/>
        <color rgb="FF000000"/>
        <rFont val="Noto Sans CJK SC"/>
        <family val="2"/>
      </rPr>
      <t xml:space="preserve">굴착및보강 </t>
    </r>
    <r>
      <rPr>
        <sz val="9"/>
        <color rgb="FF000000"/>
        <rFont val="맑은 고딕"/>
        <family val="3"/>
        <charset val="129"/>
      </rPr>
      <t>P-3</t>
    </r>
  </si>
  <si>
    <r>
      <rPr>
        <sz val="9"/>
        <color rgb="FF000000"/>
        <rFont val="Noto Sans CJK SC"/>
        <family val="2"/>
      </rPr>
      <t xml:space="preserve">굴착및보강 </t>
    </r>
    <r>
      <rPr>
        <sz val="9"/>
        <color rgb="FF000000"/>
        <rFont val="맑은 고딕"/>
        <family val="3"/>
        <charset val="129"/>
      </rPr>
      <t>P-5(</t>
    </r>
    <r>
      <rPr>
        <sz val="9"/>
        <color rgb="FF000000"/>
        <rFont val="Noto Sans CJK SC"/>
        <family val="2"/>
      </rPr>
      <t>상반</t>
    </r>
    <r>
      <rPr>
        <sz val="9"/>
        <color rgb="FF000000"/>
        <rFont val="맑은 고딕"/>
        <family val="3"/>
        <charset val="129"/>
      </rPr>
      <t>)</t>
    </r>
  </si>
  <si>
    <t>방수</t>
  </si>
  <si>
    <t>라이닝 콘크리트</t>
  </si>
  <si>
    <t>건축</t>
  </si>
  <si>
    <t>가설</t>
  </si>
  <si>
    <t>콘테이너형 가설건축물</t>
  </si>
  <si>
    <r>
      <rPr>
        <sz val="9"/>
        <color rgb="FF000000"/>
        <rFont val="Noto Sans CJK SC"/>
        <family val="2"/>
      </rPr>
      <t>길이</t>
    </r>
    <r>
      <rPr>
        <sz val="9"/>
        <color rgb="FF000000"/>
        <rFont val="맑은 고딕"/>
        <family val="3"/>
        <charset val="129"/>
      </rPr>
      <t xml:space="preserve">9m </t>
    </r>
    <r>
      <rPr>
        <sz val="9"/>
        <color rgb="FF000000"/>
        <rFont val="Noto Sans CJK SC"/>
        <family val="2"/>
      </rPr>
      <t>폭</t>
    </r>
    <r>
      <rPr>
        <sz val="9"/>
        <color rgb="FF000000"/>
        <rFont val="맑은 고딕"/>
        <family val="3"/>
        <charset val="129"/>
      </rPr>
      <t>3m</t>
    </r>
  </si>
  <si>
    <r>
      <rPr>
        <sz val="9"/>
        <color rgb="FF000000"/>
        <rFont val="Noto Sans CJK SC"/>
        <family val="2"/>
      </rPr>
      <t>개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일</t>
    </r>
  </si>
  <si>
    <t>강관지주 설치</t>
  </si>
  <si>
    <r>
      <rPr>
        <sz val="9"/>
        <color rgb="FF000000"/>
        <rFont val="Noto Sans CJK SC"/>
        <family val="2"/>
      </rPr>
      <t>높이</t>
    </r>
    <r>
      <rPr>
        <sz val="9"/>
        <color rgb="FF000000"/>
        <rFont val="맑은 고딕"/>
        <family val="3"/>
        <charset val="129"/>
      </rPr>
      <t xml:space="preserve">3.5m </t>
    </r>
    <r>
      <rPr>
        <sz val="9"/>
        <color rgb="FF000000"/>
        <rFont val="Noto Sans CJK SC"/>
        <family val="2"/>
      </rPr>
      <t>간격</t>
    </r>
    <r>
      <rPr>
        <sz val="9"/>
        <color rgb="FF000000"/>
        <rFont val="맑은 고딕"/>
        <family val="3"/>
        <charset val="129"/>
      </rPr>
      <t>2.0m</t>
    </r>
  </si>
  <si>
    <r>
      <rPr>
        <sz val="9"/>
        <color rgb="FF000000"/>
        <rFont val="Noto Sans CJK SC"/>
        <family val="2"/>
      </rPr>
      <t>가설울타리</t>
    </r>
    <r>
      <rPr>
        <sz val="9"/>
        <color rgb="FF000000"/>
        <rFont val="맑은 고딕"/>
        <family val="3"/>
        <charset val="129"/>
      </rPr>
      <t>(EGI)</t>
    </r>
  </si>
  <si>
    <r>
      <rPr>
        <sz val="9"/>
        <color rgb="FF000000"/>
        <rFont val="Noto Sans CJK SC"/>
        <family val="2"/>
      </rPr>
      <t>높이</t>
    </r>
    <r>
      <rPr>
        <sz val="9"/>
        <color rgb="FF000000"/>
        <rFont val="맑은 고딕"/>
        <family val="3"/>
        <charset val="129"/>
      </rPr>
      <t>3.0m</t>
    </r>
  </si>
  <si>
    <t>강관비계</t>
  </si>
  <si>
    <r>
      <rPr>
        <sz val="9"/>
        <color rgb="FF000000"/>
        <rFont val="Noto Sans CJK SC"/>
        <family val="2"/>
      </rPr>
      <t>높이</t>
    </r>
    <r>
      <rPr>
        <sz val="9"/>
        <color rgb="FF000000"/>
        <rFont val="맑은 고딕"/>
        <family val="3"/>
        <charset val="129"/>
      </rPr>
      <t xml:space="preserve">10m </t>
    </r>
    <r>
      <rPr>
        <sz val="9"/>
        <color rgb="FF000000"/>
        <rFont val="Noto Sans CJK SC"/>
        <family val="2"/>
      </rPr>
      <t>쌍줄</t>
    </r>
  </si>
  <si>
    <t>시스템비계</t>
  </si>
  <si>
    <r>
      <rPr>
        <sz val="9"/>
        <color rgb="FF000000"/>
        <rFont val="맑은 고딕"/>
        <family val="3"/>
        <charset val="129"/>
      </rPr>
      <t xml:space="preserve">10m </t>
    </r>
    <r>
      <rPr>
        <sz val="9"/>
        <color rgb="FF000000"/>
        <rFont val="Noto Sans CJK SC"/>
        <family val="2"/>
      </rPr>
      <t>이하</t>
    </r>
  </si>
  <si>
    <r>
      <rPr>
        <sz val="9"/>
        <color rgb="FF000000"/>
        <rFont val="Noto Sans CJK SC"/>
        <family val="2"/>
      </rPr>
      <t>토사굴착</t>
    </r>
    <r>
      <rPr>
        <sz val="9"/>
        <color rgb="FF000000"/>
        <rFont val="맑은 고딕"/>
        <family val="3"/>
        <charset val="129"/>
      </rPr>
      <t>(0.6</t>
    </r>
    <r>
      <rPr>
        <sz val="9"/>
        <color rgb="FF000000"/>
        <rFont val="Noto Sans CJK SC"/>
        <family val="2"/>
      </rPr>
      <t>㎥</t>
    </r>
    <r>
      <rPr>
        <sz val="9"/>
        <color rgb="FF000000"/>
        <rFont val="맑은 고딕"/>
        <family val="3"/>
        <charset val="129"/>
      </rPr>
      <t>)</t>
    </r>
  </si>
  <si>
    <t>보통토</t>
  </si>
  <si>
    <r>
      <rPr>
        <sz val="9"/>
        <color rgb="FF000000"/>
        <rFont val="Noto Sans CJK SC"/>
        <family val="2"/>
      </rPr>
      <t>토사굴착</t>
    </r>
    <r>
      <rPr>
        <sz val="9"/>
        <color rgb="FF000000"/>
        <rFont val="맑은 고딕"/>
        <family val="3"/>
        <charset val="129"/>
      </rPr>
      <t>(1.0</t>
    </r>
    <r>
      <rPr>
        <sz val="9"/>
        <color rgb="FF000000"/>
        <rFont val="Noto Sans CJK SC"/>
        <family val="2"/>
      </rPr>
      <t>㎥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</si>
  <si>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>토사굴착</t>
    </r>
    <r>
      <rPr>
        <sz val="9"/>
        <color rgb="FF000000"/>
        <rFont val="맑은 고딕"/>
        <family val="3"/>
        <charset val="129"/>
      </rPr>
      <t>(1.0</t>
    </r>
    <r>
      <rPr>
        <sz val="9"/>
        <color rgb="FF000000"/>
        <rFont val="Noto Sans CJK SC"/>
        <family val="2"/>
      </rPr>
      <t>㎥</t>
    </r>
    <r>
      <rPr>
        <sz val="9"/>
        <color rgb="FF000000"/>
        <rFont val="맑은 고딕"/>
        <family val="3"/>
        <charset val="129"/>
      </rPr>
      <t>,</t>
    </r>
    <r>
      <rPr>
        <sz val="9"/>
        <color rgb="FF000000"/>
        <rFont val="Noto Sans CJK SC"/>
        <family val="2"/>
      </rPr>
      <t>지장물</t>
    </r>
    <r>
      <rPr>
        <sz val="9"/>
        <color rgb="FF000000"/>
        <rFont val="맑은 고딕"/>
        <family val="3"/>
        <charset val="129"/>
      </rPr>
      <t>)</t>
    </r>
  </si>
  <si>
    <t>불량</t>
  </si>
  <si>
    <t>기초지정</t>
  </si>
  <si>
    <t>모래지정</t>
  </si>
  <si>
    <t>기초</t>
  </si>
  <si>
    <r>
      <rPr>
        <sz val="9"/>
        <color rgb="FF000000"/>
        <rFont val="Noto Sans CJK SC"/>
        <family val="2"/>
      </rPr>
      <t>수평지보공</t>
    </r>
    <r>
      <rPr>
        <sz val="9"/>
        <color rgb="FF000000"/>
        <rFont val="맑은 고딕"/>
        <family val="3"/>
        <charset val="129"/>
      </rPr>
      <t>(H-Beam)</t>
    </r>
    <r>
      <rPr>
        <sz val="9"/>
        <color rgb="FF000000"/>
        <rFont val="Noto Sans CJK SC"/>
        <family val="2"/>
      </rPr>
      <t>설치</t>
    </r>
  </si>
  <si>
    <r>
      <rPr>
        <sz val="9"/>
        <color rgb="FF000000"/>
        <rFont val="맑은 고딕"/>
        <family val="3"/>
        <charset val="129"/>
      </rPr>
      <t>H=500</t>
    </r>
    <r>
      <rPr>
        <sz val="9"/>
        <color rgb="FF000000"/>
        <rFont val="Noto Sans CJK SC"/>
        <family val="2"/>
      </rPr>
      <t xml:space="preserve">이하 </t>
    </r>
    <r>
      <rPr>
        <sz val="9"/>
        <color rgb="FF000000"/>
        <rFont val="맑은 고딕"/>
        <family val="3"/>
        <charset val="129"/>
      </rPr>
      <t>L9~11m</t>
    </r>
  </si>
  <si>
    <r>
      <rPr>
        <sz val="9"/>
        <color rgb="FF000000"/>
        <rFont val="맑은 고딕"/>
        <family val="3"/>
        <charset val="129"/>
      </rPr>
      <t xml:space="preserve">H-Beam </t>
    </r>
    <r>
      <rPr>
        <sz val="9"/>
        <color rgb="FF000000"/>
        <rFont val="Noto Sans CJK SC"/>
        <family val="2"/>
      </rPr>
      <t>철거</t>
    </r>
  </si>
  <si>
    <r>
      <rPr>
        <sz val="9"/>
        <color rgb="FF000000"/>
        <rFont val="맑은 고딕"/>
        <family val="3"/>
        <charset val="129"/>
      </rPr>
      <t>H=500</t>
    </r>
    <r>
      <rPr>
        <sz val="9"/>
        <color rgb="FF000000"/>
        <rFont val="Noto Sans CJK SC"/>
        <family val="2"/>
      </rPr>
      <t>이하</t>
    </r>
  </si>
  <si>
    <r>
      <rPr>
        <sz val="9"/>
        <color rgb="FF000000"/>
        <rFont val="Noto Sans CJK SC"/>
        <family val="2"/>
      </rPr>
      <t>기성말뚝기초</t>
    </r>
    <r>
      <rPr>
        <sz val="9"/>
        <color rgb="FF000000"/>
        <rFont val="맑은 고딕"/>
        <family val="3"/>
        <charset val="129"/>
      </rPr>
      <t>(PHC)</t>
    </r>
  </si>
  <si>
    <r>
      <rPr>
        <sz val="9"/>
        <color rgb="FF000000"/>
        <rFont val="맑은 고딕"/>
        <family val="3"/>
        <charset val="129"/>
      </rPr>
      <t xml:space="preserve">D508 L12m </t>
    </r>
    <r>
      <rPr>
        <sz val="9"/>
        <color rgb="FF000000"/>
        <rFont val="Noto Sans CJK SC"/>
        <family val="2"/>
      </rPr>
      <t>점질토</t>
    </r>
  </si>
  <si>
    <r>
      <rPr>
        <sz val="9"/>
        <color rgb="FF000000"/>
        <rFont val="맑은 고딕"/>
        <family val="3"/>
        <charset val="129"/>
      </rPr>
      <t>D500</t>
    </r>
    <r>
      <rPr>
        <sz val="9"/>
        <color rgb="FF000000"/>
        <rFont val="Noto Sans CJK SC"/>
        <family val="2"/>
      </rPr>
      <t xml:space="preserve">미만 </t>
    </r>
    <r>
      <rPr>
        <sz val="9"/>
        <color rgb="FF000000"/>
        <rFont val="맑은 고딕"/>
        <family val="3"/>
        <charset val="129"/>
      </rPr>
      <t>L12m</t>
    </r>
  </si>
  <si>
    <t>강관말뚝 두부정리</t>
  </si>
  <si>
    <t>D500</t>
  </si>
  <si>
    <t>콘크리트말뚝 두부정리</t>
  </si>
  <si>
    <t>철근콘크리트</t>
  </si>
  <si>
    <t>철근가공</t>
  </si>
  <si>
    <r>
      <rPr>
        <sz val="9"/>
        <color rgb="FF000000"/>
        <rFont val="맑은 고딕"/>
        <family val="3"/>
        <charset val="129"/>
      </rPr>
      <t xml:space="preserve">Type-Ⅱ </t>
    </r>
    <r>
      <rPr>
        <sz val="9"/>
        <color rgb="FF000000"/>
        <rFont val="Noto Sans CJK SC"/>
        <family val="2"/>
      </rPr>
      <t>인력</t>
    </r>
  </si>
  <si>
    <r>
      <rPr>
        <sz val="9"/>
        <color rgb="FF000000"/>
        <rFont val="맑은 고딕"/>
        <family val="3"/>
        <charset val="129"/>
      </rPr>
      <t>ton/</t>
    </r>
    <r>
      <rPr>
        <sz val="9"/>
        <color rgb="FF000000"/>
        <rFont val="Noto Sans CJK SC"/>
        <family val="2"/>
      </rPr>
      <t>일</t>
    </r>
  </si>
  <si>
    <r>
      <rPr>
        <sz val="9"/>
        <color rgb="FF000000"/>
        <rFont val="Noto Sans CJK SC"/>
        <family val="2"/>
      </rPr>
      <t>철근조립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토목</t>
    </r>
    <r>
      <rPr>
        <sz val="9"/>
        <color rgb="FF000000"/>
        <rFont val="맑은 고딕"/>
        <family val="3"/>
        <charset val="129"/>
      </rPr>
      <t>)</t>
    </r>
  </si>
  <si>
    <t>Type-Ⅱ-1</t>
  </si>
  <si>
    <r>
      <rPr>
        <sz val="9"/>
        <color rgb="FF000000"/>
        <rFont val="Noto Sans CJK SC"/>
        <family val="2"/>
      </rPr>
      <t>철근조립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건축Ⅰ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</si>
  <si>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맑은 고딕"/>
        <family val="3"/>
        <charset val="129"/>
      </rPr>
      <t>D13</t>
    </r>
    <r>
      <rPr>
        <sz val="9"/>
        <color rgb="FF000000"/>
        <rFont val="Noto Sans CJK SC"/>
        <family val="2"/>
      </rPr>
      <t xml:space="preserve">이하 </t>
    </r>
    <r>
      <rPr>
        <sz val="9"/>
        <color rgb="FF000000"/>
        <rFont val="맑은 고딕"/>
        <family val="3"/>
        <charset val="129"/>
      </rPr>
      <t>50%</t>
    </r>
    <r>
      <rPr>
        <sz val="9"/>
        <color rgb="FF000000"/>
        <rFont val="Noto Sans CJK SC"/>
        <family val="2"/>
      </rPr>
      <t>미만</t>
    </r>
  </si>
  <si>
    <r>
      <rPr>
        <sz val="9"/>
        <color rgb="FF000000"/>
        <rFont val="Noto Sans CJK SC"/>
        <family val="2"/>
      </rPr>
      <t>철근조립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건축Ⅱ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</si>
  <si>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맑은 고딕"/>
        <family val="3"/>
        <charset val="129"/>
      </rPr>
      <t>D13</t>
    </r>
    <r>
      <rPr>
        <sz val="9"/>
        <color rgb="FF000000"/>
        <rFont val="Noto Sans CJK SC"/>
        <family val="2"/>
      </rPr>
      <t xml:space="preserve">이하 </t>
    </r>
    <r>
      <rPr>
        <sz val="9"/>
        <color rgb="FF000000"/>
        <rFont val="맑은 고딕"/>
        <family val="3"/>
        <charset val="129"/>
      </rPr>
      <t>50%</t>
    </r>
    <r>
      <rPr>
        <sz val="9"/>
        <color rgb="FF000000"/>
        <rFont val="Noto Sans CJK SC"/>
        <family val="2"/>
      </rPr>
      <t>이상</t>
    </r>
  </si>
  <si>
    <r>
      <rPr>
        <sz val="9"/>
        <color rgb="FF000000"/>
        <rFont val="Noto Sans CJK SC"/>
        <family val="2"/>
      </rPr>
      <t>합판거푸집 설치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보통</t>
    </r>
    <r>
      <rPr>
        <sz val="9"/>
        <color rgb="FF000000"/>
        <rFont val="맑은 고딕"/>
        <family val="3"/>
        <charset val="129"/>
      </rPr>
      <t>)</t>
    </r>
  </si>
  <si>
    <t>12mm</t>
  </si>
  <si>
    <r>
      <rPr>
        <sz val="9"/>
        <color rgb="FF000000"/>
        <rFont val="Noto Sans CJK SC"/>
        <family val="2"/>
      </rPr>
      <t>합판거푸집 설치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복잡</t>
    </r>
    <r>
      <rPr>
        <sz val="9"/>
        <color rgb="FF000000"/>
        <rFont val="맑은 고딕"/>
        <family val="3"/>
        <charset val="129"/>
      </rPr>
      <t>)</t>
    </r>
  </si>
  <si>
    <t>합판거푸집 해체</t>
  </si>
  <si>
    <r>
      <rPr>
        <sz val="9"/>
        <color rgb="FF000000"/>
        <rFont val="Noto Sans CJK SC"/>
        <family val="2"/>
      </rPr>
      <t>유로폼 설치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보통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</si>
  <si>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맑은 고딕"/>
        <family val="3"/>
        <charset val="129"/>
      </rPr>
      <t xml:space="preserve">7m </t>
    </r>
    <r>
      <rPr>
        <sz val="9"/>
        <color rgb="FF000000"/>
        <rFont val="Noto Sans CJK SC"/>
        <family val="2"/>
      </rPr>
      <t>이하</t>
    </r>
  </si>
  <si>
    <t>유로폼 해체</t>
  </si>
  <si>
    <r>
      <rPr>
        <sz val="9"/>
        <color rgb="FF000000"/>
        <rFont val="Noto Sans CJK SC"/>
        <family val="2"/>
      </rPr>
      <t>갱폼 설치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해체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일반층</t>
    </r>
    <r>
      <rPr>
        <sz val="9"/>
        <color rgb="FF000000"/>
        <rFont val="맑은 고딕"/>
        <family val="3"/>
        <charset val="129"/>
      </rPr>
      <t>)</t>
    </r>
  </si>
  <si>
    <t>시스템동바리</t>
  </si>
  <si>
    <r>
      <rPr>
        <sz val="9"/>
        <color rgb="FF000000"/>
        <rFont val="Noto Sans CJK SC"/>
        <family val="2"/>
      </rPr>
      <t>콘크리트타설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무근</t>
    </r>
    <r>
      <rPr>
        <sz val="9"/>
        <color rgb="FF000000"/>
        <rFont val="맑은 고딕"/>
        <family val="3"/>
        <charset val="129"/>
      </rPr>
      <t>,f1-Ⅰ)</t>
    </r>
  </si>
  <si>
    <r>
      <rPr>
        <sz val="9"/>
        <color rgb="FF000000"/>
        <rFont val="Noto Sans CJK SC"/>
        <family val="2"/>
      </rPr>
      <t xml:space="preserve">펌프카 </t>
    </r>
    <r>
      <rPr>
        <sz val="9"/>
        <color rgb="FF000000"/>
        <rFont val="맑은 고딕"/>
        <family val="3"/>
        <charset val="129"/>
      </rPr>
      <t>80</t>
    </r>
    <r>
      <rPr>
        <sz val="9"/>
        <color rgb="FF000000"/>
        <rFont val="Noto Sans CJK SC"/>
        <family val="2"/>
      </rPr>
      <t>㎥</t>
    </r>
    <r>
      <rPr>
        <sz val="9"/>
        <color rgb="FF000000"/>
        <rFont val="맑은 고딕"/>
        <family val="3"/>
        <charset val="129"/>
      </rPr>
      <t>/hr</t>
    </r>
  </si>
  <si>
    <r>
      <rPr>
        <sz val="9"/>
        <color rgb="FF000000"/>
        <rFont val="Noto Sans CJK SC"/>
        <family val="2"/>
      </rPr>
      <t>콘크리트타설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철근</t>
    </r>
    <r>
      <rPr>
        <sz val="9"/>
        <color rgb="FF000000"/>
        <rFont val="맑은 고딕"/>
        <family val="3"/>
        <charset val="129"/>
      </rPr>
      <t>,f1-Ⅱ)</t>
    </r>
  </si>
  <si>
    <r>
      <rPr>
        <sz val="9"/>
        <color rgb="FF000000"/>
        <rFont val="Noto Sans CJK SC"/>
        <family val="2"/>
      </rPr>
      <t>램머</t>
    </r>
    <r>
      <rPr>
        <sz val="9"/>
        <color rgb="FF000000"/>
        <rFont val="맑은 고딕"/>
        <family val="3"/>
        <charset val="129"/>
      </rPr>
      <t>80kg</t>
    </r>
  </si>
  <si>
    <t>철골</t>
  </si>
  <si>
    <t>철골 현장세우기</t>
  </si>
  <si>
    <r>
      <rPr>
        <sz val="9"/>
        <color rgb="FF000000"/>
        <rFont val="맑은 고딕"/>
        <family val="3"/>
        <charset val="129"/>
      </rPr>
      <t>20</t>
    </r>
    <r>
      <rPr>
        <sz val="9"/>
        <color rgb="FF000000"/>
        <rFont val="Noto Sans CJK SC"/>
        <family val="2"/>
      </rPr>
      <t>층 미만</t>
    </r>
  </si>
  <si>
    <t>데크플레이트 설치</t>
  </si>
  <si>
    <t>마감</t>
  </si>
  <si>
    <t>벽돌쌓기</t>
  </si>
  <si>
    <t>0.5B 3.6m</t>
  </si>
  <si>
    <t>블록보강쌓기</t>
  </si>
  <si>
    <t>90×190×190</t>
  </si>
  <si>
    <t>시멘트모르타르 바름</t>
  </si>
  <si>
    <r>
      <rPr>
        <sz val="9"/>
        <color rgb="FF000000"/>
        <rFont val="맑은 고딕"/>
        <family val="3"/>
        <charset val="129"/>
      </rPr>
      <t>24mm 2</t>
    </r>
    <r>
      <rPr>
        <sz val="9"/>
        <color rgb="FF000000"/>
        <rFont val="Noto Sans CJK SC"/>
        <family val="2"/>
      </rPr>
      <t>회</t>
    </r>
  </si>
  <si>
    <r>
      <rPr>
        <sz val="9"/>
        <color rgb="FF000000"/>
        <rFont val="Noto Sans CJK SC"/>
        <family val="2"/>
      </rPr>
      <t>바탕처리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방수</t>
    </r>
    <r>
      <rPr>
        <sz val="9"/>
        <color rgb="FF000000"/>
        <rFont val="맑은 고딕"/>
        <family val="3"/>
        <charset val="129"/>
      </rPr>
      <t>)</t>
    </r>
  </si>
  <si>
    <t>바닥</t>
  </si>
  <si>
    <t>도막방수</t>
  </si>
  <si>
    <r>
      <rPr>
        <sz val="9"/>
        <color rgb="FF000000"/>
        <rFont val="맑은 고딕"/>
        <family val="3"/>
        <charset val="129"/>
      </rPr>
      <t>1</t>
    </r>
    <r>
      <rPr>
        <sz val="9"/>
        <color rgb="FF000000"/>
        <rFont val="Noto Sans CJK SC"/>
        <family val="2"/>
      </rPr>
      <t>회 바닥</t>
    </r>
  </si>
  <si>
    <t>시트방수</t>
  </si>
  <si>
    <r>
      <rPr>
        <sz val="9"/>
        <color rgb="FF000000"/>
        <rFont val="맑은 고딕"/>
        <family val="3"/>
        <charset val="129"/>
      </rPr>
      <t>1</t>
    </r>
    <r>
      <rPr>
        <sz val="9"/>
        <color rgb="FF000000"/>
        <rFont val="Noto Sans CJK SC"/>
        <family val="2"/>
      </rPr>
      <t>겹 바닥</t>
    </r>
  </si>
  <si>
    <t>시멘트액체방수</t>
  </si>
  <si>
    <t>기계설비</t>
  </si>
  <si>
    <t>배관</t>
  </si>
  <si>
    <r>
      <rPr>
        <sz val="9"/>
        <color rgb="FF000000"/>
        <rFont val="Noto Sans CJK SC"/>
        <family val="2"/>
      </rPr>
      <t>강관설치</t>
    </r>
    <r>
      <rPr>
        <sz val="9"/>
        <color rgb="FF000000"/>
        <rFont val="맑은 고딕"/>
        <family val="3"/>
        <charset val="129"/>
      </rPr>
      <t>(D50,</t>
    </r>
    <r>
      <rPr>
        <sz val="9"/>
        <color rgb="FF000000"/>
        <rFont val="Noto Sans CJK SC"/>
        <family val="2"/>
      </rPr>
      <t>용접</t>
    </r>
    <r>
      <rPr>
        <sz val="9"/>
        <color rgb="FF000000"/>
        <rFont val="맑은 고딕"/>
        <family val="3"/>
        <charset val="129"/>
      </rPr>
      <t>)</t>
    </r>
  </si>
  <si>
    <t>옥내일반</t>
  </si>
  <si>
    <r>
      <rPr>
        <sz val="9"/>
        <color rgb="FF000000"/>
        <rFont val="Noto Sans CJK SC"/>
        <family val="2"/>
      </rPr>
      <t>강관설치</t>
    </r>
    <r>
      <rPr>
        <sz val="9"/>
        <color rgb="FF000000"/>
        <rFont val="맑은 고딕"/>
        <family val="3"/>
        <charset val="129"/>
      </rPr>
      <t>(D100,</t>
    </r>
    <r>
      <rPr>
        <sz val="9"/>
        <color rgb="FF000000"/>
        <rFont val="Noto Sans CJK SC"/>
        <family val="2"/>
      </rPr>
      <t>용접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</si>
  <si>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>강관</t>
    </r>
    <r>
      <rPr>
        <sz val="9"/>
        <color rgb="FF000000"/>
        <rFont val="맑은 고딕"/>
        <family val="3"/>
        <charset val="129"/>
      </rPr>
      <t>(D100,</t>
    </r>
    <r>
      <rPr>
        <sz val="9"/>
        <color rgb="FF000000"/>
        <rFont val="Noto Sans CJK SC"/>
        <family val="2"/>
      </rPr>
      <t>그루브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</si>
  <si>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>강관</t>
    </r>
    <r>
      <rPr>
        <sz val="9"/>
        <color rgb="FF000000"/>
        <rFont val="맑은 고딕"/>
        <family val="3"/>
        <charset val="129"/>
      </rPr>
      <t>(D200,</t>
    </r>
    <r>
      <rPr>
        <sz val="9"/>
        <color rgb="FF000000"/>
        <rFont val="Noto Sans CJK SC"/>
        <family val="2"/>
      </rPr>
      <t>그루브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</si>
  <si>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맑은 고딕"/>
        <family val="3"/>
        <charset val="129"/>
      </rPr>
      <t>STS</t>
    </r>
    <r>
      <rPr>
        <sz val="9"/>
        <color rgb="FF000000"/>
        <rFont val="Noto Sans CJK SC"/>
        <family val="2"/>
      </rPr>
      <t>강관</t>
    </r>
    <r>
      <rPr>
        <sz val="9"/>
        <color rgb="FF000000"/>
        <rFont val="맑은 고딕"/>
        <family val="3"/>
        <charset val="129"/>
      </rPr>
      <t>(D50,TIG)</t>
    </r>
  </si>
  <si>
    <r>
      <rPr>
        <sz val="9"/>
        <color rgb="FF000000"/>
        <rFont val="맑은 고딕"/>
        <family val="3"/>
        <charset val="129"/>
      </rPr>
      <t>STS</t>
    </r>
    <r>
      <rPr>
        <sz val="9"/>
        <color rgb="FF000000"/>
        <rFont val="Noto Sans CJK SC"/>
        <family val="2"/>
      </rPr>
      <t>강관</t>
    </r>
    <r>
      <rPr>
        <sz val="9"/>
        <color rgb="FF000000"/>
        <rFont val="맑은 고딕"/>
        <family val="3"/>
        <charset val="129"/>
      </rPr>
      <t>(D100,TIG)</t>
    </r>
  </si>
  <si>
    <r>
      <rPr>
        <sz val="9"/>
        <color rgb="FF000000"/>
        <rFont val="Noto Sans CJK SC"/>
        <family val="2"/>
      </rPr>
      <t>주철관</t>
    </r>
    <r>
      <rPr>
        <sz val="9"/>
        <color rgb="FF000000"/>
        <rFont val="맑은 고딕"/>
        <family val="3"/>
        <charset val="129"/>
      </rPr>
      <t>(D100,</t>
    </r>
    <r>
      <rPr>
        <sz val="9"/>
        <color rgb="FF000000"/>
        <rFont val="Noto Sans CJK SC"/>
        <family val="2"/>
      </rPr>
      <t>기계식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</si>
  <si>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>주철관</t>
    </r>
    <r>
      <rPr>
        <sz val="9"/>
        <color rgb="FF000000"/>
        <rFont val="맑은 고딕"/>
        <family val="3"/>
        <charset val="129"/>
      </rPr>
      <t>(D200,</t>
    </r>
    <r>
      <rPr>
        <sz val="9"/>
        <color rgb="FF000000"/>
        <rFont val="Noto Sans CJK SC"/>
        <family val="2"/>
      </rPr>
      <t>기계식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</si>
  <si>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>경질관</t>
    </r>
    <r>
      <rPr>
        <sz val="9"/>
        <color rgb="FF000000"/>
        <rFont val="맑은 고딕"/>
        <family val="3"/>
        <charset val="129"/>
      </rPr>
      <t>(D100,</t>
    </r>
    <r>
      <rPr>
        <sz val="9"/>
        <color rgb="FF000000"/>
        <rFont val="Noto Sans CJK SC"/>
        <family val="2"/>
      </rPr>
      <t>소켓</t>
    </r>
    <r>
      <rPr>
        <sz val="9"/>
        <color rgb="FF000000"/>
        <rFont val="맑은 고딕"/>
        <family val="3"/>
        <charset val="129"/>
      </rPr>
      <t>)</t>
    </r>
  </si>
  <si>
    <t>덕트</t>
  </si>
  <si>
    <r>
      <rPr>
        <sz val="9"/>
        <color rgb="FF000000"/>
        <rFont val="Noto Sans CJK SC"/>
        <family val="2"/>
      </rPr>
      <t>각형덕트</t>
    </r>
    <r>
      <rPr>
        <sz val="9"/>
        <color rgb="FF000000"/>
        <rFont val="맑은 고딕"/>
        <family val="3"/>
        <charset val="129"/>
      </rPr>
      <t>(0.6mm)</t>
    </r>
  </si>
  <si>
    <t>아연도금</t>
  </si>
  <si>
    <r>
      <rPr>
        <b/>
        <sz val="14"/>
        <color rgb="FFFFFFFF"/>
        <rFont val="Noto Sans CJK SC"/>
        <family val="2"/>
      </rPr>
      <t xml:space="preserve">④ 작업일수 산정 </t>
    </r>
    <r>
      <rPr>
        <b/>
        <sz val="14"/>
        <color rgb="FFFFFFFF"/>
        <rFont val="맑은 고딕"/>
        <family val="3"/>
        <charset val="129"/>
      </rPr>
      <t>(</t>
    </r>
    <r>
      <rPr>
        <b/>
        <sz val="14"/>
        <color rgb="FFFFFFFF"/>
        <rFont val="Noto Sans CJK SC"/>
        <family val="2"/>
      </rPr>
      <t xml:space="preserve">수량집계 → </t>
    </r>
    <r>
      <rPr>
        <b/>
        <sz val="14"/>
        <color rgb="FFFFFFFF"/>
        <rFont val="맑은 고딕"/>
        <family val="3"/>
        <charset val="129"/>
      </rPr>
      <t>1</t>
    </r>
    <r>
      <rPr>
        <b/>
        <sz val="14"/>
        <color rgb="FFFFFFFF"/>
        <rFont val="Noto Sans CJK SC"/>
        <family val="2"/>
      </rPr>
      <t>일작업량 → 작업일수</t>
    </r>
    <r>
      <rPr>
        <b/>
        <sz val="14"/>
        <color rgb="FFFFFFFF"/>
        <rFont val="맑은 고딕"/>
        <family val="3"/>
        <charset val="129"/>
      </rPr>
      <t xml:space="preserve">)  ※ </t>
    </r>
    <r>
      <rPr>
        <b/>
        <sz val="14"/>
        <color rgb="FFFFFFFF"/>
        <rFont val="Noto Sans CJK SC"/>
        <family val="2"/>
      </rPr>
      <t>대공정</t>
    </r>
    <r>
      <rPr>
        <b/>
        <sz val="14"/>
        <color rgb="FFFFFFFF"/>
        <rFont val="맑은 고딕"/>
        <family val="3"/>
        <charset val="129"/>
      </rPr>
      <t>·</t>
    </r>
    <r>
      <rPr>
        <b/>
        <sz val="14"/>
        <color rgb="FFFFFFFF"/>
        <rFont val="Noto Sans CJK SC"/>
        <family val="2"/>
      </rPr>
      <t>단위작업</t>
    </r>
    <r>
      <rPr>
        <b/>
        <sz val="14"/>
        <color rgb="FFFFFFFF"/>
        <rFont val="맑은 고딕"/>
        <family val="3"/>
        <charset val="129"/>
      </rPr>
      <t>·</t>
    </r>
    <r>
      <rPr>
        <b/>
        <sz val="14"/>
        <color rgb="FFFFFFFF"/>
        <rFont val="Noto Sans CJK SC"/>
        <family val="2"/>
      </rPr>
      <t xml:space="preserve">소단위작업 </t>
    </r>
    <r>
      <rPr>
        <b/>
        <sz val="14"/>
        <color rgb="FFFFFFFF"/>
        <rFont val="맑은 고딕"/>
        <family val="3"/>
        <charset val="129"/>
      </rPr>
      <t>3</t>
    </r>
    <r>
      <rPr>
        <b/>
        <sz val="14"/>
        <color rgb="FFFFFFFF"/>
        <rFont val="Noto Sans CJK SC"/>
        <family val="2"/>
      </rPr>
      <t>단계</t>
    </r>
  </si>
  <si>
    <r>
      <rPr>
        <i/>
        <sz val="9"/>
        <color rgb="FF595959"/>
        <rFont val="Noto Sans CJK SC"/>
        <family val="2"/>
      </rPr>
      <t xml:space="preserve">순작업일수 </t>
    </r>
    <r>
      <rPr>
        <i/>
        <sz val="9"/>
        <color rgb="FF595959"/>
        <rFont val="맑은 고딕"/>
        <family val="3"/>
        <charset val="129"/>
      </rPr>
      <t xml:space="preserve">= ROUNDUP( </t>
    </r>
    <r>
      <rPr>
        <i/>
        <sz val="9"/>
        <color rgb="FF595959"/>
        <rFont val="Noto Sans CJK SC"/>
        <family val="2"/>
      </rPr>
      <t xml:space="preserve">작업수량 </t>
    </r>
    <r>
      <rPr>
        <i/>
        <sz val="9"/>
        <color rgb="FF595959"/>
        <rFont val="맑은 고딕"/>
        <family val="3"/>
        <charset val="129"/>
      </rPr>
      <t>÷ (</t>
    </r>
    <r>
      <rPr>
        <i/>
        <sz val="9"/>
        <color rgb="FF595959"/>
        <rFont val="Noto Sans CJK SC"/>
        <family val="2"/>
      </rPr>
      <t>적용</t>
    </r>
    <r>
      <rPr>
        <i/>
        <sz val="9"/>
        <color rgb="FF595959"/>
        <rFont val="맑은 고딕"/>
        <family val="3"/>
        <charset val="129"/>
      </rPr>
      <t>1</t>
    </r>
    <r>
      <rPr>
        <i/>
        <sz val="9"/>
        <color rgb="FF595959"/>
        <rFont val="Noto Sans CJK SC"/>
        <family val="2"/>
      </rPr>
      <t xml:space="preserve">일작업량 </t>
    </r>
    <r>
      <rPr>
        <i/>
        <sz val="9"/>
        <color rgb="FF595959"/>
        <rFont val="맑은 고딕"/>
        <family val="3"/>
        <charset val="129"/>
      </rPr>
      <t xml:space="preserve">× </t>
    </r>
    <r>
      <rPr>
        <i/>
        <sz val="9"/>
        <color rgb="FF595959"/>
        <rFont val="Noto Sans CJK SC"/>
        <family val="2"/>
      </rPr>
      <t>작업조수</t>
    </r>
    <r>
      <rPr>
        <i/>
        <sz val="9"/>
        <color rgb="FF595959"/>
        <rFont val="맑은 고딕"/>
        <family val="3"/>
        <charset val="129"/>
      </rPr>
      <t xml:space="preserve">) ).  </t>
    </r>
    <r>
      <rPr>
        <i/>
        <sz val="9"/>
        <color rgb="FF595959"/>
        <rFont val="Noto Sans CJK SC"/>
        <family val="2"/>
      </rPr>
      <t>출처</t>
    </r>
    <r>
      <rPr>
        <i/>
        <sz val="9"/>
        <color rgb="FF595959"/>
        <rFont val="맑은 고딕"/>
        <family val="3"/>
        <charset val="129"/>
      </rPr>
      <t>='</t>
    </r>
    <r>
      <rPr>
        <i/>
        <sz val="9"/>
        <color rgb="FF595959"/>
        <rFont val="Noto Sans CJK SC"/>
        <family val="2"/>
      </rPr>
      <t>부록</t>
    </r>
    <r>
      <rPr>
        <i/>
        <sz val="9"/>
        <color rgb="FF595959"/>
        <rFont val="맑은 고딕"/>
        <family val="3"/>
        <charset val="129"/>
      </rPr>
      <t>4'</t>
    </r>
    <r>
      <rPr>
        <i/>
        <sz val="9"/>
        <color rgb="FF595959"/>
        <rFont val="Noto Sans CJK SC"/>
        <family val="2"/>
      </rPr>
      <t xml:space="preserve">면 </t>
    </r>
    <r>
      <rPr>
        <i/>
        <sz val="9"/>
        <color rgb="FF595959"/>
        <rFont val="맑은 고딕"/>
        <family val="3"/>
        <charset val="129"/>
      </rPr>
      <t>1</t>
    </r>
    <r>
      <rPr>
        <i/>
        <sz val="9"/>
        <color rgb="FF595959"/>
        <rFont val="Noto Sans CJK SC"/>
        <family val="2"/>
      </rPr>
      <t xml:space="preserve">일작업량 자동조회 </t>
    </r>
    <r>
      <rPr>
        <i/>
        <sz val="9"/>
        <color rgb="FF595959"/>
        <rFont val="맑은 고딕"/>
        <family val="3"/>
        <charset val="129"/>
      </rPr>
      <t>/ '</t>
    </r>
    <r>
      <rPr>
        <i/>
        <sz val="9"/>
        <color rgb="FF595959"/>
        <rFont val="Noto Sans CJK SC"/>
        <family val="2"/>
      </rPr>
      <t>품셈</t>
    </r>
    <r>
      <rPr>
        <i/>
        <sz val="9"/>
        <color rgb="FF595959"/>
        <rFont val="맑은 고딕"/>
        <family val="3"/>
        <charset val="129"/>
      </rPr>
      <t>·</t>
    </r>
    <r>
      <rPr>
        <i/>
        <sz val="9"/>
        <color rgb="FF595959"/>
        <rFont val="Noto Sans CJK SC"/>
        <family val="2"/>
      </rPr>
      <t>실적</t>
    </r>
    <r>
      <rPr>
        <i/>
        <sz val="9"/>
        <color rgb="FF595959"/>
        <rFont val="맑은 고딕"/>
        <family val="3"/>
        <charset val="129"/>
      </rPr>
      <t>'</t>
    </r>
    <r>
      <rPr>
        <i/>
        <sz val="9"/>
        <color rgb="FF595959"/>
        <rFont val="Noto Sans CJK SC"/>
        <family val="2"/>
      </rPr>
      <t>이면 수동</t>
    </r>
    <r>
      <rPr>
        <i/>
        <sz val="9"/>
        <color rgb="FF595959"/>
        <rFont val="맑은 고딕"/>
        <family val="3"/>
        <charset val="129"/>
      </rPr>
      <t>1</t>
    </r>
    <r>
      <rPr>
        <i/>
        <sz val="9"/>
        <color rgb="FF595959"/>
        <rFont val="Noto Sans CJK SC"/>
        <family val="2"/>
      </rPr>
      <t>일작업량 칸에 입력</t>
    </r>
    <r>
      <rPr>
        <i/>
        <sz val="9"/>
        <color rgb="FF595959"/>
        <rFont val="맑은 고딕"/>
        <family val="3"/>
        <charset val="129"/>
      </rPr>
      <t xml:space="preserve">.  </t>
    </r>
    <r>
      <rPr>
        <i/>
        <sz val="9"/>
        <color rgb="FF595959"/>
        <rFont val="Noto Sans CJK SC"/>
        <family val="2"/>
      </rPr>
      <t>소단위작업까지 분할하면 ⑤에서 선행</t>
    </r>
    <r>
      <rPr>
        <i/>
        <sz val="9"/>
        <color rgb="FF595959"/>
        <rFont val="맑은 고딕"/>
        <family val="3"/>
        <charset val="129"/>
      </rPr>
      <t>·</t>
    </r>
    <r>
      <rPr>
        <i/>
        <sz val="9"/>
        <color rgb="FF595959"/>
        <rFont val="Noto Sans CJK SC"/>
        <family val="2"/>
      </rPr>
      <t>중첩이 뚜렷해집니다</t>
    </r>
    <r>
      <rPr>
        <i/>
        <sz val="9"/>
        <color rgb="FF595959"/>
        <rFont val="맑은 고딕"/>
        <family val="3"/>
        <charset val="129"/>
      </rPr>
      <t>.</t>
    </r>
  </si>
  <si>
    <r>
      <rPr>
        <b/>
        <sz val="9"/>
        <color rgb="FFFFFFFF"/>
        <rFont val="Noto Sans CJK SC"/>
        <family val="2"/>
      </rPr>
      <t>단위작업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세부공종</t>
    </r>
    <r>
      <rPr>
        <b/>
        <sz val="9"/>
        <color rgb="FFFFFFFF"/>
        <rFont val="맑은 고딕"/>
        <family val="3"/>
        <charset val="129"/>
      </rPr>
      <t>)</t>
    </r>
  </si>
  <si>
    <t>소단위작업</t>
  </si>
  <si>
    <t>출처</t>
  </si>
  <si>
    <t>작업수량</t>
  </si>
  <si>
    <r>
      <rPr>
        <b/>
        <sz val="9"/>
        <color rgb="FFFFFFFF"/>
        <rFont val="Noto Sans CJK SC"/>
        <family val="2"/>
      </rPr>
      <t>수동</t>
    </r>
    <r>
      <rPr>
        <b/>
        <sz val="9"/>
        <color rgb="FFFFFFFF"/>
        <rFont val="맑은 고딕"/>
        <family val="3"/>
        <charset val="129"/>
      </rPr>
      <t>1</t>
    </r>
    <r>
      <rPr>
        <b/>
        <sz val="9"/>
        <color rgb="FFFFFFFF"/>
        <rFont val="Noto Sans CJK SC"/>
        <family val="2"/>
      </rPr>
      <t xml:space="preserve">일작업량
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품셈</t>
    </r>
    <r>
      <rPr>
        <b/>
        <sz val="9"/>
        <color rgb="FFFFFFFF"/>
        <rFont val="맑은 고딕"/>
        <family val="3"/>
        <charset val="129"/>
      </rPr>
      <t>/</t>
    </r>
    <r>
      <rPr>
        <b/>
        <sz val="9"/>
        <color rgb="FFFFFFFF"/>
        <rFont val="Noto Sans CJK SC"/>
        <family val="2"/>
      </rPr>
      <t>실적</t>
    </r>
    <r>
      <rPr>
        <b/>
        <sz val="9"/>
        <color rgb="FFFFFFFF"/>
        <rFont val="맑은 고딕"/>
        <family val="3"/>
        <charset val="129"/>
      </rPr>
      <t>)</t>
    </r>
  </si>
  <si>
    <r>
      <rPr>
        <b/>
        <sz val="9"/>
        <color rgb="FFFFFFFF"/>
        <rFont val="Noto Sans CJK SC"/>
        <family val="2"/>
      </rPr>
      <t>적용</t>
    </r>
    <r>
      <rPr>
        <b/>
        <sz val="9"/>
        <color rgb="FFFFFFFF"/>
        <rFont val="맑은 고딕"/>
        <family val="3"/>
        <charset val="129"/>
      </rPr>
      <t>1</t>
    </r>
    <r>
      <rPr>
        <b/>
        <sz val="9"/>
        <color rgb="FFFFFFFF"/>
        <rFont val="Noto Sans CJK SC"/>
        <family val="2"/>
      </rPr>
      <t>일작업량</t>
    </r>
  </si>
  <si>
    <t>작업
조수</t>
  </si>
  <si>
    <t>순작업
일수</t>
  </si>
  <si>
    <t>간접
작업일수</t>
  </si>
  <si>
    <t>보정
일수</t>
  </si>
  <si>
    <t>총작업일수</t>
  </si>
  <si>
    <t>합  계</t>
  </si>
  <si>
    <r>
      <rPr>
        <i/>
        <sz val="8"/>
        <color rgb="FF595959"/>
        <rFont val="Noto Sans CJK SC"/>
        <family val="2"/>
      </rPr>
      <t xml:space="preserve">※ 총작업일수 </t>
    </r>
    <r>
      <rPr>
        <i/>
        <sz val="8"/>
        <color rgb="FF595959"/>
        <rFont val="맑은 고딕"/>
        <family val="3"/>
        <charset val="129"/>
      </rPr>
      <t xml:space="preserve">= </t>
    </r>
    <r>
      <rPr>
        <i/>
        <sz val="8"/>
        <color rgb="FF595959"/>
        <rFont val="Noto Sans CJK SC"/>
        <family val="2"/>
      </rPr>
      <t xml:space="preserve">순작업일수 </t>
    </r>
    <r>
      <rPr>
        <i/>
        <sz val="8"/>
        <color rgb="FF595959"/>
        <rFont val="맑은 고딕"/>
        <family val="3"/>
        <charset val="129"/>
      </rPr>
      <t xml:space="preserve">+ </t>
    </r>
    <r>
      <rPr>
        <i/>
        <sz val="8"/>
        <color rgb="FF595959"/>
        <rFont val="Noto Sans CJK SC"/>
        <family val="2"/>
      </rPr>
      <t xml:space="preserve">간접작업일수 </t>
    </r>
    <r>
      <rPr>
        <i/>
        <sz val="8"/>
        <color rgb="FF595959"/>
        <rFont val="맑은 고딕"/>
        <family val="3"/>
        <charset val="129"/>
      </rPr>
      <t xml:space="preserve">+ </t>
    </r>
    <r>
      <rPr>
        <i/>
        <sz val="8"/>
        <color rgb="FF595959"/>
        <rFont val="Noto Sans CJK SC"/>
        <family val="2"/>
      </rPr>
      <t xml:space="preserve">보정일수 </t>
    </r>
    <r>
      <rPr>
        <i/>
        <sz val="8"/>
        <color rgb="FF595959"/>
        <rFont val="맑은 고딕"/>
        <family val="3"/>
        <charset val="129"/>
      </rPr>
      <t>(</t>
    </r>
    <r>
      <rPr>
        <i/>
        <sz val="8"/>
        <color rgb="FF595959"/>
        <rFont val="Noto Sans CJK SC"/>
        <family val="2"/>
      </rPr>
      <t>간접</t>
    </r>
    <r>
      <rPr>
        <i/>
        <sz val="8"/>
        <color rgb="FF595959"/>
        <rFont val="맑은 고딕"/>
        <family val="3"/>
        <charset val="129"/>
      </rPr>
      <t>·</t>
    </r>
    <r>
      <rPr>
        <i/>
        <sz val="8"/>
        <color rgb="FF595959"/>
        <rFont val="Noto Sans CJK SC"/>
        <family val="2"/>
      </rPr>
      <t>보정 헤더의 빨간 표식에 마우스를 올리면 가이드라인 예시값 안내</t>
    </r>
    <r>
      <rPr>
        <i/>
        <sz val="8"/>
        <color rgb="FF595959"/>
        <rFont val="맑은 고딕"/>
        <family val="3"/>
        <charset val="129"/>
      </rPr>
      <t xml:space="preserve">). </t>
    </r>
    <r>
      <rPr>
        <i/>
        <sz val="8"/>
        <color rgb="FF595959"/>
        <rFont val="Noto Sans CJK SC"/>
        <family val="2"/>
      </rPr>
      <t>실제 공사기간은 ⑤에서 시공순서</t>
    </r>
    <r>
      <rPr>
        <i/>
        <sz val="8"/>
        <color rgb="FF595959"/>
        <rFont val="맑은 고딕"/>
        <family val="3"/>
        <charset val="129"/>
      </rPr>
      <t>·CP(</t>
    </r>
    <r>
      <rPr>
        <i/>
        <sz val="8"/>
        <color rgb="FF595959"/>
        <rFont val="Noto Sans CJK SC"/>
        <family val="2"/>
      </rPr>
      <t>주공정</t>
    </r>
    <r>
      <rPr>
        <i/>
        <sz val="8"/>
        <color rgb="FF595959"/>
        <rFont val="맑은 고딕"/>
        <family val="3"/>
        <charset val="129"/>
      </rPr>
      <t>)</t>
    </r>
    <r>
      <rPr>
        <i/>
        <sz val="8"/>
        <color rgb="FF595959"/>
        <rFont val="Noto Sans CJK SC"/>
        <family val="2"/>
      </rPr>
      <t>를 반영하여 결정</t>
    </r>
    <r>
      <rPr>
        <i/>
        <sz val="8"/>
        <color rgb="FF595959"/>
        <rFont val="맑은 고딕"/>
        <family val="3"/>
        <charset val="129"/>
      </rPr>
      <t>.</t>
    </r>
  </si>
  <si>
    <t>관계유형</t>
  </si>
  <si>
    <t>중첩률</t>
  </si>
  <si>
    <t>순번</t>
  </si>
  <si>
    <t>작업일수</t>
  </si>
  <si>
    <t>작업착수일</t>
  </si>
  <si>
    <t>적용
비작업</t>
  </si>
  <si>
    <t>작업
가능일</t>
  </si>
  <si>
    <t>누적
가능일</t>
  </si>
  <si>
    <t>검토방법</t>
  </si>
  <si>
    <t>실적평균 입력</t>
  </si>
  <si>
    <t>부록 참고자료</t>
  </si>
  <si>
    <r>
      <rPr>
        <b/>
        <sz val="11"/>
        <color rgb="FF1F3864"/>
        <rFont val="Noto Sans CJK SC"/>
        <family val="2"/>
      </rPr>
      <t>부록</t>
    </r>
    <r>
      <rPr>
        <b/>
        <sz val="11"/>
        <color rgb="FF1F3864"/>
        <rFont val="맑은 고딕"/>
        <family val="3"/>
        <charset val="129"/>
      </rPr>
      <t xml:space="preserve">1. </t>
    </r>
    <r>
      <rPr>
        <b/>
        <sz val="11"/>
        <color rgb="FF1F3864"/>
        <rFont val="Noto Sans CJK SC"/>
        <family val="2"/>
      </rPr>
      <t xml:space="preserve">법정 공휴일수 </t>
    </r>
    <r>
      <rPr>
        <b/>
        <sz val="11"/>
        <color rgb="FF1F3864"/>
        <rFont val="맑은 고딕"/>
        <family val="3"/>
        <charset val="129"/>
      </rPr>
      <t>(2026–2035)</t>
    </r>
  </si>
  <si>
    <r>
      <rPr>
        <b/>
        <sz val="10"/>
        <color rgb="FFFFFFFF"/>
        <rFont val="Noto Sans CJK SC"/>
        <family val="2"/>
      </rPr>
      <t>연도</t>
    </r>
    <r>
      <rPr>
        <b/>
        <sz val="10"/>
        <color rgb="FFFFFFFF"/>
        <rFont val="맑은 고딕"/>
        <family val="3"/>
        <charset val="129"/>
      </rPr>
      <t>/</t>
    </r>
    <r>
      <rPr>
        <b/>
        <sz val="10"/>
        <color rgb="FFFFFFFF"/>
        <rFont val="Noto Sans CJK SC"/>
        <family val="2"/>
      </rPr>
      <t>월</t>
    </r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</si>
  <si>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</si>
  <si>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</si>
  <si>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</si>
  <si>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</si>
  <si>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</si>
  <si>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</si>
  <si>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</si>
  <si>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</si>
  <si>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</si>
  <si>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</si>
  <si>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</si>
  <si>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</si>
  <si>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r>
      <rPr>
        <i/>
        <sz val="8"/>
        <color rgb="FF595959"/>
        <rFont val="Noto Sans CJK SC"/>
        <family val="2"/>
      </rPr>
      <t>※ 관공서 공휴일</t>
    </r>
    <r>
      <rPr>
        <i/>
        <sz val="8"/>
        <color rgb="FF595959"/>
        <rFont val="맑은 고딕"/>
        <family val="3"/>
        <charset val="129"/>
      </rPr>
      <t>·</t>
    </r>
    <r>
      <rPr>
        <i/>
        <sz val="8"/>
        <color rgb="FF595959"/>
        <rFont val="Noto Sans CJK SC"/>
        <family val="2"/>
      </rPr>
      <t>대체공휴일 적용</t>
    </r>
    <r>
      <rPr>
        <i/>
        <sz val="8"/>
        <color rgb="FF595959"/>
        <rFont val="맑은 고딕"/>
        <family val="3"/>
        <charset val="129"/>
      </rPr>
      <t xml:space="preserve">. </t>
    </r>
    <r>
      <rPr>
        <i/>
        <sz val="8"/>
        <color rgb="FF595959"/>
        <rFont val="Noto Sans CJK SC"/>
        <family val="2"/>
      </rPr>
      <t>선거일</t>
    </r>
    <r>
      <rPr>
        <i/>
        <sz val="8"/>
        <color rgb="FF595959"/>
        <rFont val="맑은 고딕"/>
        <family val="3"/>
        <charset val="129"/>
      </rPr>
      <t>·</t>
    </r>
    <r>
      <rPr>
        <i/>
        <sz val="8"/>
        <color rgb="FF595959"/>
        <rFont val="Noto Sans CJK SC"/>
        <family val="2"/>
      </rPr>
      <t>수시지정일은 제외</t>
    </r>
    <r>
      <rPr>
        <i/>
        <sz val="8"/>
        <color rgb="FF595959"/>
        <rFont val="맑은 고딕"/>
        <family val="3"/>
        <charset val="129"/>
      </rPr>
      <t>(</t>
    </r>
    <r>
      <rPr>
        <i/>
        <sz val="8"/>
        <color rgb="FF595959"/>
        <rFont val="Noto Sans CJK SC"/>
        <family val="2"/>
      </rPr>
      <t>불규칙</t>
    </r>
    <r>
      <rPr>
        <i/>
        <sz val="8"/>
        <color rgb="FF595959"/>
        <rFont val="맑은 고딕"/>
        <family val="3"/>
        <charset val="129"/>
      </rPr>
      <t>).</t>
    </r>
  </si>
  <si>
    <r>
      <rPr>
        <b/>
        <sz val="11"/>
        <color rgb="FF1F3864"/>
        <rFont val="Noto Sans CJK SC"/>
        <family val="2"/>
      </rPr>
      <t>부록</t>
    </r>
    <r>
      <rPr>
        <b/>
        <sz val="11"/>
        <color rgb="FF1F3864"/>
        <rFont val="맑은 고딕"/>
        <family val="3"/>
        <charset val="129"/>
      </rPr>
      <t xml:space="preserve">2. </t>
    </r>
    <r>
      <rPr>
        <b/>
        <sz val="11"/>
        <color rgb="FF1F3864"/>
        <rFont val="Noto Sans CJK SC"/>
        <family val="2"/>
      </rPr>
      <t xml:space="preserve">주요 작업제한 기상조건 </t>
    </r>
    <r>
      <rPr>
        <b/>
        <sz val="11"/>
        <color rgb="FF1F3864"/>
        <rFont val="맑은 고딕"/>
        <family val="3"/>
        <charset val="129"/>
      </rPr>
      <t>(</t>
    </r>
    <r>
      <rPr>
        <b/>
        <sz val="11"/>
        <color rgb="FF1F3864"/>
        <rFont val="Noto Sans CJK SC"/>
        <family val="2"/>
      </rPr>
      <t>요약</t>
    </r>
    <r>
      <rPr>
        <b/>
        <sz val="11"/>
        <color rgb="FF1F3864"/>
        <rFont val="맑은 고딕"/>
        <family val="3"/>
        <charset val="129"/>
      </rPr>
      <t xml:space="preserve">, </t>
    </r>
    <r>
      <rPr>
        <b/>
        <sz val="11"/>
        <color rgb="FF1F3864"/>
        <rFont val="Noto Sans CJK SC"/>
        <family val="2"/>
      </rPr>
      <t>비작업일수 산정 기준 설정 참고</t>
    </r>
    <r>
      <rPr>
        <b/>
        <sz val="11"/>
        <color rgb="FF1F3864"/>
        <rFont val="맑은 고딕"/>
        <family val="3"/>
        <charset val="129"/>
      </rPr>
      <t>)</t>
    </r>
  </si>
  <si>
    <t>공종</t>
  </si>
  <si>
    <r>
      <rPr>
        <b/>
        <sz val="10"/>
        <color rgb="FFFFFFFF"/>
        <rFont val="Noto Sans CJK SC"/>
        <family val="2"/>
      </rPr>
      <t>동절기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저온</t>
    </r>
    <r>
      <rPr>
        <b/>
        <sz val="10"/>
        <color rgb="FFFFFFFF"/>
        <rFont val="맑은 고딕"/>
        <family val="3"/>
        <charset val="129"/>
      </rPr>
      <t>)</t>
    </r>
  </si>
  <si>
    <t>바람</t>
  </si>
  <si>
    <t>눈</t>
  </si>
  <si>
    <r>
      <rPr>
        <sz val="9"/>
        <color rgb="FF000000"/>
        <rFont val="Noto Sans CJK SC"/>
        <family val="2"/>
      </rPr>
      <t>토공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가시설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옥외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</si>
  <si>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맑은 고딕"/>
        <family val="3"/>
        <charset val="129"/>
      </rPr>
      <t xml:space="preserve">3mm </t>
    </r>
    <r>
      <rPr>
        <sz val="9"/>
        <color rgb="FF000000"/>
        <rFont val="Noto Sans CJK SC"/>
        <family val="2"/>
      </rPr>
      <t>이상</t>
    </r>
  </si>
  <si>
    <r>
      <rPr>
        <sz val="9"/>
        <color rgb="FF000000"/>
        <rFont val="Noto Sans CJK SC"/>
        <family val="2"/>
      </rPr>
      <t xml:space="preserve">최대순간 </t>
    </r>
    <r>
      <rPr>
        <sz val="9"/>
        <color rgb="FF000000"/>
        <rFont val="맑은 고딕"/>
        <family val="3"/>
        <charset val="129"/>
      </rPr>
      <t>15m/s↑</t>
    </r>
  </si>
  <si>
    <r>
      <rPr>
        <sz val="9"/>
        <color rgb="FF000000"/>
        <rFont val="Noto Sans CJK SC"/>
        <family val="2"/>
      </rPr>
      <t xml:space="preserve">신적설 </t>
    </r>
    <r>
      <rPr>
        <sz val="9"/>
        <color rgb="FF000000"/>
        <rFont val="맑은 고딕"/>
        <family val="3"/>
        <charset val="129"/>
      </rPr>
      <t>5cm↑</t>
    </r>
  </si>
  <si>
    <r>
      <rPr>
        <sz val="9"/>
        <color rgb="FF000000"/>
        <rFont val="Noto Sans CJK SC"/>
        <family val="2"/>
      </rPr>
      <t xml:space="preserve">체감 </t>
    </r>
    <r>
      <rPr>
        <sz val="9"/>
        <color rgb="FF000000"/>
        <rFont val="맑은 고딕"/>
        <family val="3"/>
        <charset val="129"/>
      </rPr>
      <t>33℃↑</t>
    </r>
  </si>
  <si>
    <r>
      <rPr>
        <sz val="9"/>
        <color rgb="FF000000"/>
        <rFont val="Noto Sans CJK SC"/>
        <family val="2"/>
      </rPr>
      <t>철근콘크리트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타설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</si>
  <si>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 xml:space="preserve">최고 </t>
    </r>
    <r>
      <rPr>
        <sz val="9"/>
        <color rgb="FF000000"/>
        <rFont val="맑은 고딕"/>
        <family val="3"/>
        <charset val="129"/>
      </rPr>
      <t xml:space="preserve">0℃ </t>
    </r>
    <r>
      <rPr>
        <sz val="9"/>
        <color rgb="FF000000"/>
        <rFont val="Noto Sans CJK SC"/>
        <family val="2"/>
      </rPr>
      <t>이하</t>
    </r>
  </si>
  <si>
    <r>
      <rPr>
        <sz val="9"/>
        <color rgb="FF000000"/>
        <rFont val="맑은 고딕"/>
        <family val="3"/>
        <charset val="129"/>
      </rPr>
      <t xml:space="preserve">15m/s </t>
    </r>
    <r>
      <rPr>
        <sz val="9"/>
        <color rgb="FF000000"/>
        <rFont val="Noto Sans CJK SC"/>
        <family val="2"/>
      </rPr>
      <t>이상</t>
    </r>
  </si>
  <si>
    <r>
      <rPr>
        <sz val="9"/>
        <color rgb="FF000000"/>
        <rFont val="맑은 고딕"/>
        <family val="3"/>
        <charset val="129"/>
      </rPr>
      <t xml:space="preserve">5cm </t>
    </r>
    <r>
      <rPr>
        <sz val="9"/>
        <color rgb="FF000000"/>
        <rFont val="Noto Sans CJK SC"/>
        <family val="2"/>
      </rPr>
      <t>이상</t>
    </r>
  </si>
  <si>
    <t>일반콘크리트</t>
  </si>
  <si>
    <r>
      <rPr>
        <sz val="9"/>
        <color rgb="FF000000"/>
        <rFont val="Noto Sans CJK SC"/>
        <family val="2"/>
      </rPr>
      <t>작업전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중 </t>
    </r>
    <r>
      <rPr>
        <sz val="9"/>
        <color rgb="FF000000"/>
        <rFont val="맑은 고딕"/>
        <family val="3"/>
        <charset val="129"/>
      </rPr>
      <t xml:space="preserve">5℃ </t>
    </r>
    <r>
      <rPr>
        <sz val="9"/>
        <color rgb="FF000000"/>
        <rFont val="Noto Sans CJK SC"/>
        <family val="2"/>
      </rPr>
      <t>미만</t>
    </r>
  </si>
  <si>
    <t>강우 시</t>
  </si>
  <si>
    <t>강설 시</t>
  </si>
  <si>
    <r>
      <rPr>
        <sz val="9"/>
        <color rgb="FF000000"/>
        <rFont val="맑은 고딕"/>
        <family val="3"/>
        <charset val="129"/>
      </rPr>
      <t>48h</t>
    </r>
    <r>
      <rPr>
        <sz val="9"/>
        <color rgb="FF000000"/>
        <rFont val="Noto Sans CJK SC"/>
        <family val="2"/>
      </rPr>
      <t xml:space="preserve">내 </t>
    </r>
    <r>
      <rPr>
        <sz val="9"/>
        <color rgb="FF000000"/>
        <rFont val="맑은 고딕"/>
        <family val="3"/>
        <charset val="129"/>
      </rPr>
      <t xml:space="preserve">30℃ </t>
    </r>
    <r>
      <rPr>
        <sz val="9"/>
        <color rgb="FF000000"/>
        <rFont val="Noto Sans CJK SC"/>
        <family val="2"/>
      </rPr>
      <t>초과</t>
    </r>
  </si>
  <si>
    <r>
      <rPr>
        <sz val="9"/>
        <color rgb="FF000000"/>
        <rFont val="Noto Sans CJK SC"/>
        <family val="2"/>
      </rPr>
      <t>도장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방수</t>
    </r>
  </si>
  <si>
    <r>
      <rPr>
        <sz val="9"/>
        <color rgb="FF000000"/>
        <rFont val="맑은 고딕"/>
        <family val="3"/>
        <charset val="129"/>
      </rPr>
      <t xml:space="preserve">5℃ </t>
    </r>
    <r>
      <rPr>
        <sz val="9"/>
        <color rgb="FF000000"/>
        <rFont val="Noto Sans CJK SC"/>
        <family val="2"/>
      </rPr>
      <t>미만</t>
    </r>
  </si>
  <si>
    <r>
      <rPr>
        <sz val="9"/>
        <color rgb="FF000000"/>
        <rFont val="Noto Sans CJK SC"/>
        <family val="2"/>
      </rPr>
      <t>미세먼지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수도권</t>
    </r>
    <r>
      <rPr>
        <sz val="9"/>
        <color rgb="FF000000"/>
        <rFont val="맑은 고딕"/>
        <family val="3"/>
        <charset val="129"/>
      </rPr>
      <t>)</t>
    </r>
  </si>
  <si>
    <t xml:space="preserve">- </t>
  </si>
  <si>
    <r>
      <rPr>
        <sz val="9"/>
        <color rgb="FF000000"/>
        <rFont val="맑은 고딕"/>
        <family val="3"/>
        <charset val="129"/>
      </rPr>
      <t xml:space="preserve">PM2.5 </t>
    </r>
    <r>
      <rPr>
        <sz val="9"/>
        <color rgb="FF000000"/>
        <rFont val="Noto Sans CJK SC"/>
        <family val="2"/>
      </rPr>
      <t>나쁨시 가동조정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연 약</t>
    </r>
    <r>
      <rPr>
        <sz val="9"/>
        <color rgb="FF000000"/>
        <rFont val="맑은 고딕"/>
        <family val="3"/>
        <charset val="129"/>
      </rPr>
      <t>5</t>
    </r>
    <r>
      <rPr>
        <sz val="9"/>
        <color rgb="FF000000"/>
        <rFont val="Noto Sans CJK SC"/>
        <family val="2"/>
      </rPr>
      <t>일</t>
    </r>
    <r>
      <rPr>
        <sz val="9"/>
        <color rgb="FF000000"/>
        <rFont val="맑은 고딕"/>
        <family val="3"/>
        <charset val="129"/>
      </rPr>
      <t>)</t>
    </r>
  </si>
  <si>
    <r>
      <rPr>
        <b/>
        <sz val="11"/>
        <color rgb="FF1F3864"/>
        <rFont val="Noto Sans CJK SC"/>
        <family val="2"/>
      </rPr>
      <t>부록</t>
    </r>
    <r>
      <rPr>
        <b/>
        <sz val="11"/>
        <color rgb="FF1F3864"/>
        <rFont val="맑은 고딕"/>
        <family val="3"/>
        <charset val="129"/>
      </rPr>
      <t xml:space="preserve">5. </t>
    </r>
    <r>
      <rPr>
        <b/>
        <sz val="11"/>
        <color rgb="FF1F3864"/>
        <rFont val="Noto Sans CJK SC"/>
        <family val="2"/>
      </rPr>
      <t xml:space="preserve">시설물별 공사기간 산정공식 </t>
    </r>
    <r>
      <rPr>
        <b/>
        <sz val="11"/>
        <color rgb="FF1F3864"/>
        <rFont val="맑은 고딕"/>
        <family val="3"/>
        <charset val="129"/>
      </rPr>
      <t>(Y=</t>
    </r>
    <r>
      <rPr>
        <b/>
        <sz val="11"/>
        <color rgb="FF1F3864"/>
        <rFont val="Noto Sans CJK SC"/>
        <family val="2"/>
      </rPr>
      <t>비작업일수 포함 → 준비</t>
    </r>
    <r>
      <rPr>
        <b/>
        <sz val="11"/>
        <color rgb="FF1F3864"/>
        <rFont val="맑은 고딕"/>
        <family val="3"/>
        <charset val="129"/>
      </rPr>
      <t>·</t>
    </r>
    <r>
      <rPr>
        <b/>
        <sz val="11"/>
        <color rgb="FF1F3864"/>
        <rFont val="Noto Sans CJK SC"/>
        <family val="2"/>
      </rPr>
      <t>정리기간 별도 합산</t>
    </r>
    <r>
      <rPr>
        <b/>
        <sz val="11"/>
        <color rgb="FF1F3864"/>
        <rFont val="맑은 고딕"/>
        <family val="3"/>
        <charset val="129"/>
      </rPr>
      <t>)</t>
    </r>
  </si>
  <si>
    <t>시설물</t>
  </si>
  <si>
    <r>
      <rPr>
        <b/>
        <sz val="10"/>
        <color rgb="FFFFFFFF"/>
        <rFont val="Noto Sans CJK SC"/>
        <family val="2"/>
      </rPr>
      <t xml:space="preserve">산정공식 </t>
    </r>
    <r>
      <rPr>
        <b/>
        <sz val="10"/>
        <color rgb="FFFFFFFF"/>
        <rFont val="맑은 고딕"/>
        <family val="3"/>
        <charset val="129"/>
      </rPr>
      <t>Y(</t>
    </r>
    <r>
      <rPr>
        <b/>
        <sz val="10"/>
        <color rgb="FFFFFFFF"/>
        <rFont val="Noto Sans CJK SC"/>
        <family val="2"/>
      </rPr>
      <t>일</t>
    </r>
    <r>
      <rPr>
        <b/>
        <sz val="10"/>
        <color rgb="FFFFFFFF"/>
        <rFont val="맑은 고딕"/>
        <family val="3"/>
        <charset val="129"/>
      </rPr>
      <t>)</t>
    </r>
  </si>
  <si>
    <t>변수</t>
  </si>
  <si>
    <t>적용범위</t>
  </si>
  <si>
    <t>Y=-637.009+173.198×ln(L)+0.049×C</t>
  </si>
  <si>
    <r>
      <rPr>
        <sz val="8.5"/>
        <color rgb="FF000000"/>
        <rFont val="맑은 고딕"/>
        <family val="3"/>
        <charset val="129"/>
      </rPr>
      <t>C=</t>
    </r>
    <r>
      <rPr>
        <sz val="8.5"/>
        <color rgb="FF000000"/>
        <rFont val="Noto Sans CJK SC"/>
        <family val="2"/>
      </rPr>
      <t>공사비</t>
    </r>
    <r>
      <rPr>
        <sz val="8.5"/>
        <color rgb="FF000000"/>
        <rFont val="맑은 고딕"/>
        <family val="3"/>
        <charset val="129"/>
      </rPr>
      <t>(</t>
    </r>
    <r>
      <rPr>
        <sz val="8.5"/>
        <color rgb="FF000000"/>
        <rFont val="Noto Sans CJK SC"/>
        <family val="2"/>
      </rPr>
      <t>백만</t>
    </r>
    <r>
      <rPr>
        <sz val="8.5"/>
        <color rgb="FF000000"/>
        <rFont val="맑은 고딕"/>
        <family val="3"/>
        <charset val="129"/>
      </rPr>
      <t>), L=</t>
    </r>
    <r>
      <rPr>
        <sz val="8.5"/>
        <color rgb="FF000000"/>
        <rFont val="Noto Sans CJK SC"/>
        <family val="2"/>
      </rPr>
      <t>도로연장</t>
    </r>
    <r>
      <rPr>
        <sz val="8.5"/>
        <color rgb="FF000000"/>
        <rFont val="맑은 고딕"/>
        <family val="3"/>
        <charset val="129"/>
      </rPr>
      <t>(m)</t>
    </r>
  </si>
  <si>
    <r>
      <rPr>
        <sz val="8.5"/>
        <color rgb="FF000000"/>
        <rFont val="맑은 고딕"/>
        <family val="3"/>
        <charset val="129"/>
      </rPr>
      <t>350</t>
    </r>
    <r>
      <rPr>
        <sz val="8.5"/>
        <color rgb="FF000000"/>
        <rFont val="Noto Sans CJK SC"/>
        <family val="2"/>
      </rPr>
      <t>억 이하</t>
    </r>
  </si>
  <si>
    <r>
      <rPr>
        <b/>
        <sz val="9"/>
        <color rgb="FF000000"/>
        <rFont val="Noto Sans CJK SC"/>
        <family val="2"/>
      </rPr>
      <t>도로</t>
    </r>
    <r>
      <rPr>
        <b/>
        <sz val="9"/>
        <color rgb="FF000000"/>
        <rFont val="맑은 고딕"/>
        <family val="3"/>
        <charset val="129"/>
      </rPr>
      <t>(</t>
    </r>
    <r>
      <rPr>
        <b/>
        <sz val="9"/>
        <color rgb="FF000000"/>
        <rFont val="Noto Sans CJK SC"/>
        <family val="2"/>
      </rPr>
      <t>토공</t>
    </r>
    <r>
      <rPr>
        <b/>
        <sz val="9"/>
        <color rgb="FF000000"/>
        <rFont val="맑은 고딕"/>
        <family val="3"/>
        <charset val="129"/>
      </rPr>
      <t>+</t>
    </r>
    <r>
      <rPr>
        <b/>
        <sz val="9"/>
        <color rgb="FF000000"/>
        <rFont val="Noto Sans CJK SC"/>
        <family val="2"/>
      </rPr>
      <t>교량</t>
    </r>
    <r>
      <rPr>
        <b/>
        <sz val="9"/>
        <color rgb="FF000000"/>
        <rFont val="맑은 고딕"/>
        <family val="3"/>
        <charset val="129"/>
      </rPr>
      <t>)</t>
    </r>
  </si>
  <si>
    <t>Y=-160.855-14.288×W+164.473×ln(L)-1.474×BL+0.052×C</t>
  </si>
  <si>
    <r>
      <rPr>
        <sz val="8.5"/>
        <color rgb="FF000000"/>
        <rFont val="맑은 고딕"/>
        <family val="3"/>
        <charset val="129"/>
      </rPr>
      <t>W=</t>
    </r>
    <r>
      <rPr>
        <sz val="8.5"/>
        <color rgb="FF000000"/>
        <rFont val="Noto Sans CJK SC"/>
        <family val="2"/>
      </rPr>
      <t>폭원</t>
    </r>
    <r>
      <rPr>
        <sz val="8.5"/>
        <color rgb="FF000000"/>
        <rFont val="맑은 고딕"/>
        <family val="3"/>
        <charset val="129"/>
      </rPr>
      <t>,L=</t>
    </r>
    <r>
      <rPr>
        <sz val="8.5"/>
        <color rgb="FF000000"/>
        <rFont val="Noto Sans CJK SC"/>
        <family val="2"/>
      </rPr>
      <t>연장</t>
    </r>
    <r>
      <rPr>
        <sz val="8.5"/>
        <color rgb="FF000000"/>
        <rFont val="맑은 고딕"/>
        <family val="3"/>
        <charset val="129"/>
      </rPr>
      <t>,BL=</t>
    </r>
    <r>
      <rPr>
        <sz val="8.5"/>
        <color rgb="FF000000"/>
        <rFont val="Noto Sans CJK SC"/>
        <family val="2"/>
      </rPr>
      <t>교량연장</t>
    </r>
    <r>
      <rPr>
        <sz val="8.5"/>
        <color rgb="FF000000"/>
        <rFont val="맑은 고딕"/>
        <family val="3"/>
        <charset val="129"/>
      </rPr>
      <t>,C=</t>
    </r>
    <r>
      <rPr>
        <sz val="8.5"/>
        <color rgb="FF000000"/>
        <rFont val="Noto Sans CJK SC"/>
        <family val="2"/>
      </rPr>
      <t>백만</t>
    </r>
  </si>
  <si>
    <t>Y=-2251.569+415.137×ln(C)</t>
  </si>
  <si>
    <r>
      <rPr>
        <sz val="8.5"/>
        <color rgb="FF000000"/>
        <rFont val="맑은 고딕"/>
        <family val="3"/>
        <charset val="129"/>
      </rPr>
      <t>C=</t>
    </r>
    <r>
      <rPr>
        <sz val="8.5"/>
        <color rgb="FF000000"/>
        <rFont val="Noto Sans CJK SC"/>
        <family val="2"/>
      </rPr>
      <t>공사비</t>
    </r>
    <r>
      <rPr>
        <sz val="8.5"/>
        <color rgb="FF000000"/>
        <rFont val="맑은 고딕"/>
        <family val="3"/>
        <charset val="129"/>
      </rPr>
      <t>(</t>
    </r>
    <r>
      <rPr>
        <sz val="8.5"/>
        <color rgb="FF000000"/>
        <rFont val="Noto Sans CJK SC"/>
        <family val="2"/>
      </rPr>
      <t>백만</t>
    </r>
    <r>
      <rPr>
        <sz val="8.5"/>
        <color rgb="FF000000"/>
        <rFont val="맑은 고딕"/>
        <family val="3"/>
        <charset val="129"/>
      </rPr>
      <t>)</t>
    </r>
  </si>
  <si>
    <r>
      <rPr>
        <sz val="8.5"/>
        <color rgb="FF000000"/>
        <rFont val="맑은 고딕"/>
        <family val="3"/>
        <charset val="129"/>
      </rPr>
      <t>10~200</t>
    </r>
    <r>
      <rPr>
        <sz val="8.5"/>
        <color rgb="FF000000"/>
        <rFont val="Noto Sans CJK SC"/>
        <family val="2"/>
      </rPr>
      <t>억</t>
    </r>
  </si>
  <si>
    <t>Y=-1175.174+119.731×S-0.273×D+222.426×ln(C)</t>
  </si>
  <si>
    <r>
      <rPr>
        <sz val="8.5"/>
        <color rgb="FF000000"/>
        <rFont val="맑은 고딕"/>
        <family val="3"/>
        <charset val="129"/>
      </rPr>
      <t>S=</t>
    </r>
    <r>
      <rPr>
        <sz val="8.5"/>
        <color rgb="FF000000"/>
        <rFont val="Noto Sans CJK SC"/>
        <family val="2"/>
      </rPr>
      <t>양</t>
    </r>
    <r>
      <rPr>
        <sz val="8.5"/>
        <color rgb="FF000000"/>
        <rFont val="맑은 고딕"/>
        <family val="3"/>
        <charset val="129"/>
      </rPr>
      <t>/</t>
    </r>
    <r>
      <rPr>
        <sz val="8.5"/>
        <color rgb="FF000000"/>
        <rFont val="Noto Sans CJK SC"/>
        <family val="2"/>
      </rPr>
      <t>배수장 개수</t>
    </r>
    <r>
      <rPr>
        <sz val="8.5"/>
        <color rgb="FF000000"/>
        <rFont val="맑은 고딕"/>
        <family val="3"/>
        <charset val="129"/>
      </rPr>
      <t>,D=</t>
    </r>
    <r>
      <rPr>
        <sz val="8.5"/>
        <color rgb="FF000000"/>
        <rFont val="Noto Sans CJK SC"/>
        <family val="2"/>
      </rPr>
      <t>관경</t>
    </r>
    <r>
      <rPr>
        <sz val="8.5"/>
        <color rgb="FF000000"/>
        <rFont val="맑은 고딕"/>
        <family val="3"/>
        <charset val="129"/>
      </rPr>
      <t>,C=</t>
    </r>
    <r>
      <rPr>
        <sz val="8.5"/>
        <color rgb="FF000000"/>
        <rFont val="Noto Sans CJK SC"/>
        <family val="2"/>
      </rPr>
      <t>백만</t>
    </r>
  </si>
  <si>
    <r>
      <rPr>
        <sz val="8.5"/>
        <color rgb="FF000000"/>
        <rFont val="맑은 고딕"/>
        <family val="3"/>
        <charset val="129"/>
      </rPr>
      <t>80</t>
    </r>
    <r>
      <rPr>
        <sz val="8.5"/>
        <color rgb="FF000000"/>
        <rFont val="Noto Sans CJK SC"/>
        <family val="2"/>
      </rPr>
      <t>억 이하</t>
    </r>
  </si>
  <si>
    <t>Y=-452.433+98.364×ln(SL)+0.083×C</t>
  </si>
  <si>
    <r>
      <rPr>
        <sz val="8.5"/>
        <color rgb="FF000000"/>
        <rFont val="맑은 고딕"/>
        <family val="3"/>
        <charset val="129"/>
      </rPr>
      <t>SL=</t>
    </r>
    <r>
      <rPr>
        <sz val="8.5"/>
        <color rgb="FF000000"/>
        <rFont val="Noto Sans CJK SC"/>
        <family val="2"/>
      </rPr>
      <t>하수도연장</t>
    </r>
    <r>
      <rPr>
        <sz val="8.5"/>
        <color rgb="FF000000"/>
        <rFont val="맑은 고딕"/>
        <family val="3"/>
        <charset val="129"/>
      </rPr>
      <t>(m),C=</t>
    </r>
    <r>
      <rPr>
        <sz val="8.5"/>
        <color rgb="FF000000"/>
        <rFont val="Noto Sans CJK SC"/>
        <family val="2"/>
      </rPr>
      <t>백만</t>
    </r>
  </si>
  <si>
    <r>
      <rPr>
        <sz val="8.5"/>
        <color rgb="FF000000"/>
        <rFont val="맑은 고딕"/>
        <family val="3"/>
        <charset val="129"/>
      </rPr>
      <t>150</t>
    </r>
    <r>
      <rPr>
        <sz val="8.5"/>
        <color rgb="FF000000"/>
        <rFont val="Noto Sans CJK SC"/>
        <family val="2"/>
      </rPr>
      <t>억 이하</t>
    </r>
  </si>
  <si>
    <r>
      <rPr>
        <b/>
        <sz val="9"/>
        <color rgb="FF000000"/>
        <rFont val="Noto Sans CJK SC"/>
        <family val="2"/>
      </rPr>
      <t>철도</t>
    </r>
    <r>
      <rPr>
        <b/>
        <sz val="9"/>
        <color rgb="FF000000"/>
        <rFont val="맑은 고딕"/>
        <family val="3"/>
        <charset val="129"/>
      </rPr>
      <t>(</t>
    </r>
    <r>
      <rPr>
        <b/>
        <sz val="9"/>
        <color rgb="FF000000"/>
        <rFont val="Noto Sans CJK SC"/>
        <family val="2"/>
      </rPr>
      <t>궤도</t>
    </r>
    <r>
      <rPr>
        <b/>
        <sz val="9"/>
        <color rgb="FF000000"/>
        <rFont val="맑은 고딕"/>
        <family val="3"/>
        <charset val="129"/>
      </rPr>
      <t>)</t>
    </r>
  </si>
  <si>
    <t>Y=-1723.316-74.260×ln(RL)+372.266×ln(C)</t>
  </si>
  <si>
    <r>
      <rPr>
        <sz val="8.5"/>
        <color rgb="FF000000"/>
        <rFont val="맑은 고딕"/>
        <family val="3"/>
        <charset val="129"/>
      </rPr>
      <t>RL=</t>
    </r>
    <r>
      <rPr>
        <sz val="8.5"/>
        <color rgb="FF000000"/>
        <rFont val="Noto Sans CJK SC"/>
        <family val="2"/>
      </rPr>
      <t>궤도연장</t>
    </r>
    <r>
      <rPr>
        <sz val="8.5"/>
        <color rgb="FF000000"/>
        <rFont val="맑은 고딕"/>
        <family val="3"/>
        <charset val="129"/>
      </rPr>
      <t>(m),C=</t>
    </r>
    <r>
      <rPr>
        <sz val="8.5"/>
        <color rgb="FF000000"/>
        <rFont val="Noto Sans CJK SC"/>
        <family val="2"/>
      </rPr>
      <t>백만</t>
    </r>
  </si>
  <si>
    <r>
      <rPr>
        <sz val="8.5"/>
        <color rgb="FF000000"/>
        <rFont val="맑은 고딕"/>
        <family val="3"/>
        <charset val="129"/>
      </rPr>
      <t>1,200</t>
    </r>
    <r>
      <rPr>
        <sz val="8.5"/>
        <color rgb="FF000000"/>
        <rFont val="Noto Sans CJK SC"/>
        <family val="2"/>
      </rPr>
      <t>억 이하</t>
    </r>
  </si>
  <si>
    <t>Y=129.06×C^0.2557</t>
  </si>
  <si>
    <r>
      <rPr>
        <sz val="8.5"/>
        <color rgb="FF000000"/>
        <rFont val="맑은 고딕"/>
        <family val="3"/>
        <charset val="129"/>
      </rPr>
      <t>C=</t>
    </r>
    <r>
      <rPr>
        <sz val="8.5"/>
        <color rgb="FF000000"/>
        <rFont val="Noto Sans CJK SC"/>
        <family val="2"/>
      </rPr>
      <t>공사비</t>
    </r>
    <r>
      <rPr>
        <sz val="8.5"/>
        <color rgb="FF000000"/>
        <rFont val="맑은 고딕"/>
        <family val="3"/>
        <charset val="129"/>
      </rPr>
      <t>(</t>
    </r>
    <r>
      <rPr>
        <sz val="8.5"/>
        <color rgb="FF000000"/>
        <rFont val="Noto Sans CJK SC"/>
        <family val="2"/>
      </rPr>
      <t>억원</t>
    </r>
    <r>
      <rPr>
        <sz val="8.5"/>
        <color rgb="FF000000"/>
        <rFont val="맑은 고딕"/>
        <family val="3"/>
        <charset val="129"/>
      </rPr>
      <t>)</t>
    </r>
  </si>
  <si>
    <r>
      <rPr>
        <sz val="8.5"/>
        <color rgb="FF000000"/>
        <rFont val="맑은 고딕"/>
        <family val="3"/>
        <charset val="129"/>
      </rPr>
      <t>200</t>
    </r>
    <r>
      <rPr>
        <sz val="8.5"/>
        <color rgb="FF000000"/>
        <rFont val="Noto Sans CJK SC"/>
        <family val="2"/>
      </rPr>
      <t>억 이하</t>
    </r>
  </si>
  <si>
    <t>Y=155.94×ln(C)-82.355</t>
  </si>
  <si>
    <r>
      <rPr>
        <sz val="8.5"/>
        <color rgb="FF000000"/>
        <rFont val="맑은 고딕"/>
        <family val="3"/>
        <charset val="129"/>
      </rPr>
      <t>500</t>
    </r>
    <r>
      <rPr>
        <sz val="8.5"/>
        <color rgb="FF000000"/>
        <rFont val="Noto Sans CJK SC"/>
        <family val="2"/>
      </rPr>
      <t>억 이하</t>
    </r>
  </si>
  <si>
    <t>Y=-68.55+18.192×B+12.079×G-5.25×ln(A)+167.632×ln(C)</t>
  </si>
  <si>
    <r>
      <rPr>
        <sz val="8.5"/>
        <color rgb="FF000000"/>
        <rFont val="맑은 고딕"/>
        <family val="3"/>
        <charset val="129"/>
      </rPr>
      <t>C=</t>
    </r>
    <r>
      <rPr>
        <sz val="8.5"/>
        <color rgb="FF000000"/>
        <rFont val="Noto Sans CJK SC"/>
        <family val="2"/>
      </rPr>
      <t>억</t>
    </r>
    <r>
      <rPr>
        <sz val="8.5"/>
        <color rgb="FF000000"/>
        <rFont val="맑은 고딕"/>
        <family val="3"/>
        <charset val="129"/>
      </rPr>
      <t>,A=</t>
    </r>
    <r>
      <rPr>
        <sz val="8.5"/>
        <color rgb="FF000000"/>
        <rFont val="Noto Sans CJK SC"/>
        <family val="2"/>
      </rPr>
      <t>연면적</t>
    </r>
    <r>
      <rPr>
        <sz val="8.5"/>
        <color rgb="FF000000"/>
        <rFont val="맑은 고딕"/>
        <family val="3"/>
        <charset val="129"/>
      </rPr>
      <t>(100</t>
    </r>
    <r>
      <rPr>
        <sz val="8.5"/>
        <color rgb="FF000000"/>
        <rFont val="Noto Sans CJK SC"/>
        <family val="2"/>
      </rPr>
      <t>㎡</t>
    </r>
    <r>
      <rPr>
        <sz val="8.5"/>
        <color rgb="FF000000"/>
        <rFont val="맑은 고딕"/>
        <family val="3"/>
        <charset val="129"/>
      </rPr>
      <t>),G=</t>
    </r>
    <r>
      <rPr>
        <sz val="8.5"/>
        <color rgb="FF000000"/>
        <rFont val="Noto Sans CJK SC"/>
        <family val="2"/>
      </rPr>
      <t>지상층</t>
    </r>
    <r>
      <rPr>
        <sz val="8.5"/>
        <color rgb="FF000000"/>
        <rFont val="맑은 고딕"/>
        <family val="3"/>
        <charset val="129"/>
      </rPr>
      <t>,B=</t>
    </r>
    <r>
      <rPr>
        <sz val="8.5"/>
        <color rgb="FF000000"/>
        <rFont val="Noto Sans CJK SC"/>
        <family val="2"/>
      </rPr>
      <t>지하층</t>
    </r>
  </si>
  <si>
    <r>
      <rPr>
        <i/>
        <sz val="8"/>
        <color rgb="FFC00000"/>
        <rFont val="Noto Sans CJK SC"/>
        <family val="2"/>
      </rPr>
      <t>※ 산정값</t>
    </r>
    <r>
      <rPr>
        <i/>
        <sz val="8"/>
        <color rgb="FFC00000"/>
        <rFont val="맑은 고딕"/>
        <family val="3"/>
        <charset val="129"/>
      </rPr>
      <t>(Y)</t>
    </r>
    <r>
      <rPr>
        <i/>
        <sz val="8"/>
        <color rgb="FFC00000"/>
        <rFont val="Noto Sans CJK SC"/>
        <family val="2"/>
      </rPr>
      <t>은 비작업일수 포함</t>
    </r>
    <r>
      <rPr>
        <i/>
        <sz val="8"/>
        <color rgb="FFC00000"/>
        <rFont val="맑은 고딕"/>
        <family val="3"/>
        <charset val="129"/>
      </rPr>
      <t xml:space="preserve">. </t>
    </r>
    <r>
      <rPr>
        <i/>
        <sz val="8"/>
        <color rgb="FFC00000"/>
        <rFont val="Noto Sans CJK SC"/>
        <family val="2"/>
      </rPr>
      <t>단위</t>
    </r>
    <r>
      <rPr>
        <i/>
        <sz val="8"/>
        <color rgb="FFC00000"/>
        <rFont val="맑은 고딕"/>
        <family val="3"/>
        <charset val="129"/>
      </rPr>
      <t>(</t>
    </r>
    <r>
      <rPr>
        <i/>
        <sz val="8"/>
        <color rgb="FFC00000"/>
        <rFont val="Noto Sans CJK SC"/>
        <family val="2"/>
      </rPr>
      <t>백만</t>
    </r>
    <r>
      <rPr>
        <i/>
        <sz val="8"/>
        <color rgb="FFC00000"/>
        <rFont val="맑은 고딕"/>
        <family val="3"/>
        <charset val="129"/>
      </rPr>
      <t>/</t>
    </r>
    <r>
      <rPr>
        <i/>
        <sz val="8"/>
        <color rgb="FFC00000"/>
        <rFont val="Noto Sans CJK SC"/>
        <family val="2"/>
      </rPr>
      <t>억</t>
    </r>
    <r>
      <rPr>
        <i/>
        <sz val="8"/>
        <color rgb="FFC00000"/>
        <rFont val="맑은 고딕"/>
        <family val="3"/>
        <charset val="129"/>
      </rPr>
      <t xml:space="preserve">) </t>
    </r>
    <r>
      <rPr>
        <i/>
        <sz val="8"/>
        <color rgb="FFC00000"/>
        <rFont val="Noto Sans CJK SC"/>
        <family val="2"/>
      </rPr>
      <t>주의</t>
    </r>
    <r>
      <rPr>
        <i/>
        <sz val="8"/>
        <color rgb="FFC00000"/>
        <rFont val="맑은 고딕"/>
        <family val="3"/>
        <charset val="129"/>
      </rPr>
      <t xml:space="preserve">. </t>
    </r>
    <r>
      <rPr>
        <i/>
        <sz val="8"/>
        <color rgb="FFC00000"/>
        <rFont val="Noto Sans CJK SC"/>
        <family val="2"/>
      </rPr>
      <t>적용범위 내에서만 사용</t>
    </r>
    <r>
      <rPr>
        <i/>
        <sz val="8"/>
        <color rgb="FFC00000"/>
        <rFont val="맑은 고딕"/>
        <family val="3"/>
        <charset val="129"/>
      </rPr>
      <t>.</t>
    </r>
  </si>
  <si>
    <r>
      <rPr>
        <b/>
        <sz val="11"/>
        <color rgb="FF1F3864"/>
        <rFont val="Noto Sans CJK SC"/>
        <family val="2"/>
      </rPr>
      <t>건설공사 유형별 준비기간 예시</t>
    </r>
    <r>
      <rPr>
        <b/>
        <sz val="11"/>
        <color rgb="FF1F3864"/>
        <rFont val="맑은 고딕"/>
        <family val="3"/>
        <charset val="129"/>
      </rPr>
      <t>(</t>
    </r>
    <r>
      <rPr>
        <b/>
        <sz val="11"/>
        <color rgb="FF1F3864"/>
        <rFont val="Noto Sans CJK SC"/>
        <family val="2"/>
      </rPr>
      <t>일</t>
    </r>
    <r>
      <rPr>
        <b/>
        <sz val="11"/>
        <color rgb="FF1F3864"/>
        <rFont val="맑은 고딕"/>
        <family val="3"/>
        <charset val="129"/>
      </rPr>
      <t>)</t>
    </r>
  </si>
  <si>
    <t>공동주택</t>
  </si>
  <si>
    <t>고속도로</t>
  </si>
  <si>
    <t>철도</t>
  </si>
  <si>
    <r>
      <rPr>
        <sz val="9"/>
        <color rgb="FF000000"/>
        <rFont val="Noto Sans CJK SC"/>
        <family val="2"/>
      </rPr>
      <t>포장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신설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</si>
  <si>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>포장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수선</t>
    </r>
    <r>
      <rPr>
        <sz val="9"/>
        <color rgb="FF000000"/>
        <rFont val="맑은 고딕"/>
        <family val="3"/>
        <charset val="129"/>
      </rPr>
      <t>)</t>
    </r>
  </si>
  <si>
    <t>공동구</t>
  </si>
  <si>
    <t>하천</t>
  </si>
  <si>
    <t>항만</t>
  </si>
  <si>
    <t>강교가설</t>
  </si>
  <si>
    <r>
      <rPr>
        <sz val="9"/>
        <color rgb="FF000000"/>
        <rFont val="맑은 고딕"/>
        <family val="3"/>
        <charset val="129"/>
      </rPr>
      <t>PC</t>
    </r>
    <r>
      <rPr>
        <sz val="9"/>
        <color rgb="FF000000"/>
        <rFont val="Noto Sans CJK SC"/>
        <family val="2"/>
      </rPr>
      <t>교량</t>
    </r>
  </si>
  <si>
    <t>교량보수</t>
  </si>
  <si>
    <r>
      <rPr>
        <i/>
        <sz val="9"/>
        <color rgb="FF595959"/>
        <rFont val="Noto Sans CJK SC"/>
        <family val="2"/>
      </rPr>
      <t>정리기간</t>
    </r>
    <r>
      <rPr>
        <i/>
        <sz val="9"/>
        <color rgb="FF595959"/>
        <rFont val="맑은 고딕"/>
        <family val="3"/>
        <charset val="129"/>
      </rPr>
      <t xml:space="preserve">: </t>
    </r>
    <r>
      <rPr>
        <i/>
        <sz val="9"/>
        <color rgb="FF595959"/>
        <rFont val="Noto Sans CJK SC"/>
        <family val="2"/>
      </rPr>
      <t xml:space="preserve">주요공종 완료 후 준공 전 </t>
    </r>
    <r>
      <rPr>
        <i/>
        <sz val="9"/>
        <color rgb="FF595959"/>
        <rFont val="맑은 고딕"/>
        <family val="3"/>
        <charset val="129"/>
      </rPr>
      <t>1</t>
    </r>
    <r>
      <rPr>
        <i/>
        <sz val="9"/>
        <color rgb="FF595959"/>
        <rFont val="Noto Sans CJK SC"/>
        <family val="2"/>
      </rPr>
      <t>개월</t>
    </r>
    <r>
      <rPr>
        <i/>
        <sz val="9"/>
        <color rgb="FF595959"/>
        <rFont val="맑은 고딕"/>
        <family val="3"/>
        <charset val="129"/>
      </rPr>
      <t>(30</t>
    </r>
    <r>
      <rPr>
        <i/>
        <sz val="9"/>
        <color rgb="FF595959"/>
        <rFont val="Noto Sans CJK SC"/>
        <family val="2"/>
      </rPr>
      <t>일</t>
    </r>
    <r>
      <rPr>
        <i/>
        <sz val="9"/>
        <color rgb="FF595959"/>
        <rFont val="맑은 고딕"/>
        <family val="3"/>
        <charset val="129"/>
      </rPr>
      <t xml:space="preserve">) </t>
    </r>
    <r>
      <rPr>
        <i/>
        <sz val="9"/>
        <color rgb="FF595959"/>
        <rFont val="Noto Sans CJK SC"/>
        <family val="2"/>
      </rPr>
      <t>범위에서 계상</t>
    </r>
    <r>
      <rPr>
        <i/>
        <sz val="9"/>
        <color rgb="FF595959"/>
        <rFont val="맑은 고딕"/>
        <family val="3"/>
        <charset val="129"/>
      </rPr>
      <t xml:space="preserve">. </t>
    </r>
    <r>
      <rPr>
        <i/>
        <sz val="9"/>
        <color rgb="FF595959"/>
        <rFont val="Noto Sans CJK SC"/>
        <family val="2"/>
      </rPr>
      <t>준비</t>
    </r>
    <r>
      <rPr>
        <i/>
        <sz val="9"/>
        <color rgb="FF595959"/>
        <rFont val="맑은 고딕"/>
        <family val="3"/>
        <charset val="129"/>
      </rPr>
      <t>·</t>
    </r>
    <r>
      <rPr>
        <i/>
        <sz val="9"/>
        <color rgb="FF595959"/>
        <rFont val="Noto Sans CJK SC"/>
        <family val="2"/>
      </rPr>
      <t>정리기간에는 비작업일수 미계상</t>
    </r>
    <r>
      <rPr>
        <i/>
        <sz val="9"/>
        <color rgb="FF595959"/>
        <rFont val="맑은 고딕"/>
        <family val="3"/>
        <charset val="129"/>
      </rPr>
      <t>.</t>
    </r>
  </si>
  <si>
    <r>
      <rPr>
        <b/>
        <sz val="13"/>
        <color rgb="FFFFFFFF"/>
        <rFont val="Noto Sans CJK SC"/>
        <family val="2"/>
      </rPr>
      <t>부록</t>
    </r>
    <r>
      <rPr>
        <b/>
        <sz val="13"/>
        <color rgb="FFFFFFFF"/>
        <rFont val="맑은 고딕"/>
        <family val="3"/>
        <charset val="129"/>
      </rPr>
      <t xml:space="preserve">3 </t>
    </r>
    <r>
      <rPr>
        <b/>
        <sz val="13"/>
        <color rgb="FFFFFFFF"/>
        <rFont val="Noto Sans CJK SC"/>
        <family val="2"/>
      </rPr>
      <t>기상조건별</t>
    </r>
    <r>
      <rPr>
        <b/>
        <sz val="13"/>
        <color rgb="FFFFFFFF"/>
        <rFont val="맑은 고딕"/>
        <family val="3"/>
        <charset val="129"/>
      </rPr>
      <t>·</t>
    </r>
    <r>
      <rPr>
        <b/>
        <sz val="13"/>
        <color rgb="FFFFFFFF"/>
        <rFont val="Noto Sans CJK SC"/>
        <family val="2"/>
      </rPr>
      <t xml:space="preserve">지역별 비작업일수 </t>
    </r>
    <r>
      <rPr>
        <b/>
        <sz val="13"/>
        <color rgb="FFFFFFFF"/>
        <rFont val="맑은 고딕"/>
        <family val="3"/>
        <charset val="129"/>
      </rPr>
      <t xml:space="preserve">DB (2015–2024 </t>
    </r>
    <r>
      <rPr>
        <b/>
        <sz val="13"/>
        <color rgb="FFFFFFFF"/>
        <rFont val="Noto Sans CJK SC"/>
        <family val="2"/>
      </rPr>
      <t>월평균</t>
    </r>
    <r>
      <rPr>
        <b/>
        <sz val="13"/>
        <color rgb="FFFFFFFF"/>
        <rFont val="맑은 고딕"/>
        <family val="3"/>
        <charset val="129"/>
      </rPr>
      <t>) — ②-1</t>
    </r>
    <r>
      <rPr>
        <b/>
        <sz val="13"/>
        <color rgb="FFFFFFFF"/>
        <rFont val="Noto Sans CJK SC"/>
        <family val="2"/>
      </rPr>
      <t>에서 자동 참조</t>
    </r>
  </si>
  <si>
    <r>
      <rPr>
        <i/>
        <sz val="8.5"/>
        <color rgb="FFC00000"/>
        <rFont val="Noto Sans CJK SC"/>
        <family val="2"/>
      </rPr>
      <t>■ 우측 매트릭스의 월별 수치</t>
    </r>
    <r>
      <rPr>
        <i/>
        <sz val="8.5"/>
        <color rgb="FFC00000"/>
        <rFont val="맑은 고딕"/>
        <family val="3"/>
        <charset val="129"/>
      </rPr>
      <t>(</t>
    </r>
    <r>
      <rPr>
        <i/>
        <sz val="8.5"/>
        <color rgb="FFC00000"/>
        <rFont val="Noto Sans CJK SC"/>
        <family val="2"/>
      </rPr>
      <t>흰색</t>
    </r>
    <r>
      <rPr>
        <i/>
        <sz val="8.5"/>
        <color rgb="FFC00000"/>
        <rFont val="맑은 고딕"/>
        <family val="3"/>
        <charset val="129"/>
      </rPr>
      <t>)</t>
    </r>
    <r>
      <rPr>
        <i/>
        <sz val="8.5"/>
        <color rgb="FFC00000"/>
        <rFont val="Noto Sans CJK SC"/>
        <family val="2"/>
      </rPr>
      <t>를 수정하면 ②</t>
    </r>
    <r>
      <rPr>
        <i/>
        <sz val="8.5"/>
        <color rgb="FFC00000"/>
        <rFont val="맑은 고딕"/>
        <family val="3"/>
        <charset val="129"/>
      </rPr>
      <t xml:space="preserve">-1 </t>
    </r>
    <r>
      <rPr>
        <i/>
        <sz val="8.5"/>
        <color rgb="FFC00000"/>
        <rFont val="Noto Sans CJK SC"/>
        <family val="2"/>
      </rPr>
      <t>기후비작업근거 → ② 비작업일수가 자동 갱신됩니다</t>
    </r>
    <r>
      <rPr>
        <i/>
        <sz val="8.5"/>
        <color rgb="FFC00000"/>
        <rFont val="맑은 고딕"/>
        <family val="3"/>
        <charset val="129"/>
      </rPr>
      <t xml:space="preserve">. </t>
    </r>
    <r>
      <rPr>
        <i/>
        <sz val="8.5"/>
        <color rgb="FFC00000"/>
        <rFont val="Noto Sans CJK SC"/>
        <family val="2"/>
      </rPr>
      <t xml:space="preserve">좌측 </t>
    </r>
    <r>
      <rPr>
        <i/>
        <sz val="8.5"/>
        <color rgb="FFC00000"/>
        <rFont val="맑은 고딕"/>
        <family val="3"/>
        <charset val="129"/>
      </rPr>
      <t>'</t>
    </r>
    <r>
      <rPr>
        <i/>
        <sz val="8.5"/>
        <color rgb="FFC00000"/>
        <rFont val="Noto Sans CJK SC"/>
        <family val="2"/>
      </rPr>
      <t>지점목록</t>
    </r>
    <r>
      <rPr>
        <i/>
        <sz val="8.5"/>
        <color rgb="FFC00000"/>
        <rFont val="맑은 고딕"/>
        <family val="3"/>
        <charset val="129"/>
      </rPr>
      <t>'</t>
    </r>
    <r>
      <rPr>
        <i/>
        <sz val="8.5"/>
        <color rgb="FFC00000"/>
        <rFont val="Noto Sans CJK SC"/>
        <family val="2"/>
      </rPr>
      <t>은 ②</t>
    </r>
    <r>
      <rPr>
        <i/>
        <sz val="8.5"/>
        <color rgb="FFC00000"/>
        <rFont val="맑은 고딕"/>
        <family val="3"/>
        <charset val="129"/>
      </rPr>
      <t>-1</t>
    </r>
    <r>
      <rPr>
        <i/>
        <sz val="8.5"/>
        <color rgb="FFC00000"/>
        <rFont val="Noto Sans CJK SC"/>
        <family val="2"/>
      </rPr>
      <t>의 관측지점 드롭다운 원본입니다</t>
    </r>
    <r>
      <rPr>
        <i/>
        <sz val="8.5"/>
        <color rgb="FFC00000"/>
        <rFont val="맑은 고딕"/>
        <family val="3"/>
        <charset val="129"/>
      </rPr>
      <t>.</t>
    </r>
  </si>
  <si>
    <r>
      <rPr>
        <i/>
        <sz val="8.5"/>
        <color rgb="FF595959"/>
        <rFont val="맑은 고딕"/>
        <family val="3"/>
        <charset val="129"/>
      </rPr>
      <t>■ '</t>
    </r>
    <r>
      <rPr>
        <i/>
        <sz val="8.5"/>
        <color rgb="FF595959"/>
        <rFont val="Noto Sans CJK SC"/>
        <family val="2"/>
      </rPr>
      <t>조회키</t>
    </r>
    <r>
      <rPr>
        <i/>
        <sz val="8.5"/>
        <color rgb="FF595959"/>
        <rFont val="맑은 고딕"/>
        <family val="3"/>
        <charset val="129"/>
      </rPr>
      <t>'</t>
    </r>
    <r>
      <rPr>
        <i/>
        <sz val="8.5"/>
        <color rgb="FF595959"/>
        <rFont val="Noto Sans CJK SC"/>
        <family val="2"/>
      </rPr>
      <t>는 자동수식</t>
    </r>
    <r>
      <rPr>
        <i/>
        <sz val="8.5"/>
        <color rgb="FF595959"/>
        <rFont val="맑은 고딕"/>
        <family val="3"/>
        <charset val="129"/>
      </rPr>
      <t>(</t>
    </r>
    <r>
      <rPr>
        <i/>
        <sz val="8.5"/>
        <color rgb="FF595959"/>
        <rFont val="Noto Sans CJK SC"/>
        <family val="2"/>
      </rPr>
      <t>지점명</t>
    </r>
    <r>
      <rPr>
        <i/>
        <sz val="8.5"/>
        <color rgb="FF595959"/>
        <rFont val="맑은 고딕"/>
        <family val="3"/>
        <charset val="129"/>
      </rPr>
      <t>|</t>
    </r>
    <r>
      <rPr>
        <i/>
        <sz val="8.5"/>
        <color rgb="FF595959"/>
        <rFont val="Noto Sans CJK SC"/>
        <family val="2"/>
      </rPr>
      <t>조건번호</t>
    </r>
    <r>
      <rPr>
        <i/>
        <sz val="8.5"/>
        <color rgb="FF595959"/>
        <rFont val="맑은 고딕"/>
        <family val="3"/>
        <charset val="129"/>
      </rPr>
      <t>)</t>
    </r>
    <r>
      <rPr>
        <i/>
        <sz val="8.5"/>
        <color rgb="FF595959"/>
        <rFont val="Noto Sans CJK SC"/>
        <family val="2"/>
      </rPr>
      <t>이므로 직접 수정하지 마세요</t>
    </r>
    <r>
      <rPr>
        <i/>
        <sz val="8.5"/>
        <color rgb="FF595959"/>
        <rFont val="맑은 고딕"/>
        <family val="3"/>
        <charset val="129"/>
      </rPr>
      <t xml:space="preserve">. </t>
    </r>
    <r>
      <rPr>
        <i/>
        <sz val="8.5"/>
        <color rgb="FF595959"/>
        <rFont val="Noto Sans CJK SC"/>
        <family val="2"/>
      </rPr>
      <t>지점</t>
    </r>
    <r>
      <rPr>
        <i/>
        <sz val="8.5"/>
        <color rgb="FF595959"/>
        <rFont val="맑은 고딕"/>
        <family val="3"/>
        <charset val="129"/>
      </rPr>
      <t>·</t>
    </r>
    <r>
      <rPr>
        <i/>
        <sz val="8.5"/>
        <color rgb="FF595959"/>
        <rFont val="Noto Sans CJK SC"/>
        <family val="2"/>
      </rPr>
      <t>조건을 추가하려면 행 삽입 후 지점명</t>
    </r>
    <r>
      <rPr>
        <i/>
        <sz val="8.5"/>
        <color rgb="FF595959"/>
        <rFont val="맑은 고딕"/>
        <family val="3"/>
        <charset val="129"/>
      </rPr>
      <t>·</t>
    </r>
    <r>
      <rPr>
        <i/>
        <sz val="8.5"/>
        <color rgb="FF595959"/>
        <rFont val="Noto Sans CJK SC"/>
        <family val="2"/>
      </rPr>
      <t>조건번호를 입력하면 조회키가 자동 생성됩니다</t>
    </r>
    <r>
      <rPr>
        <i/>
        <sz val="8.5"/>
        <color rgb="FF595959"/>
        <rFont val="맑은 고딕"/>
        <family val="3"/>
        <charset val="129"/>
      </rPr>
      <t>.</t>
    </r>
  </si>
  <si>
    <r>
      <rPr>
        <b/>
        <sz val="9.5"/>
        <color rgb="FF1F3864"/>
        <rFont val="맑은 고딕"/>
        <family val="3"/>
        <charset val="129"/>
      </rPr>
      <t xml:space="preserve">[ </t>
    </r>
    <r>
      <rPr>
        <b/>
        <sz val="9.5"/>
        <color rgb="FF1F3864"/>
        <rFont val="Noto Sans CJK SC"/>
        <family val="2"/>
      </rPr>
      <t xml:space="preserve">관측지점 목록 </t>
    </r>
    <r>
      <rPr>
        <b/>
        <sz val="9.5"/>
        <color rgb="FF1F3864"/>
        <rFont val="맑은 고딕"/>
        <family val="3"/>
        <charset val="129"/>
      </rPr>
      <t>(</t>
    </r>
    <r>
      <rPr>
        <b/>
        <sz val="9.5"/>
        <color rgb="FF1F3864"/>
        <rFont val="Noto Sans CJK SC"/>
        <family val="2"/>
      </rPr>
      <t>드롭다운용</t>
    </r>
    <r>
      <rPr>
        <b/>
        <sz val="9.5"/>
        <color rgb="FF1F3864"/>
        <rFont val="맑은 고딕"/>
        <family val="3"/>
        <charset val="129"/>
      </rPr>
      <t>) ]</t>
    </r>
  </si>
  <si>
    <r>
      <rPr>
        <b/>
        <sz val="9.5"/>
        <color rgb="FF1F3864"/>
        <rFont val="맑은 고딕"/>
        <family val="3"/>
        <charset val="129"/>
      </rPr>
      <t xml:space="preserve">[ </t>
    </r>
    <r>
      <rPr>
        <b/>
        <sz val="9.5"/>
        <color rgb="FF1F3864"/>
        <rFont val="Noto Sans CJK SC"/>
        <family val="2"/>
      </rPr>
      <t>조건별</t>
    </r>
    <r>
      <rPr>
        <b/>
        <sz val="9.5"/>
        <color rgb="FF1F3864"/>
        <rFont val="맑은 고딕"/>
        <family val="3"/>
        <charset val="129"/>
      </rPr>
      <t>·</t>
    </r>
    <r>
      <rPr>
        <b/>
        <sz val="9.5"/>
        <color rgb="FF1F3864"/>
        <rFont val="Noto Sans CJK SC"/>
        <family val="2"/>
      </rPr>
      <t xml:space="preserve">지점별 월별 비작업일수 매트릭스 </t>
    </r>
    <r>
      <rPr>
        <b/>
        <sz val="9.5"/>
        <color rgb="FF1F3864"/>
        <rFont val="맑은 고딕"/>
        <family val="3"/>
        <charset val="129"/>
      </rPr>
      <t>(</t>
    </r>
    <r>
      <rPr>
        <b/>
        <sz val="9.5"/>
        <color rgb="FF1F3864"/>
        <rFont val="Noto Sans CJK SC"/>
        <family val="2"/>
      </rPr>
      <t>편집 영역</t>
    </r>
    <r>
      <rPr>
        <b/>
        <sz val="9.5"/>
        <color rgb="FF1F3864"/>
        <rFont val="맑은 고딕"/>
        <family val="3"/>
        <charset val="129"/>
      </rPr>
      <t>) ]</t>
    </r>
  </si>
  <si>
    <t>지점명</t>
  </si>
  <si>
    <t>지점코드</t>
  </si>
  <si>
    <t>조건번호</t>
  </si>
  <si>
    <t>강릉</t>
  </si>
  <si>
    <t>강원도</t>
  </si>
  <si>
    <t>105</t>
  </si>
  <si>
    <r>
      <rPr>
        <sz val="8"/>
        <color rgb="FF000000"/>
        <rFont val="Noto Sans CJK SC"/>
        <family val="2"/>
      </rPr>
      <t>혹서기</t>
    </r>
    <r>
      <rPr>
        <sz val="8"/>
        <color rgb="FF000000"/>
        <rFont val="맑은 고딕"/>
        <family val="3"/>
        <charset val="129"/>
      </rPr>
      <t>:</t>
    </r>
    <r>
      <rPr>
        <sz val="8"/>
        <color rgb="FF000000"/>
        <rFont val="Noto Sans CJK SC"/>
        <family val="2"/>
      </rPr>
      <t xml:space="preserve">체감온도 </t>
    </r>
    <r>
      <rPr>
        <sz val="8"/>
        <color rgb="FF000000"/>
        <rFont val="맑은 고딕"/>
        <family val="3"/>
        <charset val="129"/>
      </rPr>
      <t xml:space="preserve">33°C </t>
    </r>
    <r>
      <rPr>
        <sz val="8"/>
        <color rgb="FF000000"/>
        <rFont val="Noto Sans CJK SC"/>
        <family val="2"/>
      </rPr>
      <t>이상</t>
    </r>
  </si>
  <si>
    <t>대관령</t>
  </si>
  <si>
    <t>100</t>
  </si>
  <si>
    <t>동해</t>
  </si>
  <si>
    <t>106</t>
  </si>
  <si>
    <t>북강릉</t>
  </si>
  <si>
    <t>104</t>
  </si>
  <si>
    <t>북춘천</t>
  </si>
  <si>
    <t>93</t>
  </si>
  <si>
    <t>속초</t>
  </si>
  <si>
    <t>90</t>
  </si>
  <si>
    <t>영월</t>
  </si>
  <si>
    <t>121</t>
  </si>
  <si>
    <t>원주</t>
  </si>
  <si>
    <t>114</t>
  </si>
  <si>
    <t>인제</t>
  </si>
  <si>
    <t>211</t>
  </si>
  <si>
    <t>정선군</t>
  </si>
  <si>
    <t>217</t>
  </si>
  <si>
    <t>철원</t>
  </si>
  <si>
    <t>95</t>
  </si>
  <si>
    <t>춘천</t>
  </si>
  <si>
    <t>101</t>
  </si>
  <si>
    <t>태백</t>
  </si>
  <si>
    <t>216</t>
  </si>
  <si>
    <t>홍천</t>
  </si>
  <si>
    <t>212</t>
  </si>
  <si>
    <t>동두천</t>
  </si>
  <si>
    <t>경기도</t>
  </si>
  <si>
    <t>98</t>
  </si>
  <si>
    <t>수원</t>
  </si>
  <si>
    <t>119</t>
  </si>
  <si>
    <t>양평</t>
  </si>
  <si>
    <t>202</t>
  </si>
  <si>
    <t>이천</t>
  </si>
  <si>
    <t>203</t>
  </si>
  <si>
    <t>파주</t>
  </si>
  <si>
    <t>99</t>
  </si>
  <si>
    <t>거제</t>
  </si>
  <si>
    <t>경상남도</t>
  </si>
  <si>
    <t>294</t>
  </si>
  <si>
    <t>거창</t>
  </si>
  <si>
    <t>284</t>
  </si>
  <si>
    <t>김해시</t>
  </si>
  <si>
    <t>253</t>
  </si>
  <si>
    <t>남해</t>
  </si>
  <si>
    <t>295</t>
  </si>
  <si>
    <t>밀양</t>
  </si>
  <si>
    <t>288</t>
  </si>
  <si>
    <t>북창원</t>
  </si>
  <si>
    <t>255</t>
  </si>
  <si>
    <t>산청</t>
  </si>
  <si>
    <t>289</t>
  </si>
  <si>
    <t>양산시</t>
  </si>
  <si>
    <t>257</t>
  </si>
  <si>
    <t>의령군</t>
  </si>
  <si>
    <t>263</t>
  </si>
  <si>
    <t>진주</t>
  </si>
  <si>
    <t>192</t>
  </si>
  <si>
    <t>창원</t>
  </si>
  <si>
    <t>155</t>
  </si>
  <si>
    <t>통영</t>
  </si>
  <si>
    <t>162</t>
  </si>
  <si>
    <t>함양군</t>
  </si>
  <si>
    <t>264</t>
  </si>
  <si>
    <t>합천</t>
  </si>
  <si>
    <t>285</t>
  </si>
  <si>
    <t>경주시</t>
  </si>
  <si>
    <t>경상북도</t>
  </si>
  <si>
    <t>283</t>
  </si>
  <si>
    <t>구미</t>
  </si>
  <si>
    <t>279</t>
  </si>
  <si>
    <t>문경</t>
  </si>
  <si>
    <t>273</t>
  </si>
  <si>
    <t>봉화</t>
  </si>
  <si>
    <t>271</t>
  </si>
  <si>
    <t>상주</t>
  </si>
  <si>
    <t>137</t>
  </si>
  <si>
    <t>안동</t>
  </si>
  <si>
    <t>136</t>
  </si>
  <si>
    <t>영덕</t>
  </si>
  <si>
    <t>277</t>
  </si>
  <si>
    <t>영주</t>
  </si>
  <si>
    <t>272</t>
  </si>
  <si>
    <t>영천</t>
  </si>
  <si>
    <t>281</t>
  </si>
  <si>
    <t>울릉도</t>
  </si>
  <si>
    <t>115</t>
  </si>
  <si>
    <t>울진</t>
  </si>
  <si>
    <t>130</t>
  </si>
  <si>
    <t>의성</t>
  </si>
  <si>
    <t>278</t>
  </si>
  <si>
    <t>청송군</t>
  </si>
  <si>
    <t>276</t>
  </si>
  <si>
    <t>포항</t>
  </si>
  <si>
    <t>138</t>
  </si>
  <si>
    <t>광주</t>
  </si>
  <si>
    <t>광주광역시</t>
  </si>
  <si>
    <t>156</t>
  </si>
  <si>
    <t>대구</t>
  </si>
  <si>
    <t>대구광역시</t>
  </si>
  <si>
    <t>143</t>
  </si>
  <si>
    <t>대전</t>
  </si>
  <si>
    <t>대전광역시</t>
  </si>
  <si>
    <t>133</t>
  </si>
  <si>
    <t>부산</t>
  </si>
  <si>
    <t>부산광역시</t>
  </si>
  <si>
    <t>159</t>
  </si>
  <si>
    <t>서울특별시</t>
  </si>
  <si>
    <t>108</t>
  </si>
  <si>
    <t>세종</t>
  </si>
  <si>
    <t>세종특별시</t>
  </si>
  <si>
    <t>239</t>
  </si>
  <si>
    <t>울산</t>
  </si>
  <si>
    <t>울산광역시</t>
  </si>
  <si>
    <t>152</t>
  </si>
  <si>
    <t>강화</t>
  </si>
  <si>
    <t>인천광역시</t>
  </si>
  <si>
    <t>201</t>
  </si>
  <si>
    <t>백령도</t>
  </si>
  <si>
    <t>102</t>
  </si>
  <si>
    <t>인천</t>
  </si>
  <si>
    <t>112</t>
  </si>
  <si>
    <t>강진군</t>
  </si>
  <si>
    <t>전라남도</t>
  </si>
  <si>
    <t>259</t>
  </si>
  <si>
    <t>고흥</t>
  </si>
  <si>
    <t>262</t>
  </si>
  <si>
    <t>광양시</t>
  </si>
  <si>
    <t>266</t>
  </si>
  <si>
    <t>목포</t>
  </si>
  <si>
    <t>165</t>
  </si>
  <si>
    <t>보성군</t>
  </si>
  <si>
    <t>258</t>
  </si>
  <si>
    <t>순천</t>
  </si>
  <si>
    <t>174</t>
  </si>
  <si>
    <t>여수</t>
  </si>
  <si>
    <t>168</t>
  </si>
  <si>
    <t>영광군</t>
  </si>
  <si>
    <t>252</t>
  </si>
  <si>
    <t>완도</t>
  </si>
  <si>
    <t>170</t>
  </si>
  <si>
    <t>장흥</t>
  </si>
  <si>
    <t>260</t>
  </si>
  <si>
    <t>진도군</t>
  </si>
  <si>
    <t>268</t>
  </si>
  <si>
    <t>해남</t>
  </si>
  <si>
    <t>261</t>
  </si>
  <si>
    <t>흑산도</t>
  </si>
  <si>
    <t>169</t>
  </si>
  <si>
    <t>고창</t>
  </si>
  <si>
    <t>전라북도</t>
  </si>
  <si>
    <t>172</t>
  </si>
  <si>
    <t>고창군</t>
  </si>
  <si>
    <t>251</t>
  </si>
  <si>
    <t>군산</t>
  </si>
  <si>
    <t>140</t>
  </si>
  <si>
    <t>남원</t>
  </si>
  <si>
    <t>247</t>
  </si>
  <si>
    <t>부안</t>
  </si>
  <si>
    <t>243</t>
  </si>
  <si>
    <t>순창군</t>
  </si>
  <si>
    <t>254</t>
  </si>
  <si>
    <t>임실</t>
  </si>
  <si>
    <t>244</t>
  </si>
  <si>
    <t>장수</t>
  </si>
  <si>
    <t>248</t>
  </si>
  <si>
    <t>전주</t>
  </si>
  <si>
    <t>146</t>
  </si>
  <si>
    <t>정읍</t>
  </si>
  <si>
    <t>245</t>
  </si>
  <si>
    <t>고산</t>
  </si>
  <si>
    <t>제주특별시</t>
  </si>
  <si>
    <t>185</t>
  </si>
  <si>
    <t>서귀포</t>
  </si>
  <si>
    <t>189</t>
  </si>
  <si>
    <t>성산</t>
  </si>
  <si>
    <t>188</t>
  </si>
  <si>
    <t>제주</t>
  </si>
  <si>
    <t>184</t>
  </si>
  <si>
    <t>금산</t>
  </si>
  <si>
    <t>충청남도</t>
  </si>
  <si>
    <t>238</t>
  </si>
  <si>
    <t>보령</t>
  </si>
  <si>
    <t>235</t>
  </si>
  <si>
    <t>부여</t>
  </si>
  <si>
    <t>236</t>
  </si>
  <si>
    <t>129</t>
  </si>
  <si>
    <t>천안</t>
  </si>
  <si>
    <t>232</t>
  </si>
  <si>
    <t>홍성</t>
  </si>
  <si>
    <t>177</t>
  </si>
  <si>
    <t>보은</t>
  </si>
  <si>
    <t>충청북도</t>
  </si>
  <si>
    <t>226</t>
  </si>
  <si>
    <t>제천</t>
  </si>
  <si>
    <t>221</t>
  </si>
  <si>
    <t>청주</t>
  </si>
  <si>
    <t>131</t>
  </si>
  <si>
    <t>추풍령</t>
  </si>
  <si>
    <t>135</t>
  </si>
  <si>
    <t>충주</t>
  </si>
  <si>
    <t>127</t>
  </si>
  <si>
    <r>
      <rPr>
        <sz val="8"/>
        <color rgb="FF000000"/>
        <rFont val="Noto Sans CJK SC"/>
        <family val="2"/>
      </rPr>
      <t>혹서기</t>
    </r>
    <r>
      <rPr>
        <sz val="8"/>
        <color rgb="FF000000"/>
        <rFont val="맑은 고딕"/>
        <family val="3"/>
        <charset val="129"/>
      </rPr>
      <t>:</t>
    </r>
    <r>
      <rPr>
        <sz val="8"/>
        <color rgb="FF000000"/>
        <rFont val="Noto Sans CJK SC"/>
        <family val="2"/>
      </rPr>
      <t xml:space="preserve">체감온도 </t>
    </r>
    <r>
      <rPr>
        <sz val="8"/>
        <color rgb="FF000000"/>
        <rFont val="맑은 고딕"/>
        <family val="3"/>
        <charset val="129"/>
      </rPr>
      <t xml:space="preserve">35°C </t>
    </r>
    <r>
      <rPr>
        <sz val="8"/>
        <color rgb="FF000000"/>
        <rFont val="Noto Sans CJK SC"/>
        <family val="2"/>
      </rPr>
      <t>이상</t>
    </r>
  </si>
  <si>
    <r>
      <rPr>
        <sz val="8"/>
        <color rgb="FF000000"/>
        <rFont val="Noto Sans CJK SC"/>
        <family val="2"/>
      </rPr>
      <t>혹서기</t>
    </r>
    <r>
      <rPr>
        <sz val="8"/>
        <color rgb="FF000000"/>
        <rFont val="맑은 고딕"/>
        <family val="3"/>
        <charset val="129"/>
      </rPr>
      <t>:</t>
    </r>
    <r>
      <rPr>
        <sz val="8"/>
        <color rgb="FF000000"/>
        <rFont val="Noto Sans CJK SC"/>
        <family val="2"/>
      </rPr>
      <t xml:space="preserve">일최고온도 </t>
    </r>
    <r>
      <rPr>
        <sz val="8"/>
        <color rgb="FF000000"/>
        <rFont val="맑은 고딕"/>
        <family val="3"/>
        <charset val="129"/>
      </rPr>
      <t xml:space="preserve">33°C </t>
    </r>
    <r>
      <rPr>
        <sz val="8"/>
        <color rgb="FF000000"/>
        <rFont val="Noto Sans CJK SC"/>
        <family val="2"/>
      </rPr>
      <t>이상</t>
    </r>
  </si>
  <si>
    <r>
      <rPr>
        <sz val="8"/>
        <color rgb="FF000000"/>
        <rFont val="Noto Sans CJK SC"/>
        <family val="2"/>
      </rPr>
      <t>혹서기</t>
    </r>
    <r>
      <rPr>
        <sz val="8"/>
        <color rgb="FF000000"/>
        <rFont val="맑은 고딕"/>
        <family val="3"/>
        <charset val="129"/>
      </rPr>
      <t>:</t>
    </r>
    <r>
      <rPr>
        <sz val="8"/>
        <color rgb="FF000000"/>
        <rFont val="Noto Sans CJK SC"/>
        <family val="2"/>
      </rPr>
      <t xml:space="preserve">일최고온도 </t>
    </r>
    <r>
      <rPr>
        <sz val="8"/>
        <color rgb="FF000000"/>
        <rFont val="맑은 고딕"/>
        <family val="3"/>
        <charset val="129"/>
      </rPr>
      <t xml:space="preserve">35°C </t>
    </r>
    <r>
      <rPr>
        <sz val="8"/>
        <color rgb="FF000000"/>
        <rFont val="Noto Sans CJK SC"/>
        <family val="2"/>
      </rPr>
      <t>이상</t>
    </r>
  </si>
  <si>
    <r>
      <rPr>
        <sz val="8"/>
        <color rgb="FF000000"/>
        <rFont val="Noto Sans CJK SC"/>
        <family val="2"/>
      </rPr>
      <t>동절기</t>
    </r>
    <r>
      <rPr>
        <sz val="8"/>
        <color rgb="FF000000"/>
        <rFont val="맑은 고딕"/>
        <family val="3"/>
        <charset val="129"/>
      </rPr>
      <t>:</t>
    </r>
    <r>
      <rPr>
        <sz val="8"/>
        <color rgb="FF000000"/>
        <rFont val="Noto Sans CJK SC"/>
        <family val="2"/>
      </rPr>
      <t xml:space="preserve">일최고기온 </t>
    </r>
    <r>
      <rPr>
        <sz val="8"/>
        <color rgb="FF000000"/>
        <rFont val="맑은 고딕"/>
        <family val="3"/>
        <charset val="129"/>
      </rPr>
      <t xml:space="preserve">0°C </t>
    </r>
    <r>
      <rPr>
        <sz val="8"/>
        <color rgb="FF000000"/>
        <rFont val="Noto Sans CJK SC"/>
        <family val="2"/>
      </rPr>
      <t>이하</t>
    </r>
  </si>
  <si>
    <r>
      <rPr>
        <sz val="8"/>
        <color rgb="FF000000"/>
        <rFont val="Noto Sans CJK SC"/>
        <family val="2"/>
      </rPr>
      <t>동절기</t>
    </r>
    <r>
      <rPr>
        <sz val="8"/>
        <color rgb="FF000000"/>
        <rFont val="맑은 고딕"/>
        <family val="3"/>
        <charset val="129"/>
      </rPr>
      <t>:</t>
    </r>
    <r>
      <rPr>
        <sz val="8"/>
        <color rgb="FF000000"/>
        <rFont val="Noto Sans CJK SC"/>
        <family val="2"/>
      </rPr>
      <t xml:space="preserve">일최심신적설 </t>
    </r>
    <r>
      <rPr>
        <sz val="8"/>
        <color rgb="FF000000"/>
        <rFont val="맑은 고딕"/>
        <family val="3"/>
        <charset val="129"/>
      </rPr>
      <t>5</t>
    </r>
    <r>
      <rPr>
        <sz val="8"/>
        <color rgb="FF000000"/>
        <rFont val="Noto Sans CJK SC"/>
        <family val="2"/>
      </rPr>
      <t>㎝ 이상</t>
    </r>
  </si>
  <si>
    <r>
      <rPr>
        <sz val="8"/>
        <color rgb="FF000000"/>
        <rFont val="Noto Sans CJK SC"/>
        <family val="2"/>
      </rPr>
      <t>동절기</t>
    </r>
    <r>
      <rPr>
        <sz val="8"/>
        <color rgb="FF000000"/>
        <rFont val="맑은 고딕"/>
        <family val="3"/>
        <charset val="129"/>
      </rPr>
      <t>:</t>
    </r>
    <r>
      <rPr>
        <sz val="8"/>
        <color rgb="FF000000"/>
        <rFont val="Noto Sans CJK SC"/>
        <family val="2"/>
      </rPr>
      <t xml:space="preserve">일최고기온 </t>
    </r>
    <r>
      <rPr>
        <sz val="8"/>
        <color rgb="FF000000"/>
        <rFont val="맑은 고딕"/>
        <family val="3"/>
        <charset val="129"/>
      </rPr>
      <t xml:space="preserve">0°C </t>
    </r>
    <r>
      <rPr>
        <sz val="8"/>
        <color rgb="FF000000"/>
        <rFont val="Noto Sans CJK SC"/>
        <family val="2"/>
      </rPr>
      <t xml:space="preserve">이하 이거나 일최심신적설 </t>
    </r>
    <r>
      <rPr>
        <sz val="8"/>
        <color rgb="FF000000"/>
        <rFont val="맑은 고딕"/>
        <family val="3"/>
        <charset val="129"/>
      </rPr>
      <t>5</t>
    </r>
    <r>
      <rPr>
        <sz val="8"/>
        <color rgb="FF000000"/>
        <rFont val="Noto Sans CJK SC"/>
        <family val="2"/>
      </rPr>
      <t>㎝ 이상</t>
    </r>
  </si>
  <si>
    <r>
      <rPr>
        <sz val="8"/>
        <color rgb="FF000000"/>
        <rFont val="Noto Sans CJK SC"/>
        <family val="2"/>
      </rPr>
      <t>동절기</t>
    </r>
    <r>
      <rPr>
        <sz val="8"/>
        <color rgb="FF000000"/>
        <rFont val="맑은 고딕"/>
        <family val="3"/>
        <charset val="129"/>
      </rPr>
      <t>:</t>
    </r>
    <r>
      <rPr>
        <sz val="8"/>
        <color rgb="FF000000"/>
        <rFont val="Noto Sans CJK SC"/>
        <family val="2"/>
      </rPr>
      <t xml:space="preserve">일최저기온 </t>
    </r>
    <r>
      <rPr>
        <sz val="8"/>
        <color rgb="FF000000"/>
        <rFont val="맑은 고딕"/>
        <family val="3"/>
        <charset val="129"/>
      </rPr>
      <t xml:space="preserve">-12°C </t>
    </r>
    <r>
      <rPr>
        <sz val="8"/>
        <color rgb="FF000000"/>
        <rFont val="Noto Sans CJK SC"/>
        <family val="2"/>
      </rPr>
      <t>이하</t>
    </r>
  </si>
  <si>
    <r>
      <rPr>
        <sz val="8"/>
        <color rgb="FF000000"/>
        <rFont val="Noto Sans CJK SC"/>
        <family val="2"/>
      </rPr>
      <t>일강수량</t>
    </r>
    <r>
      <rPr>
        <sz val="8"/>
        <color rgb="FF000000"/>
        <rFont val="맑은 고딕"/>
        <family val="3"/>
        <charset val="129"/>
      </rPr>
      <t>:3</t>
    </r>
    <r>
      <rPr>
        <sz val="8"/>
        <color rgb="FF000000"/>
        <rFont val="Noto Sans CJK SC"/>
        <family val="2"/>
      </rPr>
      <t>㎜ 이상</t>
    </r>
  </si>
  <si>
    <r>
      <rPr>
        <sz val="8"/>
        <color rgb="FF000000"/>
        <rFont val="Noto Sans CJK SC"/>
        <family val="2"/>
      </rPr>
      <t>일강수량</t>
    </r>
    <r>
      <rPr>
        <sz val="8"/>
        <color rgb="FF000000"/>
        <rFont val="맑은 고딕"/>
        <family val="3"/>
        <charset val="129"/>
      </rPr>
      <t>:5</t>
    </r>
    <r>
      <rPr>
        <sz val="8"/>
        <color rgb="FF000000"/>
        <rFont val="Noto Sans CJK SC"/>
        <family val="2"/>
      </rPr>
      <t>㎜ 이상</t>
    </r>
  </si>
  <si>
    <r>
      <rPr>
        <sz val="8"/>
        <color rgb="FF000000"/>
        <rFont val="Noto Sans CJK SC"/>
        <family val="2"/>
      </rPr>
      <t>일강수량</t>
    </r>
    <r>
      <rPr>
        <sz val="8"/>
        <color rgb="FF000000"/>
        <rFont val="맑은 고딕"/>
        <family val="3"/>
        <charset val="129"/>
      </rPr>
      <t>:10</t>
    </r>
    <r>
      <rPr>
        <sz val="8"/>
        <color rgb="FF000000"/>
        <rFont val="Noto Sans CJK SC"/>
        <family val="2"/>
      </rPr>
      <t>㎜ 이상</t>
    </r>
  </si>
  <si>
    <r>
      <rPr>
        <sz val="8"/>
        <color rgb="FF000000"/>
        <rFont val="Noto Sans CJK SC"/>
        <family val="2"/>
      </rPr>
      <t>일강수량</t>
    </r>
    <r>
      <rPr>
        <sz val="8"/>
        <color rgb="FF000000"/>
        <rFont val="맑은 고딕"/>
        <family val="3"/>
        <charset val="129"/>
      </rPr>
      <t>:20</t>
    </r>
    <r>
      <rPr>
        <sz val="8"/>
        <color rgb="FF000000"/>
        <rFont val="Noto Sans CJK SC"/>
        <family val="2"/>
      </rPr>
      <t>㎜ 이상</t>
    </r>
  </si>
  <si>
    <r>
      <rPr>
        <sz val="8"/>
        <color rgb="FF000000"/>
        <rFont val="Noto Sans CJK SC"/>
        <family val="2"/>
      </rPr>
      <t>일최대순간풍속</t>
    </r>
    <r>
      <rPr>
        <sz val="8"/>
        <color rgb="FF000000"/>
        <rFont val="맑은 고딕"/>
        <family val="3"/>
        <charset val="129"/>
      </rPr>
      <t xml:space="preserve">:15m/s </t>
    </r>
    <r>
      <rPr>
        <sz val="8"/>
        <color rgb="FF000000"/>
        <rFont val="Noto Sans CJK SC"/>
        <family val="2"/>
      </rPr>
      <t>이상</t>
    </r>
  </si>
  <si>
    <r>
      <rPr>
        <sz val="9"/>
        <color rgb="FF0000FF"/>
        <rFont val="Noto Sans CJK SC"/>
        <family val="2"/>
        <charset val="1"/>
      </rPr>
      <t>부록</t>
    </r>
    <r>
      <rPr>
        <sz val="9"/>
        <color rgb="FF0000FF"/>
        <rFont val="맑은 고딕"/>
        <family val="3"/>
        <charset val="129"/>
      </rPr>
      <t>4</t>
    </r>
  </si>
  <si>
    <t>가설흙막이(강널말뚝)</t>
  </si>
  <si>
    <t>부록4</t>
  </si>
  <si>
    <t>콘크리트타설(무근,f1-Ⅰ)</t>
  </si>
  <si>
    <t>콘크리트타설(철근,f1-Ⅱ)</t>
  </si>
  <si>
    <t>합판거푸집 설치(보통)</t>
  </si>
  <si>
    <t>유로폼 설치(보통)</t>
  </si>
  <si>
    <t>배수관(흄관/VR)</t>
  </si>
  <si>
    <t>아스팔트 기층(8~10㎝)</t>
  </si>
  <si>
    <t>옹벽(보강토)</t>
  </si>
  <si>
    <t>수동</t>
  </si>
  <si>
    <t>순차(FS)</t>
  </si>
  <si>
    <t>시운전</t>
    <phoneticPr fontId="84" type="noConversion"/>
  </si>
  <si>
    <r>
      <t>②-1 기후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맑은 고딕"/>
        <family val="3"/>
        <charset val="129"/>
      </rPr>
      <t>비작업일수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맑은 고딕"/>
        <family val="3"/>
        <charset val="129"/>
      </rPr>
      <t>산정근거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맑은 고딕"/>
        <family val="3"/>
        <charset val="129"/>
      </rPr>
      <t>(부록2 작업제한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맑은 고딕"/>
        <family val="3"/>
        <charset val="129"/>
      </rPr>
      <t>기상조건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맑은 고딕"/>
        <family val="2"/>
        <charset val="129"/>
      </rPr>
      <t>→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맑은 고딕"/>
        <family val="3"/>
        <charset val="129"/>
      </rPr>
      <t>부록3 지역별</t>
    </r>
    <r>
      <rPr>
        <b/>
        <sz val="13"/>
        <color rgb="FFFFFFFF"/>
        <rFont val="Arial"/>
        <family val="2"/>
      </rPr>
      <t xml:space="preserve"> </t>
    </r>
    <r>
      <rPr>
        <b/>
        <sz val="13"/>
        <color rgb="FFFFFFFF"/>
        <rFont val="맑은 고딕"/>
        <family val="3"/>
        <charset val="129"/>
      </rPr>
      <t>통계)</t>
    </r>
    <phoneticPr fontId="84" type="noConversion"/>
  </si>
  <si>
    <r>
      <rPr>
        <b/>
        <sz val="10.5"/>
        <color rgb="FF1F3864"/>
        <rFont val="Segoe UI Symbol"/>
        <family val="2"/>
      </rPr>
      <t>■</t>
    </r>
    <r>
      <rPr>
        <b/>
        <sz val="10.5"/>
        <color rgb="FF1F3864"/>
        <rFont val="Noto Sans CJK SC"/>
        <family val="2"/>
      </rPr>
      <t xml:space="preserve"> </t>
    </r>
    <r>
      <rPr>
        <b/>
        <sz val="10.5"/>
        <color rgb="FF1F3864"/>
        <rFont val="맑은 고딕"/>
        <family val="3"/>
        <charset val="129"/>
      </rPr>
      <t>기상조건별</t>
    </r>
    <r>
      <rPr>
        <b/>
        <sz val="10.5"/>
        <color rgb="FF1F3864"/>
        <rFont val="Arial"/>
        <family val="2"/>
      </rPr>
      <t xml:space="preserve"> </t>
    </r>
    <r>
      <rPr>
        <b/>
        <sz val="10.5"/>
        <color rgb="FF1F3864"/>
        <rFont val="맑은 고딕"/>
        <family val="3"/>
        <charset val="129"/>
      </rPr>
      <t>비작업일수</t>
    </r>
    <r>
      <rPr>
        <b/>
        <sz val="10.5"/>
        <color rgb="FF1F3864"/>
        <rFont val="Arial"/>
        <family val="2"/>
      </rPr>
      <t xml:space="preserve"> </t>
    </r>
    <r>
      <rPr>
        <b/>
        <sz val="10.5"/>
        <color rgb="FF1F3864"/>
        <rFont val="맑은 고딕"/>
        <family val="3"/>
        <charset val="129"/>
      </rPr>
      <t>(선택지점</t>
    </r>
    <r>
      <rPr>
        <b/>
        <sz val="10.5"/>
        <color rgb="FF1F3864"/>
        <rFont val="Arial"/>
        <family val="2"/>
      </rPr>
      <t xml:space="preserve"> </t>
    </r>
    <r>
      <rPr>
        <b/>
        <sz val="10.5"/>
        <color rgb="FF1F3864"/>
        <rFont val="맑은 고딕"/>
        <family val="3"/>
        <charset val="129"/>
      </rPr>
      <t>자동조회, 2015–2024 월평균) — 선택=위</t>
    </r>
    <r>
      <rPr>
        <b/>
        <sz val="10.5"/>
        <color rgb="FF1F3864"/>
        <rFont val="Arial"/>
        <family val="2"/>
      </rPr>
      <t xml:space="preserve"> </t>
    </r>
    <r>
      <rPr>
        <b/>
        <sz val="10.5"/>
        <color rgb="FF1F3864"/>
        <rFont val="맑은 고딕"/>
        <family val="3"/>
        <charset val="129"/>
      </rPr>
      <t>방식(자동:권장/수동:수동선택)</t>
    </r>
    <phoneticPr fontId="84" type="noConversion"/>
  </si>
  <si>
    <t>토사굴착(1.0㎥,지장물)</t>
  </si>
  <si>
    <t>H-Pile 천공</t>
  </si>
  <si>
    <t>기초</t>
    <phoneticPr fontId="84" type="noConversion"/>
  </si>
  <si>
    <t>수평지보공(H-Beam)설치</t>
  </si>
  <si>
    <t>기계터파기/보통토사/5m초과</t>
    <phoneticPr fontId="84" type="noConversion"/>
  </si>
  <si>
    <t>터파기/보통토사/5m이하</t>
  </si>
  <si>
    <t>토공</t>
    <phoneticPr fontId="84" type="noConversion"/>
  </si>
  <si>
    <t>되메우기 및 다짐</t>
  </si>
  <si>
    <t>표토제거/답외구간</t>
    <phoneticPr fontId="84" type="noConversion"/>
  </si>
  <si>
    <t>H-Pile 천공</t>
    <phoneticPr fontId="84" type="noConversion"/>
  </si>
  <si>
    <t>공통가설</t>
    <phoneticPr fontId="84" type="noConversion"/>
  </si>
  <si>
    <t>가설흙막이(강널말뚝)</t>
    <phoneticPr fontId="84" type="noConversion"/>
  </si>
  <si>
    <t>합판거푸집 설치(복잡)</t>
  </si>
  <si>
    <t>가설</t>
    <phoneticPr fontId="84" type="noConversion"/>
  </si>
  <si>
    <t>철근콘크리트</t>
    <phoneticPr fontId="84" type="noConversion"/>
  </si>
  <si>
    <t>빗물펌프장</t>
    <phoneticPr fontId="84" type="noConversion"/>
  </si>
  <si>
    <t>유입관로</t>
    <phoneticPr fontId="84" type="noConversion"/>
  </si>
  <si>
    <t>날개벽</t>
    <phoneticPr fontId="84" type="noConversion"/>
  </si>
  <si>
    <t>포장</t>
    <phoneticPr fontId="84" type="noConversion"/>
  </si>
  <si>
    <t>아스팔트 기층(5~7㎝)</t>
  </si>
  <si>
    <t>텍코팅</t>
    <phoneticPr fontId="84" type="noConversion"/>
  </si>
  <si>
    <t>프라임코팅</t>
    <phoneticPr fontId="84" type="noConversion"/>
  </si>
  <si>
    <t>콘크리트표층(1차로)</t>
  </si>
  <si>
    <t>배수공</t>
    <phoneticPr fontId="84" type="noConversion"/>
  </si>
  <si>
    <t>H-Beam 철거</t>
  </si>
  <si>
    <t>㎥/일</t>
  </si>
  <si>
    <t>추진</t>
    <phoneticPr fontId="84" type="noConversion"/>
  </si>
  <si>
    <t>강관추진작업편성장비</t>
    <phoneticPr fontId="84" type="noConversion"/>
  </si>
  <si>
    <t>일</t>
    <phoneticPr fontId="84" type="noConversion"/>
  </si>
  <si>
    <t>기타</t>
    <phoneticPr fontId="84" type="noConversion"/>
  </si>
  <si>
    <t>추진구</t>
    <phoneticPr fontId="84" type="noConversion"/>
  </si>
  <si>
    <t>오수이설관로</t>
    <phoneticPr fontId="84" type="noConversion"/>
  </si>
  <si>
    <t>우수관로</t>
    <phoneticPr fontId="84" type="noConversion"/>
  </si>
  <si>
    <t>주간</t>
    <phoneticPr fontId="84" type="noConversion"/>
  </si>
  <si>
    <t>야간</t>
    <phoneticPr fontId="84" type="noConversion"/>
  </si>
  <si>
    <t>배수관(강관)</t>
  </si>
  <si>
    <t>L형측구</t>
  </si>
  <si>
    <t>구조물공사</t>
    <phoneticPr fontId="84" type="noConversion"/>
  </si>
  <si>
    <t>건축공사</t>
    <phoneticPr fontId="84" type="noConversion"/>
  </si>
  <si>
    <t>기계 /전기공사</t>
    <phoneticPr fontId="84" type="noConversion"/>
  </si>
  <si>
    <t>병행(밀접)</t>
  </si>
  <si>
    <t>부록5 산정공식</t>
  </si>
  <si>
    <t>총공사비</t>
    <phoneticPr fontId="84" type="noConversion"/>
  </si>
  <si>
    <t>억원</t>
    <phoneticPr fontId="84" type="noConversion"/>
  </si>
  <si>
    <t>연면적</t>
    <phoneticPr fontId="84" type="noConversion"/>
  </si>
  <si>
    <t>(100㎡)</t>
    <phoneticPr fontId="84" type="noConversion"/>
  </si>
  <si>
    <t>(층)</t>
    <phoneticPr fontId="84" type="noConversion"/>
  </si>
  <si>
    <t>지하층수</t>
    <phoneticPr fontId="84" type="noConversion"/>
  </si>
  <si>
    <t>지상층수</t>
    <phoneticPr fontId="84" type="noConversion"/>
  </si>
  <si>
    <r>
      <t>②-3 기후</t>
    </r>
    <r>
      <rPr>
        <b/>
        <sz val="13"/>
        <color rgb="FFFFFFFF"/>
        <rFont val="맑은 고딕"/>
        <family val="2"/>
        <charset val="129"/>
      </rPr>
      <t xml:space="preserve"> </t>
    </r>
    <r>
      <rPr>
        <b/>
        <sz val="13"/>
        <color rgb="FFFFFFFF"/>
        <rFont val="맑은 고딕"/>
        <family val="3"/>
        <charset val="129"/>
      </rPr>
      <t>비작업일수</t>
    </r>
    <r>
      <rPr>
        <b/>
        <sz val="13"/>
        <color rgb="FFFFFFFF"/>
        <rFont val="맑은 고딕"/>
        <family val="2"/>
        <charset val="129"/>
      </rPr>
      <t xml:space="preserve"> </t>
    </r>
    <r>
      <rPr>
        <b/>
        <sz val="13"/>
        <color rgb="FFFFFFFF"/>
        <rFont val="맑은 고딕"/>
        <family val="3"/>
        <charset val="129"/>
      </rPr>
      <t>산정근거</t>
    </r>
    <r>
      <rPr>
        <b/>
        <sz val="13"/>
        <color rgb="FFFFFFFF"/>
        <rFont val="맑은 고딕"/>
        <family val="2"/>
        <charset val="129"/>
      </rPr>
      <t xml:space="preserve"> </t>
    </r>
    <r>
      <rPr>
        <b/>
        <sz val="13"/>
        <color rgb="FFFFFFFF"/>
        <rFont val="맑은 고딕"/>
        <family val="3"/>
        <charset val="129"/>
      </rPr>
      <t>(부록2 작업제한</t>
    </r>
    <r>
      <rPr>
        <b/>
        <sz val="13"/>
        <color rgb="FFFFFFFF"/>
        <rFont val="맑은 고딕"/>
        <family val="2"/>
        <charset val="129"/>
      </rPr>
      <t xml:space="preserve"> </t>
    </r>
    <r>
      <rPr>
        <b/>
        <sz val="13"/>
        <color rgb="FFFFFFFF"/>
        <rFont val="맑은 고딕"/>
        <family val="3"/>
        <charset val="129"/>
      </rPr>
      <t>기상조건</t>
    </r>
    <r>
      <rPr>
        <b/>
        <sz val="13"/>
        <color rgb="FFFFFFFF"/>
        <rFont val="맑은 고딕"/>
        <family val="2"/>
        <charset val="129"/>
      </rPr>
      <t xml:space="preserve"> → </t>
    </r>
    <r>
      <rPr>
        <b/>
        <sz val="13"/>
        <color rgb="FFFFFFFF"/>
        <rFont val="맑은 고딕"/>
        <family val="3"/>
        <charset val="129"/>
      </rPr>
      <t>부록3 지역별</t>
    </r>
    <r>
      <rPr>
        <b/>
        <sz val="13"/>
        <color rgb="FFFFFFFF"/>
        <rFont val="맑은 고딕"/>
        <family val="2"/>
        <charset val="129"/>
      </rPr>
      <t xml:space="preserve"> </t>
    </r>
    <r>
      <rPr>
        <b/>
        <sz val="13"/>
        <color rgb="FFFFFFFF"/>
        <rFont val="맑은 고딕"/>
        <family val="3"/>
        <charset val="129"/>
      </rPr>
      <t>통계)</t>
    </r>
    <phoneticPr fontId="84" type="noConversion"/>
  </si>
  <si>
    <t>하수관로</t>
    <phoneticPr fontId="84" type="noConversion"/>
  </si>
  <si>
    <r>
      <rPr>
        <sz val="8.5"/>
        <color rgb="FF000000"/>
        <rFont val="맑은 고딕"/>
        <family val="3"/>
        <charset val="129"/>
      </rPr>
      <t>일최고</t>
    </r>
    <r>
      <rPr>
        <sz val="8.5"/>
        <color rgb="FF000000"/>
        <rFont val="Arial"/>
        <family val="2"/>
      </rPr>
      <t xml:space="preserve"> 5</t>
    </r>
    <r>
      <rPr>
        <sz val="8.5"/>
        <color rgb="FF000000"/>
        <rFont val="Segoe UI Symbol"/>
        <family val="2"/>
      </rPr>
      <t>℃</t>
    </r>
    <r>
      <rPr>
        <sz val="8.5"/>
        <color rgb="FF000000"/>
        <rFont val="맑은 고딕"/>
        <family val="2"/>
        <charset val="129"/>
      </rPr>
      <t xml:space="preserve"> 이하</t>
    </r>
    <phoneticPr fontId="84" type="noConversion"/>
  </si>
  <si>
    <t>-</t>
    <phoneticPr fontId="84" type="noConversion"/>
  </si>
  <si>
    <t>기계터파기/보통토사/5m이하</t>
    <phoneticPr fontId="84" type="noConversion"/>
  </si>
  <si>
    <r>
      <rPr>
        <sz val="9"/>
        <color rgb="FF0000FF"/>
        <rFont val="맑은 고딕"/>
        <family val="3"/>
        <charset val="129"/>
      </rPr>
      <t>토사굴착</t>
    </r>
    <r>
      <rPr>
        <sz val="9"/>
        <color rgb="FF0000FF"/>
        <rFont val="Arial"/>
        <family val="2"/>
      </rPr>
      <t>(1.0</t>
    </r>
    <r>
      <rPr>
        <sz val="9"/>
        <color rgb="FF0000FF"/>
        <rFont val="Noto Sans CJK SC"/>
        <family val="2"/>
        <charset val="129"/>
      </rPr>
      <t>㎥</t>
    </r>
    <r>
      <rPr>
        <sz val="9"/>
        <color rgb="FF0000FF"/>
        <rFont val="Arial"/>
        <family val="2"/>
      </rPr>
      <t>,</t>
    </r>
    <r>
      <rPr>
        <sz val="9"/>
        <color rgb="FF0000FF"/>
        <rFont val="맑은 고딕"/>
        <family val="3"/>
        <charset val="129"/>
      </rPr>
      <t>지장물</t>
    </r>
    <r>
      <rPr>
        <sz val="9"/>
        <color rgb="FF0000FF"/>
        <rFont val="Arial"/>
        <family val="2"/>
      </rPr>
      <t>)</t>
    </r>
    <phoneticPr fontId="84" type="noConversion"/>
  </si>
  <si>
    <r>
      <rPr>
        <sz val="9"/>
        <color rgb="FF0000FF"/>
        <rFont val="맑은 고딕"/>
        <family val="3"/>
        <charset val="129"/>
      </rPr>
      <t>수평지보공</t>
    </r>
    <r>
      <rPr>
        <sz val="9"/>
        <color rgb="FF0000FF"/>
        <rFont val="Arial"/>
        <family val="2"/>
      </rPr>
      <t>(H-Beam)</t>
    </r>
    <r>
      <rPr>
        <sz val="9"/>
        <color rgb="FF0000FF"/>
        <rFont val="맑은 고딕"/>
        <family val="3"/>
        <charset val="129"/>
      </rPr>
      <t>설치</t>
    </r>
    <phoneticPr fontId="84" type="noConversion"/>
  </si>
  <si>
    <t>작업가능일</t>
    <phoneticPr fontId="84" type="noConversion"/>
  </si>
  <si>
    <t>가동율</t>
    <phoneticPr fontId="84" type="noConversion"/>
  </si>
  <si>
    <t>전체기간 평균 가동율</t>
    <phoneticPr fontId="84" type="noConversion"/>
  </si>
  <si>
    <t>모래부설(기초)</t>
  </si>
  <si>
    <t>B.H 0.7 + 인력다짐</t>
  </si>
  <si>
    <t>잔토처리(사토운반)</t>
  </si>
  <si>
    <t>15ton 덤프, 운반거리 5km</t>
  </si>
  <si>
    <t>성토면 고르기</t>
  </si>
  <si>
    <t>불도저+인력 정리</t>
  </si>
  <si>
    <t>㎡/일</t>
  </si>
  <si>
    <t>줄떼 붙이기</t>
  </si>
  <si>
    <t>인력, 줄떼/평떼</t>
  </si>
  <si>
    <t>구조물공</t>
  </si>
  <si>
    <t>시공이음 면정리(치핑)</t>
  </si>
  <si>
    <t>Con'c 치핑(기계)</t>
  </si>
  <si>
    <t>시공이음 지수판 설치</t>
  </si>
  <si>
    <t>PVC 지수판 230×5t</t>
  </si>
  <si>
    <t>m/일</t>
  </si>
  <si>
    <t>쇠흙손 마감</t>
  </si>
  <si>
    <t>슬래브</t>
  </si>
  <si>
    <t>사다리·난간 설치</t>
  </si>
  <si>
    <t>STS, H=1.2m</t>
  </si>
  <si>
    <t>STS 커버·그레이팅 설치</t>
  </si>
  <si>
    <t>1,200×900 이상</t>
  </si>
  <si>
    <t>EA/일</t>
  </si>
  <si>
    <t>가시설</t>
  </si>
  <si>
    <t>강널말뚝 천공 및 근입</t>
  </si>
  <si>
    <t>오거천공, 근입 L=8.5m</t>
  </si>
  <si>
    <t>강널말뚝 항타</t>
  </si>
  <si>
    <t>진동해머, KWSP ⅢA-400</t>
  </si>
  <si>
    <t>본/일</t>
  </si>
  <si>
    <t>강널말뚝 인발</t>
  </si>
  <si>
    <t>진동해머</t>
  </si>
  <si>
    <t>천공홀 되메우기</t>
  </si>
  <si>
    <t>모래 채움</t>
  </si>
  <si>
    <t>중간말뚝 천공 및 근입</t>
  </si>
  <si>
    <t>H-300, 오거천공</t>
  </si>
  <si>
    <t>중간말뚝 항타</t>
  </si>
  <si>
    <t>중간말뚝 인발</t>
  </si>
  <si>
    <t>띠장 설치</t>
  </si>
  <si>
    <t>H-300, L=6~11m, 크레인</t>
  </si>
  <si>
    <t>띠장 철거</t>
  </si>
  <si>
    <t>H-300, 크레인</t>
  </si>
  <si>
    <t>버팀보 설치</t>
  </si>
  <si>
    <t>H-300, L=6~11m</t>
  </si>
  <si>
    <t>버팀보 철거</t>
  </si>
  <si>
    <t>H-300</t>
  </si>
  <si>
    <t>사보강재 설치</t>
  </si>
  <si>
    <t>사보강재 철거</t>
  </si>
  <si>
    <t>SUB BEAM 설치/철거</t>
  </si>
  <si>
    <t>ㄷ형강·L형강 설치/철거</t>
  </si>
  <si>
    <t>ㄷ-380, L-90</t>
  </si>
  <si>
    <t>어스앵커 천공·그라우팅</t>
  </si>
  <si>
    <t>D105, 제거식</t>
  </si>
  <si>
    <t>어스앵커 강연선 설치·인장</t>
  </si>
  <si>
    <t>PC STRAND 4열</t>
  </si>
  <si>
    <t>개소/일</t>
  </si>
  <si>
    <t>계측기 설치</t>
  </si>
  <si>
    <t>경사계·수위계·변형률계</t>
  </si>
  <si>
    <t>조립식 간이흙막이</t>
  </si>
  <si>
    <t>H=2.4~2.65m</t>
  </si>
  <si>
    <t>조립식 PC맨홀 설치</t>
  </si>
  <si>
    <t>2호맨홀, 상하부+연직구체</t>
  </si>
  <si>
    <t>PE 우수받이 설치</t>
  </si>
  <si>
    <t>410×510×750</t>
  </si>
  <si>
    <t>맨홀뚜껑 설치</t>
  </si>
  <si>
    <t>Φ648 우수용</t>
  </si>
  <si>
    <t>관로 부속설치(커넥터 등)</t>
  </si>
  <si>
    <t>커넥터·사다리·고무링</t>
  </si>
  <si>
    <t>포장절단</t>
  </si>
  <si>
    <t>커터기, ASP T=15㎝</t>
  </si>
  <si>
    <t>포장깨기</t>
  </si>
  <si>
    <t>B.H 0.7 브레이커</t>
  </si>
  <si>
    <t>프라임코팅</t>
  </si>
  <si>
    <t>RSC-3</t>
  </si>
  <si>
    <t>택코팅</t>
  </si>
  <si>
    <t>RSC-4</t>
  </si>
  <si>
    <t>아스팔트 포장 복구</t>
  </si>
  <si>
    <t>표층+기층 T=15㎝</t>
  </si>
  <si>
    <t>보차도경계석 설치</t>
  </si>
  <si>
    <t>직선/곡선구간</t>
  </si>
  <si>
    <t>차선도색</t>
  </si>
  <si>
    <t>수용성, 황색실선</t>
  </si>
  <si>
    <t>철거</t>
  </si>
  <si>
    <t>무근콘크리트 깨기</t>
  </si>
  <si>
    <t>T=300㎜ 미만, B.H 브레이커</t>
  </si>
  <si>
    <t>철근콘크리트 깨기</t>
  </si>
  <si>
    <t>주철이형관 부설·접합</t>
  </si>
  <si>
    <t>D80~250, KP이음</t>
  </si>
  <si>
    <t>내충격수도관 부설</t>
  </si>
  <si>
    <t>D50, 편수칼라</t>
  </si>
  <si>
    <t>관절단·플랜지 접합</t>
  </si>
  <si>
    <t>D50~250</t>
  </si>
  <si>
    <t>STS 강관 용접</t>
  </si>
  <si>
    <t>D15~250, TIG</t>
  </si>
  <si>
    <t>관로 경고테이프 설치</t>
  </si>
  <si>
    <t>B=200㎜</t>
  </si>
  <si>
    <t>부대공</t>
  </si>
  <si>
    <t>메쉬휀스 설치</t>
  </si>
  <si>
    <t>W2.0×H1.5</t>
  </si>
  <si>
    <t>경간/일</t>
  </si>
  <si>
    <t>기존 휀스 철거</t>
  </si>
  <si>
    <t>EGI휀스+분진망 설치/철거</t>
  </si>
  <si>
    <t>W2.0×H4.5</t>
  </si>
  <si>
    <t>기존구조물 천공</t>
  </si>
  <si>
    <t>D150~200, T=500㎜</t>
  </si>
  <si>
    <t>시추조사</t>
  </si>
  <si>
    <t>NX, 심도 20m</t>
  </si>
  <si>
    <t>공/일</t>
  </si>
  <si>
    <t>평판재하시험</t>
  </si>
  <si>
    <t>KS F 2310</t>
  </si>
  <si>
    <t>회/일</t>
  </si>
  <si>
    <t>공사안내판 설치/철거</t>
  </si>
  <si>
    <t>900×1,800</t>
  </si>
  <si>
    <t>세륜시설 설치/철거</t>
  </si>
  <si>
    <t>1식</t>
  </si>
  <si>
    <t>식/일</t>
  </si>
  <si>
    <t>V-NOTCH 웨어 철거/설치</t>
  </si>
  <si>
    <t>1개소</t>
  </si>
  <si>
    <t>임목폐기물 처리</t>
  </si>
  <si>
    <t>파쇄·상차·운반</t>
  </si>
  <si>
    <t>ton/일</t>
  </si>
  <si>
    <t>수압·수밀시험</t>
  </si>
  <si>
    <t>④-1 처리시설 작업일수 산정 (신서 공공하수처리시설) — 수량집계 → 1일작업량 → 작업일수</t>
  </si>
  <si>
    <t>1.0 토공</t>
  </si>
  <si>
    <t>처리시설 부지 정리</t>
  </si>
  <si>
    <t>터파기(토사)</t>
  </si>
  <si>
    <t>구조물 토공 / B.H 0.7 육상</t>
  </si>
  <si>
    <t>용수구간 / B.H 0.7</t>
  </si>
  <si>
    <t>흙쌓기(노체)</t>
  </si>
  <si>
    <t>성토 및 다짐</t>
  </si>
  <si>
    <t>구조물 되메우기 / 램머다짐</t>
  </si>
  <si>
    <t>구조물 기초 모래부설</t>
  </si>
  <si>
    <t>토사 사면 정리</t>
  </si>
  <si>
    <t>성토 사면</t>
  </si>
  <si>
    <t>사토량(토사)</t>
  </si>
  <si>
    <t>2.0 구조물공</t>
  </si>
  <si>
    <t>D13 이상 / 복잡</t>
  </si>
  <si>
    <t>철근조립(토목)</t>
  </si>
  <si>
    <t>Type-Ⅱ-1 / 복잡</t>
  </si>
  <si>
    <t>0~7m 벽체</t>
  </si>
  <si>
    <t>슬래브 합판 4회</t>
  </si>
  <si>
    <t>원형 + 합판 3·6회</t>
  </si>
  <si>
    <t>합판거푸집 전량</t>
  </si>
  <si>
    <t>10m 이하, 3개월</t>
  </si>
  <si>
    <t>25-18-15</t>
  </si>
  <si>
    <t>25-30-15 / 펌프카</t>
  </si>
  <si>
    <t>PVC 지수판</t>
  </si>
  <si>
    <t>수팽창 고무지수링</t>
  </si>
  <si>
    <t>내부방수 + 수조부</t>
  </si>
  <si>
    <t>외부방수 + 보호재</t>
  </si>
  <si>
    <t>STS강관(D100,TIG)</t>
  </si>
  <si>
    <t>구체배관 D15~250 부설</t>
  </si>
  <si>
    <t>D15~250 용접 42개소</t>
  </si>
  <si>
    <t>STS 사다리·난간·논슬립</t>
  </si>
  <si>
    <t>1,200×900 이상 17EA</t>
  </si>
  <si>
    <t>구조물 흙채움</t>
  </si>
  <si>
    <t>3.0 구내배관공</t>
  </si>
  <si>
    <t>관로 터파기 B.H 0.7</t>
  </si>
  <si>
    <t>관상단 B.H 0.7</t>
  </si>
  <si>
    <t>관기초 B.H 0.7</t>
  </si>
  <si>
    <t>주철관(D200,기계식)</t>
  </si>
  <si>
    <t>닥타일주철관 KP 접합·부설 D80~250</t>
  </si>
  <si>
    <t>이형관 부설 27 + KP이형관 29</t>
  </si>
  <si>
    <t>D50 직관 12 + 이형관 11</t>
  </si>
  <si>
    <t>관절단 24 + 플랜지 5</t>
  </si>
  <si>
    <t>4.0 우배수공</t>
  </si>
  <si>
    <t>우수 터파기 토사(육상)</t>
  </si>
  <si>
    <t>관상단 + 관주위</t>
  </si>
  <si>
    <t>관기초</t>
  </si>
  <si>
    <t>흄관(B형) D450, 33개소 = 82.5m</t>
  </si>
  <si>
    <t>PVC이중벽관 D250, 7개소 = 17.5m</t>
  </si>
  <si>
    <t>D450 4 + D250 8 절단</t>
  </si>
  <si>
    <t>단지관 접합 8 + 천공 8</t>
  </si>
  <si>
    <t>2호맨홀 5개소 (상하부+연직구체)</t>
  </si>
  <si>
    <t>410×510×750, 8개소</t>
  </si>
  <si>
    <t>Φ648 우수용 5개소</t>
  </si>
  <si>
    <t>커넥터 10 + 사다리 28 + 고무링 20</t>
  </si>
  <si>
    <t>맨홀기초 무근 0.5 + 잡석 1.27</t>
  </si>
  <si>
    <t>원형 2호맨홀 5개소</t>
  </si>
  <si>
    <t>5.0 가시설공</t>
  </si>
  <si>
    <t>KWSP ⅢA-400 토사천공 2,516m</t>
  </si>
  <si>
    <t>모래 채움 1,924m</t>
  </si>
  <si>
    <t>296본 (평균 L=8.5m)</t>
  </si>
  <si>
    <t>296본</t>
  </si>
  <si>
    <t>H-300 토사천공 170m</t>
  </si>
  <si>
    <t>20본</t>
  </si>
  <si>
    <t>H-300 (6~8m 1본 + 9~11m 13본)</t>
  </si>
  <si>
    <t>H-300 14본</t>
  </si>
  <si>
    <t>H-300 (6~8m 3본 + 9~11m 6본)</t>
  </si>
  <si>
    <t>H-300 9본</t>
  </si>
  <si>
    <t>H-300 (3~5m 7 + 6~8m 12 + 9~11m 10)</t>
  </si>
  <si>
    <t>H-300 29본</t>
  </si>
  <si>
    <t>ㄷ-380 46m + L-90 17.1m</t>
  </si>
  <si>
    <t>원본 수량 확인 필요</t>
  </si>
  <si>
    <t>D105 제거식 / 원본 수량 확인 필요</t>
  </si>
  <si>
    <t>경사계4·수위계4·변형률계19·기타6 = 33개소</t>
  </si>
  <si>
    <t>구내배관 관로 70.8 + 구조물 7.5</t>
  </si>
  <si>
    <t>6.0 기존시설 철거공</t>
  </si>
  <si>
    <t>터파기 토사(육상) B.H 0.7</t>
  </si>
  <si>
    <t>T=300㎜ 미만</t>
  </si>
  <si>
    <t>A.S.P T=0.05 11 + T=0.10 22</t>
  </si>
  <si>
    <t>A.S.P 82.72m</t>
  </si>
  <si>
    <t>표층+기층 T=0.15m</t>
  </si>
  <si>
    <t>관로 62 + 구조물 7.5</t>
  </si>
  <si>
    <t>7.0 포장공</t>
  </si>
  <si>
    <t>포장 토공 토사(육상)</t>
  </si>
  <si>
    <t>A.S.P 281.02m</t>
  </si>
  <si>
    <t>B.H 0.7</t>
  </si>
  <si>
    <t>보조기층 T=25㎝</t>
  </si>
  <si>
    <t>혼합기층 T=20㎝</t>
  </si>
  <si>
    <t>아스콘 #467 포설/다짐</t>
  </si>
  <si>
    <t>아스팔트 중간/표층</t>
  </si>
  <si>
    <t>아스콘 #78 포설/다짐</t>
  </si>
  <si>
    <t>직선 140 + 곡선 10</t>
  </si>
  <si>
    <t>수용성 황색실선</t>
  </si>
  <si>
    <t>8.0 부대공</t>
  </si>
  <si>
    <t>D150~200, T=250~500㎜ 3개소</t>
  </si>
  <si>
    <t>시험터파기 (인력)</t>
  </si>
  <si>
    <t>시험터파기 되메우기</t>
  </si>
  <si>
    <t>W2.0×H1.5, 42경간</t>
  </si>
  <si>
    <t>W2.0×H1.5, 24경간</t>
  </si>
  <si>
    <t>W2.0×H4.5, 48경간</t>
  </si>
  <si>
    <t>휀스기초 무근 2.85 + 3.20</t>
  </si>
  <si>
    <t>휀스기초 합판 6회</t>
  </si>
  <si>
    <t>기존 기초 T=300㎜ 미만</t>
  </si>
  <si>
    <t>B=20㎝ 195m</t>
  </si>
  <si>
    <t>철거 1 + 설치 1</t>
  </si>
  <si>
    <t>2공</t>
  </si>
  <si>
    <t>1회</t>
  </si>
  <si>
    <t>900×1,800, 4개소</t>
  </si>
  <si>
    <t>6.847ton</t>
  </si>
  <si>
    <t>시공검사 3 + 준공검사 3</t>
  </si>
  <si>
    <t>※ 총작업일수 = 순작업일수 + 간접작업일수 + 보정일수. 1일작업량은 ③1일작업량DB(부록4 + 처리시설 보완 108~164번)에서 자동조회. 물푸기 31일·교통신호수 180일은 전 공기 병행 관리항목으로 CP에 별도 반영. 5.0 SUB BEAM·어스앵커는 원본 파일 수량 셀이 불명확하여 0으로 두었습니다.</t>
  </si>
  <si>
    <t>처리시설 부지 표토제거</t>
  </si>
  <si>
    <t>구조물 터파기 / 육상 4.5m 이하</t>
  </si>
  <si>
    <t>구조물 터파기 / 용수구간</t>
  </si>
  <si>
    <t>흙쌓기 및 다짐</t>
  </si>
  <si>
    <t>성토면 고르기(토사)</t>
  </si>
  <si>
    <t>바닥면 고르기(토사)</t>
  </si>
  <si>
    <t>평떼 설치</t>
  </si>
  <si>
    <t>사토 226.01 + 표토 29.80</t>
  </si>
  <si>
    <t>기존 처리시설 사면부 철거(조경석쌓기 B-TYPE)</t>
  </si>
  <si>
    <t>조경석쌓기 구간 되메우기(A+B TYPE)</t>
  </si>
  <si>
    <t>2.0 구조물공 (수처리시설)</t>
  </si>
  <si>
    <t>SD400 H16 8.50 + H19 4.53</t>
  </si>
  <si>
    <t>수직 305.93 + 수평 23.35</t>
  </si>
  <si>
    <t>합판 6회 / 간단</t>
  </si>
  <si>
    <t>합판 3회 / 복잡</t>
  </si>
  <si>
    <t>강관동바리 10m 이하</t>
  </si>
  <si>
    <t>10m 이하</t>
  </si>
  <si>
    <t>25-18-120</t>
  </si>
  <si>
    <t>25-27-150 / 펌프카</t>
  </si>
  <si>
    <t>지수판 B=200</t>
  </si>
  <si>
    <t>내부방수(수조부)</t>
  </si>
  <si>
    <t>외부방수</t>
  </si>
  <si>
    <t>STS 덮개 내부 5 + 외부 1</t>
  </si>
  <si>
    <t>STS 사다리 A형</t>
  </si>
  <si>
    <t>구체 슬리브 20 + 관지수판 20</t>
  </si>
  <si>
    <t>3.0 구내배관공 (유입·상수·방류관로)</t>
  </si>
  <si>
    <t>관로 터파기 / 유입 31.95 + 방류 107.91</t>
  </si>
  <si>
    <t>관상단 되메우기 / 유입 25.83 + 방류 85.74</t>
  </si>
  <si>
    <t>관기초 모래 / 유입 5.96 + 방류 22.00</t>
  </si>
  <si>
    <t>고강성PVC이중벽관 D200 부설</t>
  </si>
  <si>
    <t>D75 직관 11개소</t>
  </si>
  <si>
    <t>D75 이형관 17개소</t>
  </si>
  <si>
    <t>관절단 19 + 플랜지접합 1</t>
  </si>
  <si>
    <t>B=15㎝</t>
  </si>
  <si>
    <t>구내배관 26.8 + 구조물 10.2</t>
  </si>
  <si>
    <t>우수관로·연결관·집수정·측구·받이·맨홀</t>
  </si>
  <si>
    <t>구조물 되메우기(집수정·측구·맨홀)</t>
  </si>
  <si>
    <t>관상단 되메우기</t>
  </si>
  <si>
    <t>관기초 모래</t>
  </si>
  <si>
    <t>잡석부설 Φ40 이하</t>
  </si>
  <si>
    <t>원심력 철근콘크리트관 D300 부설</t>
  </si>
  <si>
    <t>우수연결관 PVC D250 (직관 5 + 이형관 30)</t>
  </si>
  <si>
    <t>관절단 D300 4 + D250 10</t>
  </si>
  <si>
    <t>맨홀 천공 D250</t>
  </si>
  <si>
    <t>1호맨홀 4 + 2호맨홀 1</t>
  </si>
  <si>
    <t>맨홀 사다리 PE코팅 Φ22</t>
  </si>
  <si>
    <t>PC우수받이 4 + 집수정 5</t>
  </si>
  <si>
    <t>U형측구</t>
  </si>
  <si>
    <t>철근콘크리트 수로관 300×300×2000</t>
  </si>
  <si>
    <t>스틸그레이팅 19 + 중하중 6</t>
  </si>
  <si>
    <t>날개벽 1.12 + 맨홀뚜껑기초 0.08</t>
  </si>
  <si>
    <t>날개벽 8.62 + 맨홀뚜껑기초 2.00</t>
  </si>
  <si>
    <t>5.0 가시설공 (처리시설 흙막이)</t>
  </si>
  <si>
    <t>H-300 토사 136.70 + 연암 22.05</t>
  </si>
  <si>
    <t>H-PILE 측면파일 25본</t>
  </si>
  <si>
    <t>H-PILE 두부정리 25본</t>
  </si>
  <si>
    <t>H-PILE 뽑기 25본 (L=171.25m)</t>
  </si>
  <si>
    <t>H-300 (3m미만4·3~5m6·6~8m4·9~11m4)</t>
  </si>
  <si>
    <t>H-300 18본</t>
  </si>
  <si>
    <t>Main 4 + Corner 8</t>
  </si>
  <si>
    <t>토류판 설치 및 철거</t>
  </si>
  <si>
    <t>T=100㎜ (실적 40㎡/일)</t>
  </si>
  <si>
    <t>품셈·실적</t>
  </si>
  <si>
    <t>6.0 포장공</t>
  </si>
  <si>
    <t>처리장 동상방지층 T=35㎝</t>
  </si>
  <si>
    <t>처리장 보조기층 T=30㎝</t>
  </si>
  <si>
    <t>처리장 RSC-3</t>
  </si>
  <si>
    <t>처리장 기층 T=20㎝</t>
  </si>
  <si>
    <t>처리장 RSC-4</t>
  </si>
  <si>
    <t>처리장 표층 T=5㎝</t>
  </si>
  <si>
    <t>A+C 기계절단</t>
  </si>
  <si>
    <t>ASP 1.226 + Con'c 3.677</t>
  </si>
  <si>
    <t>A+C 보조기층 T=15㎝</t>
  </si>
  <si>
    <t>A+C 기층 T=15㎝</t>
  </si>
  <si>
    <t>A+C 표층 T=5㎝</t>
  </si>
  <si>
    <t>A+C RSC-3</t>
  </si>
  <si>
    <t>A+C RSC-4</t>
  </si>
  <si>
    <t>L형측구 4.85 + 도로경계석 2.33</t>
  </si>
  <si>
    <t>L형측구 12.50 + 도로경계석 17.56</t>
  </si>
  <si>
    <t>보차도경계석 33 + 도로경계석 44 (m)</t>
  </si>
  <si>
    <t>백색실선</t>
  </si>
  <si>
    <t>7.0 부대공</t>
  </si>
  <si>
    <t>관보호공 25-18-80</t>
  </si>
  <si>
    <t>관보호공 25-21-80</t>
  </si>
  <si>
    <t>관보호공(간단)</t>
  </si>
  <si>
    <t>관보호공 합판 6회</t>
  </si>
  <si>
    <t>H=2.0m W=2.0m, 28경간 (L=55.4m)</t>
  </si>
  <si>
    <t>출입문 설치</t>
  </si>
  <si>
    <t>H=2.0m W=6.0m (실적 1개소/일)</t>
  </si>
  <si>
    <t>바닥보호공 설치</t>
  </si>
  <si>
    <t>사석+필터매트 (실적 1개소/일)</t>
  </si>
  <si>
    <t>공사중 안전난간 설치/철거</t>
  </si>
  <si>
    <t>H=1.20m (실적 50m/일)</t>
  </si>
  <si>
    <t>설명판 2 + 안내표지 2 + 교통안전표지 2</t>
  </si>
  <si>
    <t>지장물보호공</t>
  </si>
  <si>
    <t>Φ400 이하 (실적 20m/일)</t>
  </si>
  <si>
    <t>줄파기</t>
  </si>
  <si>
    <t>L=109.4m (실적 50m/일)</t>
  </si>
  <si>
    <t>CCTV 조사</t>
  </si>
  <si>
    <t>Φ800 이하 (실적 200m/일)</t>
  </si>
  <si>
    <t>수밀 1 + 수압 1 + 공기압 4</t>
  </si>
  <si>
    <t>④-2 횡산소규모사업 작업일수 산정 (횡산 소규모 공공하수처리시설 + 관로시설) — 수량집계 → 1일작업량 → 작업일수</t>
  </si>
  <si>
    <t>[ 수량 산집 근거 · 자료원 ]  모든 작업수량(G열)은 아래 업로드 파일의 수량집계표에서 발췌 (uploaded 2026-09-03)</t>
  </si>
  <si>
    <t>1.0 토공 : 1.0 토공(횡산).xlsx — 토공집계표 · 처리시설토공집계표 · 조경석쌓기 토공집계표 / 평떼는 6.0 부대시설공(횡산).xlsx — 평떼 산근</t>
  </si>
  <si>
    <t>2.0 구조물공 : 2.0 구조물공(횡산).xlsx — 구조물공 수량집계표(처리시설 열)</t>
  </si>
  <si>
    <t>3.0 구내배관공 : 3.0 관로공(횡산).xlsx — 관로공 수량집계표(구내배관) / 토공·가시설은 1.0 토공 · 5.0 가시설공(횡산).xlsx</t>
  </si>
  <si>
    <t>4.0 우배수공 : 3.0 관로공(횡산).xlsx — 관로공 수량집계표(우배수) / 맨홀·날개벽은 2.0 구조물공, 토공은 1.0 토공(횡산).xlsx</t>
  </si>
  <si>
    <t>5.0 가시설공 : 5.0 가시설공(횡산).xlsx — 총괄수량집계표(처리시설)</t>
  </si>
  <si>
    <t>6.0 포장공 : 4.0 포장공(횡산).xlsx — 포장공 수량집계표(처리장·구내배관·L형쓰구·도로경계석·차선도색)</t>
  </si>
  <si>
    <t>7.0 부대공 : 6.0 부대시설공(횡산).xlsx — 부대공 수량집계표 · 안전시설/물푸기/관로시공검사 산근 / 품질시험은 7.0 품질시험비(횡산).xlsx</t>
  </si>
  <si>
    <t>8.1 오수관로 - 관로 토공</t>
  </si>
  <si>
    <t>관로 터파기 / 육상 BH0.7</t>
  </si>
  <si>
    <t>관로 터파기 / 육상 BH0.4</t>
  </si>
  <si>
    <t>관로 터파기 / 육상 BH0.2</t>
  </si>
  <si>
    <t>관상단 되메우기(토사) BH0.7</t>
  </si>
  <si>
    <t>관상단 되메우기(토사) BH0.4</t>
  </si>
  <si>
    <t>관상단 되메우기(토사) BH0.2</t>
  </si>
  <si>
    <t>관주위 모래 363.10+245.43+140.82</t>
  </si>
  <si>
    <t>사토 운반(적치장→사토장, DT24km)</t>
  </si>
  <si>
    <t>8.2 오수관로 - 관 부설</t>
  </si>
  <si>
    <t>자연유하관 고강성PVC이중벽관 D200 (직관 224개소)</t>
  </si>
  <si>
    <t>D200 관절단 39개소</t>
  </si>
  <si>
    <t>압송관 D80 직관 117개소</t>
  </si>
  <si>
    <t>압송관 D80 이형관 28개소</t>
  </si>
  <si>
    <t>D80 관절단 58개소</t>
  </si>
  <si>
    <t>B=15㎝ (자연유하+압송)</t>
  </si>
  <si>
    <t>관로표지못 설치(압송구간)</t>
  </si>
  <si>
    <t>수밀 D200 39 + 수압 D80 4</t>
  </si>
  <si>
    <t>D200 (실적 200m/일)</t>
  </si>
  <si>
    <t>8.3 오수관로 - 맨홀공</t>
  </si>
  <si>
    <t>PC 1호맨홀 Φ900 하부구체+상판 40개소</t>
  </si>
  <si>
    <t>1호맨홀 연직구체 32개소</t>
  </si>
  <si>
    <t>Φ648 40개소</t>
  </si>
  <si>
    <t>맨홀 사다리 PE코팅 183개소</t>
  </si>
  <si>
    <t>맨홀 기초 무근 25-18-8</t>
  </si>
  <si>
    <t>맨홀 기초 합판 6회</t>
  </si>
  <si>
    <t>맨홀 잡석부설 Φ40</t>
  </si>
  <si>
    <t>맨홀 부공기압시험(원형1호) 40개소</t>
  </si>
  <si>
    <t>8.4 오수관로 - 가시설공</t>
  </si>
  <si>
    <t>SK250 67.2 + SK300 124.4 + SK350 120.5 + SK400 55.1</t>
  </si>
  <si>
    <t>8.5 오수관로 - 포장 복구</t>
  </si>
  <si>
    <t>ASP구간 기계절단 1,319.46+31.60</t>
  </si>
  <si>
    <t>ASP 깨기 및 상차 253.33+4.49</t>
  </si>
  <si>
    <t>ASP구간 동상방지층 T=35㎝</t>
  </si>
  <si>
    <t>ASP구간 보조기층 T=30+25㎝</t>
  </si>
  <si>
    <t>ASP구간 RSC-3</t>
  </si>
  <si>
    <t>ASP구간 기층 T=20+5㎝(가복구 포함)</t>
  </si>
  <si>
    <t>ASP+CON'C구간 기계절단 1,175.24+685.20</t>
  </si>
  <si>
    <t>ASP 72.872 + CON'C 218.906 깨기 및 상차</t>
  </si>
  <si>
    <t>ASP+CON'C구간 보조기층 T=15㎝</t>
  </si>
  <si>
    <t>ASP+CON'C구간 RSC-3</t>
  </si>
  <si>
    <t>ASP+CON'C구간 기층 T=5㎝(가복구 포함)</t>
  </si>
  <si>
    <t>아스팔트 절삭</t>
  </si>
  <si>
    <t>절삭 T=5㎝ (실적 3,000㎡/일)</t>
  </si>
  <si>
    <t>절삭후 덧씌우기 표층 T=5㎝</t>
  </si>
  <si>
    <t>절삭후 덧씌우기 RSC-4</t>
  </si>
  <si>
    <t>8.6 오수관로 - 부대공</t>
  </si>
  <si>
    <t>기존관 매달기</t>
  </si>
  <si>
    <t>D400 이하 8 + BOX 2.0×2.0 2 (실적 2개소/일)</t>
  </si>
  <si>
    <t>관보호공 25-18-8 무근</t>
  </si>
  <si>
    <t>관보호공 25-18-8 철근</t>
  </si>
  <si>
    <t>관보호공 SD300 D13</t>
  </si>
  <si>
    <t>황색 80.4 + 백색 352.38</t>
  </si>
  <si>
    <t>부대시설 표층아스콘(인력 소규모)</t>
  </si>
  <si>
    <t>안전휀스 설치 및 철거</t>
  </si>
  <si>
    <t>606.67매 (실적 100매/일)</t>
  </si>
  <si>
    <t>매/일</t>
  </si>
  <si>
    <t>공사용 안전등 설치</t>
  </si>
  <si>
    <t>L=910m (실적 200m/일)</t>
  </si>
  <si>
    <t>안내표지판 6개소</t>
  </si>
  <si>
    <t>횡줄파기</t>
  </si>
  <si>
    <t>19개소 (실적 2개소/일)</t>
  </si>
  <si>
    <t>도로 평탄성 유지용 덮개</t>
  </si>
  <si>
    <t>보온덮개 L=910m (실적 300m/일)</t>
  </si>
  <si>
    <r>
      <t xml:space="preserve">                     04. </t>
    </r>
    <r>
      <rPr>
        <sz val="9"/>
        <color rgb="FF000000"/>
        <rFont val="Calibri"/>
        <family val="2"/>
        <charset val="1"/>
      </rPr>
      <t>구조물공</t>
    </r>
    <r>
      <rPr>
        <sz val="9"/>
        <color rgb="FF000000"/>
        <rFont val="Noto Sans CJK SC"/>
        <family val="2"/>
      </rPr>
      <t>(</t>
    </r>
    <r>
      <rPr>
        <sz val="9"/>
        <color rgb="FF000000"/>
        <rFont val="Calibri"/>
        <family val="2"/>
        <charset val="1"/>
      </rPr>
      <t>맨홀</t>
    </r>
    <r>
      <rPr>
        <sz val="9"/>
        <color rgb="FF000000"/>
        <rFont val="Noto Sans CJK SC"/>
        <family val="2"/>
      </rPr>
      <t xml:space="preserve">).xlsx — </t>
    </r>
    <r>
      <rPr>
        <sz val="9"/>
        <color rgb="FF000000"/>
        <rFont val="Calibri"/>
        <family val="2"/>
        <charset val="1"/>
      </rPr>
      <t>구조물공</t>
    </r>
    <r>
      <rPr>
        <sz val="9"/>
        <color rgb="FF000000"/>
        <rFont val="Noto Sans CJK SC"/>
        <family val="2"/>
      </rPr>
      <t>·</t>
    </r>
    <r>
      <rPr>
        <sz val="9"/>
        <color rgb="FF000000"/>
        <rFont val="Calibri"/>
        <family val="2"/>
        <charset val="1"/>
      </rPr>
      <t>맨홀</t>
    </r>
    <r>
      <rPr>
        <sz val="9"/>
        <color rgb="FF000000"/>
        <rFont val="Noto Sans CJK SC"/>
        <family val="2"/>
      </rPr>
      <t xml:space="preserve"> </t>
    </r>
    <r>
      <rPr>
        <sz val="9"/>
        <color rgb="FF000000"/>
        <rFont val="Calibri"/>
        <family val="2"/>
        <charset val="1"/>
      </rPr>
      <t>수량집계표</t>
    </r>
    <r>
      <rPr>
        <sz val="9"/>
        <color rgb="FF000000"/>
        <rFont val="Noto Sans CJK SC"/>
        <family val="2"/>
      </rPr>
      <t xml:space="preserve"> / 05. </t>
    </r>
    <r>
      <rPr>
        <sz val="9"/>
        <color rgb="FF000000"/>
        <rFont val="Calibri"/>
        <family val="2"/>
        <charset val="1"/>
      </rPr>
      <t>가시설공</t>
    </r>
    <r>
      <rPr>
        <sz val="9"/>
        <color rgb="FF000000"/>
        <rFont val="Noto Sans CJK SC"/>
        <family val="2"/>
      </rPr>
      <t xml:space="preserve">.xlsx — </t>
    </r>
    <r>
      <rPr>
        <sz val="9"/>
        <color rgb="FF000000"/>
        <rFont val="Calibri"/>
        <family val="2"/>
        <charset val="1"/>
      </rPr>
      <t>가시설</t>
    </r>
    <r>
      <rPr>
        <sz val="9"/>
        <color rgb="FF000000"/>
        <rFont val="Noto Sans CJK SC"/>
        <family val="2"/>
      </rPr>
      <t xml:space="preserve">·H-PILE·SHEET PILE </t>
    </r>
    <r>
      <rPr>
        <sz val="9"/>
        <color rgb="FF000000"/>
        <rFont val="Calibri"/>
        <family val="2"/>
        <charset val="1"/>
      </rPr>
      <t>수량집계표</t>
    </r>
  </si>
  <si>
    <r>
      <t xml:space="preserve">                     06. </t>
    </r>
    <r>
      <rPr>
        <sz val="9"/>
        <color rgb="FF000000"/>
        <rFont val="Calibri"/>
        <family val="2"/>
        <charset val="1"/>
      </rPr>
      <t>포장공</t>
    </r>
    <r>
      <rPr>
        <sz val="9"/>
        <color rgb="FF000000"/>
        <rFont val="Noto Sans CJK SC"/>
        <family val="2"/>
      </rPr>
      <t xml:space="preserve">.xlsx — </t>
    </r>
    <r>
      <rPr>
        <sz val="9"/>
        <color rgb="FF000000"/>
        <rFont val="Calibri"/>
        <family val="2"/>
        <charset val="1"/>
      </rPr>
      <t>포장공</t>
    </r>
    <r>
      <rPr>
        <sz val="9"/>
        <color rgb="FF000000"/>
        <rFont val="Noto Sans CJK SC"/>
        <family val="2"/>
      </rPr>
      <t xml:space="preserve"> </t>
    </r>
    <r>
      <rPr>
        <sz val="9"/>
        <color rgb="FF000000"/>
        <rFont val="Calibri"/>
        <family val="2"/>
        <charset val="1"/>
      </rPr>
      <t>수량집계표</t>
    </r>
    <r>
      <rPr>
        <sz val="9"/>
        <color rgb="FF000000"/>
        <rFont val="Noto Sans CJK SC"/>
        <family val="2"/>
      </rPr>
      <t xml:space="preserve"> / 07. </t>
    </r>
    <r>
      <rPr>
        <sz val="9"/>
        <color rgb="FF000000"/>
        <rFont val="Calibri"/>
        <family val="2"/>
        <charset val="1"/>
      </rPr>
      <t>부대공</t>
    </r>
    <r>
      <rPr>
        <sz val="9"/>
        <color rgb="FF000000"/>
        <rFont val="Noto Sans CJK SC"/>
        <family val="2"/>
      </rPr>
      <t xml:space="preserve">.xlsx — </t>
    </r>
    <r>
      <rPr>
        <sz val="9"/>
        <color rgb="FF000000"/>
        <rFont val="Calibri"/>
        <family val="2"/>
        <charset val="1"/>
      </rPr>
      <t>부대공</t>
    </r>
    <r>
      <rPr>
        <sz val="9"/>
        <color rgb="FF000000"/>
        <rFont val="Noto Sans CJK SC"/>
        <family val="2"/>
      </rPr>
      <t xml:space="preserve"> </t>
    </r>
    <r>
      <rPr>
        <sz val="9"/>
        <color rgb="FF000000"/>
        <rFont val="Calibri"/>
        <family val="2"/>
        <charset val="1"/>
      </rPr>
      <t>수량집계표</t>
    </r>
    <r>
      <rPr>
        <sz val="9"/>
        <color rgb="FF000000"/>
        <rFont val="Noto Sans CJK SC"/>
        <family val="2"/>
      </rPr>
      <t>(</t>
    </r>
    <r>
      <rPr>
        <sz val="9"/>
        <color rgb="FF000000"/>
        <rFont val="Calibri"/>
        <family val="2"/>
        <charset val="1"/>
      </rPr>
      <t>관보호공</t>
    </r>
    <r>
      <rPr>
        <sz val="9"/>
        <color rgb="FF000000"/>
        <rFont val="Noto Sans CJK SC"/>
        <family val="2"/>
      </rPr>
      <t>·</t>
    </r>
    <r>
      <rPr>
        <sz val="9"/>
        <color rgb="FF000000"/>
        <rFont val="Calibri"/>
        <family val="2"/>
        <charset val="1"/>
      </rPr>
      <t>지장물매달기</t>
    </r>
    <r>
      <rPr>
        <sz val="9"/>
        <color rgb="FF000000"/>
        <rFont val="Noto Sans CJK SC"/>
        <family val="2"/>
      </rPr>
      <t>·</t>
    </r>
    <r>
      <rPr>
        <sz val="9"/>
        <color rgb="FF000000"/>
        <rFont val="Calibri"/>
        <family val="2"/>
        <charset val="1"/>
      </rPr>
      <t>부대시설</t>
    </r>
    <r>
      <rPr>
        <sz val="9"/>
        <color rgb="FF000000"/>
        <rFont val="Noto Sans CJK SC"/>
        <family val="2"/>
      </rPr>
      <t>·</t>
    </r>
    <r>
      <rPr>
        <sz val="9"/>
        <color rgb="FF000000"/>
        <rFont val="Calibri"/>
        <family val="2"/>
        <charset val="1"/>
      </rPr>
      <t>횡줄파기</t>
    </r>
    <r>
      <rPr>
        <sz val="9"/>
        <color rgb="FF000000"/>
        <rFont val="Noto Sans CJK SC"/>
        <family val="2"/>
      </rPr>
      <t>)</t>
    </r>
  </si>
  <si>
    <t>8.1~8.6 오수관로 : 02. 토공.xlsx — 토공집계표·관로토공집계표·유용계획 / 03. 관로공.xlsx — 관로공 수량집계표 (uploaded 2026-09-04)</t>
  </si>
  <si>
    <t>9.1 펌프장 - 토공</t>
  </si>
  <si>
    <t>NS-MP01 터파기 BH0.7</t>
  </si>
  <si>
    <t>NS-MP02 터파기 BH0.2</t>
  </si>
  <si>
    <t>NS-MP01 구조물 되메우기 BH0.7</t>
  </si>
  <si>
    <t>NS-MP02 구조물 되메우기 BH0.2</t>
  </si>
  <si>
    <t>맨홀펌프장 잡석부설 Φ40</t>
  </si>
  <si>
    <t>9.2 펌프장 - 맨홀펌프장 구조물</t>
  </si>
  <si>
    <t>PC 2호맨홀 Φ1800 하부구체+상판 2개소</t>
  </si>
  <si>
    <t>2호맨홀 연직구체 7개소</t>
  </si>
  <si>
    <t>Φ648 2 + Φ766 4</t>
  </si>
  <si>
    <t>맨홀 사다리 PE코팅 21개소</t>
  </si>
  <si>
    <t>맨홀 기초 무근</t>
  </si>
  <si>
    <t>PC 2호맨홀 공기압시험 2개소</t>
  </si>
  <si>
    <t>9.3 펌프장 - 가시설·포장 복구</t>
  </si>
  <si>
    <t>조절식 간이흙막이 TS판넬 B3.24×3.24 2개소(둘레 12.96m×2)</t>
  </si>
  <si>
    <t>ASP 기계절단</t>
  </si>
  <si>
    <t>ASP 깨기 및 상차</t>
  </si>
  <si>
    <t>동상방지층 T=35㎝</t>
  </si>
  <si>
    <t>보조기층 T=30㎝</t>
  </si>
  <si>
    <t>기층 T=20+5㎝(임시포장 포함)</t>
  </si>
  <si>
    <t>10.1 배수설비 - 토공</t>
  </si>
  <si>
    <t>옥외 오수연결관·배수관 터파기 BH0.2</t>
  </si>
  <si>
    <t>옥내 가정배수관 터파기(소규모장비)</t>
  </si>
  <si>
    <t>옥외 관상단 되메우기</t>
  </si>
  <si>
    <t>옥외 관주위 되메우기(토사)</t>
  </si>
  <si>
    <t>옥내 관상단 되메우기</t>
  </si>
  <si>
    <t>옥내 관주위 342.14 + 정화조폐쇄 41.14</t>
  </si>
  <si>
    <t>옥외 관기초 석분</t>
  </si>
  <si>
    <t>옥외 사토(현장→사토장 DT2.5km)</t>
  </si>
  <si>
    <t>10.2 배수설비 - 관로공(옥외)</t>
  </si>
  <si>
    <t>옥외 오수연결관·압송관 부설 연장</t>
  </si>
  <si>
    <t>고강성PVC 이형관 D150 30 + D200 20</t>
  </si>
  <si>
    <t>고강성PVC 절단 D150 22 + D200 20</t>
  </si>
  <si>
    <t>내충격PVC 이음관접합(TS) D150 28개소</t>
  </si>
  <si>
    <t>압송관 D50 직관 41개소</t>
  </si>
  <si>
    <t>압송관 D50 이형관 8개소</t>
  </si>
  <si>
    <t>압송관 D50 절단 6개소</t>
  </si>
  <si>
    <t>10.3 배수설비 - 관로공(옥내)</t>
  </si>
  <si>
    <t>내충격PVC관 D100 직관 295개소</t>
  </si>
  <si>
    <t>내충격PVC관 D100 이형관 198개소</t>
  </si>
  <si>
    <t>내충격PVC관 D100 절단 225개소</t>
  </si>
  <si>
    <t>연막시험 32가구</t>
  </si>
  <si>
    <t>10.4 배수설비 - 맨홀·오수받이·가시설</t>
  </si>
  <si>
    <t>옥내 오수받이 내충격PVC Φ300 32개소</t>
  </si>
  <si>
    <t>옥외 소형맨홀 PVC Φ300 7개소</t>
  </si>
  <si>
    <t>옥외 소형맨홀 뚜껑 7개소</t>
  </si>
  <si>
    <t>옥내 PC 1호맨홀 Φ900 하부구체+상판 2개소</t>
  </si>
  <si>
    <t>옥내 1호맨홀 연직구체 4 + 상부구체 2</t>
  </si>
  <si>
    <t>옥내 맨홀 사다리 PE코팅 20개소</t>
  </si>
  <si>
    <t>옥내 Φ648 2개소</t>
  </si>
  <si>
    <t>옥내 맨홀 기초 무근</t>
  </si>
  <si>
    <t>옥내 맨홀 기초 합판 2회</t>
  </si>
  <si>
    <t>옥내 맨홀 잡석부설 Φ75</t>
  </si>
  <si>
    <t>옥내 맨홀 공기압시험(원형1호) 2개소</t>
  </si>
  <si>
    <t>옥내 조절식 간이흙막이 B3.0×3.0 2개소(둘레 12m×2)</t>
  </si>
  <si>
    <t>10.5 배수설비 - 포장 복구</t>
  </si>
  <si>
    <t>옥외 ASP 186.4 + ASP+C 1,054.8 + CON'C 92.52</t>
  </si>
  <si>
    <t>옥외 ASP 26.8 + ASP+C 123.10 + CON'C 8.18</t>
  </si>
  <si>
    <t>옥외 보조기층 29.64+88.78+7.87</t>
  </si>
  <si>
    <t>옥외 ASP구간 RSC-3</t>
  </si>
  <si>
    <t>옥외 ASP구간 기층 T=20㎝</t>
  </si>
  <si>
    <t>옥외 표층 T=5㎝ (ASP 107.18 + ASP+C 615.48)</t>
  </si>
  <si>
    <t>옥외 RSC-4 722.66㎡</t>
  </si>
  <si>
    <t>콘크리트 포장(인력 소규모)</t>
  </si>
  <si>
    <t>옥외 T=15㎝ 123.10+10.91 (실적 30㎥/일)</t>
  </si>
  <si>
    <t>보도블럭 걷기 및 설치</t>
  </si>
  <si>
    <t>옥외 T=6㎝ (실적 50㎡/일)</t>
  </si>
  <si>
    <t>옥내 ASP+C 322.88 + CON'C 2,354.28</t>
  </si>
  <si>
    <t>옥내 ASP+C 22.62 + CON'C 114.30</t>
  </si>
  <si>
    <t>옥내 표층 T=5㎝(인력 소규모)</t>
  </si>
  <si>
    <t>옥내 RSC-4</t>
  </si>
  <si>
    <t>옥내 T=10㎝ 15.06+114.14 (실적 30㎥/일)</t>
  </si>
  <si>
    <t>옥내 T=6㎝ (실적 50㎡/일)</t>
  </si>
  <si>
    <t>10.6 배수설비 - 부대공</t>
  </si>
  <si>
    <t>옥외 맨홀접합부 Φ150 2 + Φ250 22</t>
  </si>
  <si>
    <t>정화조 폐쇄</t>
  </si>
  <si>
    <t>단독 30개소 (실적 3개소/일)</t>
  </si>
  <si>
    <t>수팽창고무링 20×5㎜</t>
  </si>
  <si>
    <t>맨홀접합부 몰탈충진(1:2)</t>
  </si>
  <si>
    <t>9.1~9.3 맨홀펌프장 : 02. 토공 / 03. 구조물공 / 04. 가시설공 / 05. 포장공 / 06. 부대공 각 (펌프장).xlsx — 유용계획·수량집계표 (uploaded 2026-09-04)</t>
  </si>
  <si>
    <t>10.1~10.6 배수설비 : 01.옥외배수설비.xlsx · 01.옥내배수설비.xlsx — 유용계획(토공)·관로공·구조물공·간이흙막이·포장공·부대공 수량집계표 (uploaded 2026-09-04)</t>
  </si>
  <si>
    <t>※ 총작업일수 = 순작업일수 + 간접작업일수 + 보정일수. 1일작업량은 ③1일작업량DB(부록4) 자동조회, DB에 없는 공종은 '품셈·실적'으로 수동 1일작업량 적용. 처리시설 물푸기 59일(1,404hr)·교통신호수 30일, 오수관로 교통안전요원 15일은 전 공기 병행 관리항목으로 CP에 별도 반영. 집계표 수량이 0인 항목은 미계상. 토공은 사토량 기준으로 산정하여 중간적치장 운반은 터파기·되메우기에 병행되는 것으로 보아 중복 계상하지 않았음. 기계·전기·계장공사는 본 집계 범위 제외.</t>
  </si>
  <si>
    <t>1.1 관로공 - 토공</t>
  </si>
  <si>
    <t>오수관로 터파기 H&lt;2.5m</t>
  </si>
  <si>
    <t>오수관로 터파기 H=2.5~4.0m</t>
  </si>
  <si>
    <t>오수관로 터파기 H=4.0~6.0m</t>
  </si>
  <si>
    <t>오수관로 터파기 H≥6.0m</t>
  </si>
  <si>
    <t>관상단 되메우기(토사) 전량</t>
  </si>
  <si>
    <t>관주위 모래 되메우기 전량</t>
  </si>
  <si>
    <t>사토 운반(중간적치장→사토장)</t>
  </si>
  <si>
    <t>1.2 관로공 - 관 부설</t>
  </si>
  <si>
    <t>자연유하관 PVC이중벽관 D150 88본 + D200 937본 (L=6,860.2m)</t>
  </si>
  <si>
    <t>PVC 관절단 D150 15 + D200 173</t>
  </si>
  <si>
    <t>압송관 DCIP D80 직관 260개소(KP메커니컬)</t>
  </si>
  <si>
    <t>압송관 DCIP D80 이형관 127개소</t>
  </si>
  <si>
    <t>DCIP 절단 117 + KP접합 40 + 이탈방지압륜 87</t>
  </si>
  <si>
    <t>탐사용 B=200㎜</t>
  </si>
  <si>
    <t>압송구간 표지못 35개소</t>
  </si>
  <si>
    <t>단열이중보온관 D80 부설</t>
  </si>
  <si>
    <t>이중보온관 접합 29 + 연결보온재 45</t>
  </si>
  <si>
    <t>관매달기 D80 (2m당 1개소)</t>
  </si>
  <si>
    <t>맨홀펌프장 내부배관 PE이중벽관·PE수도관 82개소</t>
  </si>
  <si>
    <t>시공검사 6,655.75 + 준공검사 332.80 (실적 200m/일)</t>
  </si>
  <si>
    <t>1.3 관로공 - 맨홀공(구조물)</t>
  </si>
  <si>
    <t>1호 189 + 2호 5 + 4호 8 + 6호 2 (상·하부구체)</t>
  </si>
  <si>
    <t>연직구체 146 + 기계실구체 7</t>
  </si>
  <si>
    <t>Φ648 216 + Φ918 6</t>
  </si>
  <si>
    <t>안전사다리 PE코팅 Φ22</t>
  </si>
  <si>
    <t>맨홀 잡석부설 쇄석 Φ40 이하</t>
  </si>
  <si>
    <t>맨홀 뚜껑부 높이조절 모르타르</t>
  </si>
  <si>
    <t>맨홀 거푸집(간단, 0~7m)</t>
  </si>
  <si>
    <t>맨홀 공기압시험 196 + 준공 수밀시험 12</t>
  </si>
  <si>
    <t>관로·맨홀 연결 5 + 부관(내부) 설치 5</t>
  </si>
  <si>
    <t>관보호공 설치</t>
  </si>
  <si>
    <t>D80 80m + D200 78.25m (실적 30m/일)</t>
  </si>
  <si>
    <t>수충격설비 내충격PVC 20 + DCIP 6</t>
  </si>
  <si>
    <t>공기밸브 보호통 설치</t>
  </si>
  <si>
    <t>1호(토사) 4 + 1호(ASP) 2 (실적 2개소/일)</t>
  </si>
  <si>
    <t>1.4 관로공 - 가시설(간이흙막이)</t>
  </si>
  <si>
    <t>B1.20×H1.62 4,015.9 + H2.5 1,472.92 + H3.32 726.7 + B1.84 147</t>
  </si>
  <si>
    <t>조절식 TS판넬 H=4.24m B=1.2m</t>
  </si>
  <si>
    <t>1.5 관로공 - 가시설(SHEET-PILE, 우정처리 분구)</t>
  </si>
  <si>
    <t>KWSP ⅢA-400 토사천공 및 근입</t>
  </si>
  <si>
    <t>풍화암 960.0 + 연암 471.16 천공 및 근입</t>
  </si>
  <si>
    <t>모래 채움(1,240.92㎥)</t>
  </si>
  <si>
    <t>SHEET PILE 인발 960본 (L=7,665.4m)</t>
  </si>
  <si>
    <t>H-250 (3~5m 4본 + 9~11m 76본)</t>
  </si>
  <si>
    <t>H-250 80본</t>
  </si>
  <si>
    <t>H-250 (3~5m) 110본</t>
  </si>
  <si>
    <t>H-250 110본</t>
  </si>
  <si>
    <t>가이드빔 제작·이동설치</t>
  </si>
  <si>
    <t>GUIDE BEAM 32SET, 박기·뽑기 128본 (실적 4SET/일)</t>
  </si>
  <si>
    <t>SET/일</t>
  </si>
  <si>
    <t>지수재 도포</t>
  </si>
  <si>
    <t>L=7,665.4m (실적 500m/일)</t>
  </si>
  <si>
    <t>1.6 관로공 - 맨홀펌프장 가시설(ND#3~#5)</t>
  </si>
  <si>
    <t>SP 토사천공 285.8+395.9+410.5</t>
  </si>
  <si>
    <t>SP 풍화암천공 27.1+19.5</t>
  </si>
  <si>
    <t>SP 천공 후 항타 (L=332m)</t>
  </si>
  <si>
    <t>SP 인발 44+61+61본</t>
  </si>
  <si>
    <t>SP 806.8 + H-PILE 178.2</t>
  </si>
  <si>
    <t>H-250 토사 231.0 + 풍화암 13.2</t>
  </si>
  <si>
    <t>H-PILE 11본×3개소</t>
  </si>
  <si>
    <t>H-PILE 33본</t>
  </si>
  <si>
    <t>THK=6㎝ 94.4㎡×3 (실적 40㎡/일)</t>
  </si>
  <si>
    <t>H-250 (3~5m 24본 + 6~8m 2본)</t>
  </si>
  <si>
    <t>H-250 26본</t>
  </si>
  <si>
    <t>H-250 (3~5m) 8본×3개소</t>
  </si>
  <si>
    <t>지중경사계 3 + 변형률계 6 + 지하수위계 3</t>
  </si>
  <si>
    <t>1.7 관로공 - 포장 복구</t>
  </si>
  <si>
    <t>ASP구간 T=15㎝ 기계절단</t>
  </si>
  <si>
    <t>ASP 포장깨기 및 상차 T=25㎝</t>
  </si>
  <si>
    <t>본복구 2,461.59 + 가복구 2,064.47</t>
  </si>
  <si>
    <t>RSC-3 (터파기폭)</t>
  </si>
  <si>
    <t>기층 #467 T=25㎝ (터파기폭)</t>
  </si>
  <si>
    <t>RSC-4 (전폭)</t>
  </si>
  <si>
    <t>표층 절삭 후 덧씌우기 #78 T=5㎝</t>
  </si>
  <si>
    <t>표층 절삭 T=5㎝ (실적 3,000㎡/일)</t>
  </si>
  <si>
    <t>부직포 깔기 및 철거</t>
  </si>
  <si>
    <t>가복구구간 B=2m (실적 1,000㎡/일)</t>
  </si>
  <si>
    <t>CON'C구간 T=20㎝ 기계절단</t>
  </si>
  <si>
    <t>CON'C 포장깨기 및 상차 T=20㎝</t>
  </si>
  <si>
    <t>CON'C구간 보조기층 T=20㎝</t>
  </si>
  <si>
    <t>CON'C 포장복구 T=20㎝ (실적 100㎡/일)</t>
  </si>
  <si>
    <t>백색 1,620.1 + 황색 855.3 (융착식)</t>
  </si>
  <si>
    <t>1.8 관로공 - 부대공</t>
  </si>
  <si>
    <t>9,313매 (구입 133매) (실적 100매/일)</t>
  </si>
  <si>
    <t>윙카호스 설치</t>
  </si>
  <si>
    <t>L=200m (실적 200m/일)</t>
  </si>
  <si>
    <t>안내표지판 1 + 안전표지판 2</t>
  </si>
  <si>
    <t>D400이하 54 + D450~700 21 + D800~1000 21 + D1000이상 18 + BOX 30 (실적 20m/일)</t>
  </si>
  <si>
    <t>시험터파기</t>
  </si>
  <si>
    <t>ASP 6 + CON'C 2 + 비포장 1 (실적 2개소/일)</t>
  </si>
  <si>
    <t>표지못 설치</t>
  </si>
  <si>
    <t>우수 4 + 상수 2 (실적 10개소/일)</t>
  </si>
  <si>
    <t>세륜차시설 1개소 + 축중계 1식</t>
  </si>
  <si>
    <t>가설사무소 기초 64.5 + 세륜시설 기초 23.93</t>
  </si>
  <si>
    <t>가설건축물 설치/철거</t>
  </si>
  <si>
    <t>사무소130+창고100+합숙180+시험실20 (실적 100㎡/일)</t>
  </si>
  <si>
    <t>L=218m (경간 2.0m 기준 109경간)</t>
  </si>
  <si>
    <t>가설울타리 출입문 설치</t>
  </si>
  <si>
    <t>W6000×H2000 1경간 (실적 1경간/일)</t>
  </si>
  <si>
    <t>2.1 연결관로 - 토공</t>
  </si>
  <si>
    <t>연결관로 터파기(2.5~4.0m 1,488.6 + 4~6m 158.8 + 6m이상 448.0)</t>
  </si>
  <si>
    <t>관상단 되메우기(토사)</t>
  </si>
  <si>
    <t>관주위 모래 되메우기</t>
  </si>
  <si>
    <t>구조물 잡석부설 T=10㎝</t>
  </si>
  <si>
    <t>잔토 683.0 + 부족토 운반 917.5</t>
  </si>
  <si>
    <t>2.2 연결관로 - 관 부설</t>
  </si>
  <si>
    <t>오수연결관 PVC이중벽관 D150 직관 294개소 (L=1,763.75m)</t>
  </si>
  <si>
    <t>연결관 이형관 D150 67개소</t>
  </si>
  <si>
    <t>연결관 관절단 D150 149개소</t>
  </si>
  <si>
    <t>압송관 DCIP D80 직관 95본</t>
  </si>
  <si>
    <t>압송관 D80 이형관 16 + 절단 3</t>
  </si>
  <si>
    <t>시공 1,763.75 + 준공 89.0 (실적 200m/일)</t>
  </si>
  <si>
    <t>연막 199 + 수밀 88 + 수압 4</t>
  </si>
  <si>
    <t>2.3 연결관로 - 구조물공</t>
  </si>
  <si>
    <t>오수받이 PVC 일체형 83EA(뚜껑 포함)</t>
  </si>
  <si>
    <t>소형맨홀 내충격PVC Φ300 20개소</t>
  </si>
  <si>
    <t>Φ375 20조 + Φ648 부양식 3조</t>
  </si>
  <si>
    <t>자가펌프맨홀 조립식PC Φ900 3개소</t>
  </si>
  <si>
    <t>연직구체 6 + 안전사다리 9</t>
  </si>
  <si>
    <t>무근 25-21-80 2.2 + 25-18-80 13.8 + 모르타르 0.1</t>
  </si>
  <si>
    <t>합판4회 9.6 + 합판6회 13.6 + 유로폼 0.7</t>
  </si>
  <si>
    <t>맨홀부 수밀 3 + 준공 공기압 1</t>
  </si>
  <si>
    <t>2.4 연결관로 - 포장 복구</t>
  </si>
  <si>
    <t>ASP 1,762.6 + ASP+CONC 65.8 + CON'C 2,332.2</t>
  </si>
  <si>
    <t>ASP 246.6 + ASP+CONC 8.6 + CON'C 247.9</t>
  </si>
  <si>
    <t>본복구 273.1 + 가복구 247.3 + A+C 6.4 + CON'C 236.5</t>
  </si>
  <si>
    <t>기층 #467 T=25㎝</t>
  </si>
  <si>
    <t>ASP 2,287.3 + ASP+CONC 34.0 (전폭)</t>
  </si>
  <si>
    <t>표층 복구 #78 T=5㎝ (전폭)</t>
  </si>
  <si>
    <t>가복구구간 (실적 1,000㎡/일)</t>
  </si>
  <si>
    <t>CON'C 1,239.6 + ASP+CONC 34.0 (실적 100㎡/일)</t>
  </si>
  <si>
    <t>2.5 연결관로 - 부대공</t>
  </si>
  <si>
    <t>기존 구조물 연결 Φ80×100 3 + Φ150×100 80</t>
  </si>
  <si>
    <t>3.1 배수설비 - 토공</t>
  </si>
  <si>
    <t>가정내 오수관 터파기(육상)</t>
  </si>
  <si>
    <t>관기초 되메우기(토사)</t>
  </si>
  <si>
    <t>폐콘크리트 266.70 + 폐아스콘 4.03 상차·운반</t>
  </si>
  <si>
    <t>3.2 배수설비 - 관 부설</t>
  </si>
  <si>
    <t>가정오수관 내충격PVC D100 직관 455개소</t>
  </si>
  <si>
    <t>가정오수관 D100 이형관 597개소</t>
  </si>
  <si>
    <t>가정오수관 D100 관절단 597개소</t>
  </si>
  <si>
    <t>3.3 배수설비 - 구조물공</t>
  </si>
  <si>
    <t>점검구 PVC D200 26개소</t>
  </si>
  <si>
    <t>점검구 기초 무근 25-21-80</t>
  </si>
  <si>
    <t>배수설비 대장 작성</t>
  </si>
  <si>
    <t>83가구 (실적 20가구/일)</t>
  </si>
  <si>
    <t>가구/일</t>
  </si>
  <si>
    <t>3.4 배수설비 - 포장 복구</t>
  </si>
  <si>
    <t>ASP+CONC 194 + CON'C 2,914</t>
  </si>
  <si>
    <t>CON'C 250.60 + ASP+CONC 20.13</t>
  </si>
  <si>
    <t>ASP+CONC 표층 #78 T=5㎝</t>
  </si>
  <si>
    <t>ASP+CONC RSC-4</t>
  </si>
  <si>
    <t>CON'C 1,253.02 + ASP+CONC 80.51 (실적 100㎡/일)</t>
  </si>
  <si>
    <t>잔디뜨기 및 식재(평떼)</t>
  </si>
  <si>
    <t>3.5 배수설비 - 부대공</t>
  </si>
  <si>
    <t>상수도관 이설 DCIP D80 직관 17개소</t>
  </si>
  <si>
    <t>상수도관 이설 D80 관절단 4개소</t>
  </si>
  <si>
    <t>원형사각수로관 설치</t>
  </si>
  <si>
    <t>D300 L=1,073m (실적 30m/일)</t>
  </si>
  <si>
    <t>기존관 철거(흄관 D300)</t>
  </si>
  <si>
    <t>기존 측구 깨기</t>
  </si>
  <si>
    <t>담장 복구 블록 3,978매(≈295㎡, 기본형 150×190×390)</t>
  </si>
  <si>
    <t>담장 헐기</t>
  </si>
  <si>
    <t>담장헐기 306㎡ (실적 30㎡/일)</t>
  </si>
  <si>
    <t>※ 총작업일수 = 순작업일수 + 간접작업일수 + 보정일수. 1일작업량은 ③1일작업량DB(부록4) 자동조회, DB에 없는 공종은 '품셈·실적'으로 수동 1일작업량 적용. 본 응집계는 구간(분구)별 동시시공을 조수(K열)로 반영한 공종별 생산일수로, CP 구성 시 구간 중첩·직렬관계를 반영하면 실제 공기는 이보다 짧아짐.</t>
  </si>
  <si>
    <t>1.1 토공 : 02. 토공.xlsx — 토공집계표 · 토공유용계획표</t>
  </si>
  <si>
    <t>1.3 맨홀공 : 05. 구조물공.xlsx — 구조물수량집계(맨홀·맨홀연결·부관·관보호공·보호통)</t>
  </si>
  <si>
    <t>1.4~1.6 가시설 : 03-1. 조립식간이흙막이공.xlsx — 가시설집계표 / 03-2. 조절식간이흙막이공.xls — TS판넬 수량집계표</t>
  </si>
  <si>
    <t xml:space="preserve">                     03-3. 관로구간(우정처리 분구)(SHEET-PILE)_ok.xls / 03-4~03-6. 맨홀 팜프장(ND#3·#4·#5)(SHEET-PILE)_ok.xls — 각 0.BOQ 수량집계표</t>
  </si>
  <si>
    <t>1.7 포장공 : 06. 포장공.xlsx — 포장공 수량집계표(ASP·ASP가복구·CON'C·차선도색)</t>
  </si>
  <si>
    <t>1.8 부대공 : 07. 부대공.xlsx — 부대공수량집계(안전시설·지장물매달기·가설사무소 등)</t>
  </si>
  <si>
    <t>2.1~2.5 연결관로 : 01. 연결관로.xlsx — 토공수량집계·토공유용계획표·관로수량집계표·구조물수량집계·포장공 수량집계표·부대공수량집계</t>
  </si>
  <si>
    <t>3.1~3.5 배수설비 : 02. 배수설비.xlsx — 배수설비 수량집계표·토공수량집계·관로수량집계표·구조물 수량집계·포장공 수량집계표·부대공수량집계</t>
  </si>
  <si>
    <t>자재·폐기물 대조 : 01. 주요자재 및 폐기물 집계표.xlsx</t>
  </si>
  <si>
    <t>[ 산출 근거 · 자료원 ]  모든 작업수량(G열)은 아래 업로드 파일의 수량집계표에서 발췌 (uploaded 2026-09-04)</t>
  </si>
  <si>
    <t>※ 병행 관리항목(CP 별도 반영) : 교통신호수 152일(1인 1조) 및 382일(2인 1조), 살수 6,230a, 슬러지 제거 42회, 가설건축물 36개월 운용.</t>
  </si>
  <si>
    <t>※ 미계상 : 집계표 수량이 0이거나 원본 수식이 오류(#VALUE!, #REF!)인 항목 — ASP+CON'C 포장구간, 배수설비 맨홀 천공 및 개별 가압 부대항목, 물돌리기·물푸기·과속방지턱 깨기, 관로구간 H-PILE 및 차수공. 토공은 사토량 기준으로 산정하여 중간적치장 운반(터파기 15,410.47㎥, 되메움토 10,398㎥)은 터파기·되메우기에 병행되는 것으로 보아 중복 계상하지 않았음. 기계·전기·계장공사 제외.</t>
  </si>
  <si>
    <t>1.2 관 부설 : 04. 관부설공.xlsx — 관로수량집계표 및 내부배관 수량집계</t>
  </si>
  <si>
    <t>④-3 노동리 하수관로정비사업(노동리 + 우정리 2개 구간) 작업일수 산정 — 관로공 + 연결관로 + 배수설비, 2구간 동시시공 기준</t>
  </si>
  <si>
    <t>⑤ 주공정(CP) 구성 — 3개 사업 착공 시차 반영 (횡산소규모 → 신서 증설 +6개월 → 노동리·우정리 +3개월)</t>
  </si>
  <si>
    <t>그룹(대공정군)별 작업일수는 ④-1·④-2·④-3의 구간 합계를 자동 참조. 관계유형에 따라 선행중첩을 자동 산출하고, 비작업일수는 ⑥엔진의 사업별 값을 작업일수 비례로 배분합니다.</t>
  </si>
  <si>
    <t>[ 사업별 착공 기준 ]</t>
  </si>
  <si>
    <t>사업</t>
  </si>
  <si>
    <t>준비기간(일)</t>
  </si>
  <si>
    <t>횡산소규모</t>
  </si>
  <si>
    <t>신서 증설</t>
  </si>
  <si>
    <t>노동리·우정리</t>
  </si>
  <si>
    <t>[ 관계유형 중첩률 ]  자동중첩일 = ROUND(MIN(선행 작업일수, 당해 작업일수) × 중첩률, 0)</t>
  </si>
  <si>
    <t>선행 완료 후 착수. 중첩 없음</t>
  </si>
  <si>
    <t>부분중첩(SS)</t>
  </si>
  <si>
    <t>선행 진행 중 착수(동일구역 분리시공·양생 중 후속)</t>
  </si>
  <si>
    <t>선행과 대부분 동시수행(구간 분할 병행)</t>
  </si>
  <si>
    <t>그룹 (대공정군)</t>
  </si>
  <si>
    <t>참조 구간</t>
  </si>
  <si>
    <t>선행중첩(일)</t>
  </si>
  <si>
    <t>그룹 공사기간</t>
  </si>
  <si>
    <t>시작(일차)</t>
  </si>
  <si>
    <t>종료(일차)</t>
  </si>
  <si>
    <t>그룹 시작일</t>
  </si>
  <si>
    <t>그룹 종료일</t>
  </si>
  <si>
    <t>비고</t>
  </si>
  <si>
    <t>기준 (D+0)</t>
  </si>
  <si>
    <t>처리시설+오수관로+펌프장+배수설비</t>
  </si>
  <si>
    <t>횡산 착공 +6개월</t>
  </si>
  <si>
    <t>공공하수처리시설 증설</t>
  </si>
  <si>
    <t>신서 착공 +3개월</t>
  </si>
  <si>
    <t>하수관로정비(노동리·우정리 2구간 동시시공)</t>
  </si>
  <si>
    <t>처리시설 - 토공</t>
  </si>
  <si>
    <t>처리시설 - 가시설공</t>
  </si>
  <si>
    <t>처리시설 - 구조물공</t>
  </si>
  <si>
    <t>처리시설 - 구내배관공</t>
  </si>
  <si>
    <t>처리시설 - 우배수공</t>
  </si>
  <si>
    <t>처리시설 - 포장공</t>
  </si>
  <si>
    <t>처리시설 - 부대공</t>
  </si>
  <si>
    <t>오수관로 - 토공</t>
  </si>
  <si>
    <t>오수관로 - 가시설공</t>
  </si>
  <si>
    <t>오수관로 - 관 부설</t>
  </si>
  <si>
    <t>오수관로 - 맨홀공</t>
  </si>
  <si>
    <t>오수관로 - 포장 복구</t>
  </si>
  <si>
    <t>오수관로 - 부대공</t>
  </si>
  <si>
    <t>펌프장 - 토공</t>
  </si>
  <si>
    <t>펌프장 - 가시설·포장</t>
  </si>
  <si>
    <t>펌프장 - 구조물</t>
  </si>
  <si>
    <t>배수설비 - 토공</t>
  </si>
  <si>
    <t>배수설비 - 관로(옥외)</t>
  </si>
  <si>
    <t>배수설비 - 관로(옥내)</t>
  </si>
  <si>
    <t>배수설비 - 맨홀·오수받이</t>
  </si>
  <si>
    <t>배수설비 - 포장 복구</t>
  </si>
  <si>
    <t>배수설비 - 부대공</t>
  </si>
  <si>
    <t>【 횡산소규모 소계 】</t>
  </si>
  <si>
    <t>CP 공사기간(중첩 반영) = 종료(일차) 최대값</t>
  </si>
  <si>
    <t>가시설공</t>
  </si>
  <si>
    <t>기존시설 철거공</t>
  </si>
  <si>
    <t>구내배관공</t>
  </si>
  <si>
    <t>우배수공</t>
  </si>
  <si>
    <t>포장공</t>
  </si>
  <si>
    <t>【 신서 증설 소계 】</t>
  </si>
  <si>
    <t>관로공 - 토공</t>
  </si>
  <si>
    <t>관로공 - 가시설(간이흙막이)</t>
  </si>
  <si>
    <t>관로공 - 가시설(SHEET-PILE)</t>
  </si>
  <si>
    <t>관로공 - 맨홀펌프장 가시설</t>
  </si>
  <si>
    <t>관로공 - 관 부설</t>
  </si>
  <si>
    <t>관로공 - 맨홀공</t>
  </si>
  <si>
    <t>관로공 - 포장 복구</t>
  </si>
  <si>
    <t>관로공 - 부대공</t>
  </si>
  <si>
    <t>연결관로 - 토공</t>
  </si>
  <si>
    <t>연결관로 - 관 부설</t>
  </si>
  <si>
    <t>연결관로 - 구조물공</t>
  </si>
  <si>
    <t>연결관로 - 포장 복구</t>
  </si>
  <si>
    <t>연결관로 - 부대공</t>
  </si>
  <si>
    <t>배수설비 - 관 부설</t>
  </si>
  <si>
    <t>배수설비 - 구조물공</t>
  </si>
  <si>
    <t>【 노동리·우정리 소계 】</t>
  </si>
  <si>
    <t>CP 합계 (3개 사업)</t>
  </si>
  <si>
    <t>④-2 횡산소규모 작업일수!O5</t>
    <phoneticPr fontId="84" type="noConversion"/>
  </si>
  <si>
    <t>④-2 횡산소규모 작업일수!O64</t>
    <phoneticPr fontId="84" type="noConversion"/>
  </si>
  <si>
    <t>④-2 횡산소규모 작업일수!O17</t>
    <phoneticPr fontId="84" type="noConversion"/>
  </si>
  <si>
    <t>④-2 횡산소규모 작업일수!O36</t>
    <phoneticPr fontId="84" type="noConversion"/>
  </si>
  <si>
    <t>④-2 횡산소규모 작업일수!O46</t>
    <phoneticPr fontId="84" type="noConversion"/>
  </si>
  <si>
    <t>④-2 횡산소규모 작업일수!O75</t>
    <phoneticPr fontId="84" type="noConversion"/>
  </si>
  <si>
    <t>④-2 횡산소규모 작업일수!O93</t>
    <phoneticPr fontId="84" type="noConversion"/>
  </si>
  <si>
    <t>④-2 횡산소규모 작업일수!O107</t>
    <phoneticPr fontId="84" type="noConversion"/>
  </si>
  <si>
    <t>④-2 횡산소규모 작업일수!O135</t>
    <phoneticPr fontId="84" type="noConversion"/>
  </si>
  <si>
    <t>④-2 횡산소규모 작업일수!O116</t>
    <phoneticPr fontId="84" type="noConversion"/>
  </si>
  <si>
    <t>④-2 횡산소규모 작업일수!O126</t>
    <phoneticPr fontId="84" type="noConversion"/>
  </si>
  <si>
    <t>④-2 횡산소규모 작업일수!O137</t>
    <phoneticPr fontId="84" type="noConversion"/>
  </si>
  <si>
    <t>④-2 횡산소규모 작업일수!O152</t>
    <phoneticPr fontId="84" type="noConversion"/>
  </si>
  <si>
    <t>④-2 횡산소규모 작업일수!O165</t>
    <phoneticPr fontId="84" type="noConversion"/>
  </si>
  <si>
    <t>④-2 횡산소규모 작업일수!O179</t>
    <phoneticPr fontId="84" type="noConversion"/>
  </si>
  <si>
    <t>④-2 횡산소규모 작업일수!O171</t>
    <phoneticPr fontId="84" type="noConversion"/>
  </si>
  <si>
    <t>④-2 횡산소규모 작업일수!O187</t>
    <phoneticPr fontId="84" type="noConversion"/>
  </si>
  <si>
    <t>④-2 횡산소규모 작업일수!O196</t>
    <phoneticPr fontId="84" type="noConversion"/>
  </si>
  <si>
    <t>④-2 횡산소규모 작업일수!O205</t>
    <phoneticPr fontId="84" type="noConversion"/>
  </si>
  <si>
    <t>④-2 횡산소규모 작업일수!O210</t>
    <phoneticPr fontId="84" type="noConversion"/>
  </si>
  <si>
    <t>④-2 횡산소규모 작업일수!O223</t>
    <phoneticPr fontId="84" type="noConversion"/>
  </si>
  <si>
    <t>④-2 횡산소규모 작업일수!O239</t>
    <phoneticPr fontId="84" type="noConversion"/>
  </si>
  <si>
    <t>④-1 처리시설 작업일수!O5</t>
    <phoneticPr fontId="84" type="noConversion"/>
  </si>
  <si>
    <t>④-1 처리시설 작업일수!O61</t>
    <phoneticPr fontId="84" type="noConversion"/>
  </si>
  <si>
    <t>④-1 처리시설 작업일수!O80</t>
    <phoneticPr fontId="84" type="noConversion"/>
  </si>
  <si>
    <t>④-1 처리시설 작업일수!O15</t>
    <phoneticPr fontId="84" type="noConversion"/>
  </si>
  <si>
    <t>④-1 처리시설 작업일수!O38</t>
    <phoneticPr fontId="84" type="noConversion"/>
  </si>
  <si>
    <t>④-1 처리시설 작업일수!O47</t>
    <phoneticPr fontId="84" type="noConversion"/>
  </si>
  <si>
    <t>④-1 처리시설 작업일수!O89</t>
    <phoneticPr fontId="84" type="noConversion"/>
  </si>
  <si>
    <t>④-1 처리시설 작업일수!O101</t>
    <phoneticPr fontId="84" type="noConversion"/>
  </si>
  <si>
    <t>④-3 노동리 작업일수!O5</t>
    <phoneticPr fontId="84" type="noConversion"/>
  </si>
  <si>
    <t>④-3 노동리 작업일수!O39</t>
    <phoneticPr fontId="84" type="noConversion"/>
  </si>
  <si>
    <t>④-3 노동리 작업일수!O42</t>
    <phoneticPr fontId="84" type="noConversion"/>
  </si>
  <si>
    <t>④-3 노동리 작업일수!O53</t>
    <phoneticPr fontId="84" type="noConversion"/>
  </si>
  <si>
    <t>④-3 노동리 작업일수!O13</t>
    <phoneticPr fontId="84" type="noConversion"/>
  </si>
  <si>
    <t>④-3 노동리 작업일수!O26</t>
    <phoneticPr fontId="84" type="noConversion"/>
  </si>
  <si>
    <t>④-3 노동리 작업일수!O67</t>
    <phoneticPr fontId="84" type="noConversion"/>
  </si>
  <si>
    <t>④-3 노동리 작업일수!O82</t>
    <phoneticPr fontId="84" type="noConversion"/>
  </si>
  <si>
    <t>④-3 노동리 작업일수!O94</t>
    <phoneticPr fontId="84" type="noConversion"/>
  </si>
  <si>
    <t>④-3 노동리 작업일수!O100</t>
    <phoneticPr fontId="84" type="noConversion"/>
  </si>
  <si>
    <t>④-3 노동리 작업일수!O108</t>
    <phoneticPr fontId="84" type="noConversion"/>
  </si>
  <si>
    <t>④-3 노동리 작업일수!O117</t>
    <phoneticPr fontId="84" type="noConversion"/>
  </si>
  <si>
    <t>④-3 노동리 작업일수!O127</t>
    <phoneticPr fontId="84" type="noConversion"/>
  </si>
  <si>
    <t>④-3 노동리 작업일수!O129</t>
    <phoneticPr fontId="84" type="noConversion"/>
  </si>
  <si>
    <t>④-3 노동리 작업일수!O134</t>
    <phoneticPr fontId="84" type="noConversion"/>
  </si>
  <si>
    <t>④-3 노동리 작업일수!O138</t>
    <phoneticPr fontId="84" type="noConversion"/>
  </si>
  <si>
    <t>④-3 노동리 작업일수!O142</t>
    <phoneticPr fontId="84" type="noConversion"/>
  </si>
  <si>
    <t>④-3 노동리 작업일수!O149</t>
    <phoneticPr fontId="84" type="noConversion"/>
  </si>
  <si>
    <t>⑥ 공사기간 종합 — 3개 사업(착공 시차 반영) 및 사업별 월별 공정엔진</t>
  </si>
  <si>
    <t>[ 사업별 공사기간 종합 ]</t>
  </si>
  <si>
    <t>착수예정일</t>
  </si>
  <si>
    <t>준비기간</t>
  </si>
  <si>
    <t>정리기간</t>
  </si>
  <si>
    <t>준공예정일</t>
  </si>
  <si>
    <t>【 3개 사업 전체 】</t>
  </si>
  <si>
    <t>합계</t>
  </si>
  <si>
    <t>소요월수</t>
  </si>
  <si>
    <t>◆ 신서 증설</t>
  </si>
  <si>
    <t>◆ 노동리·우정리</t>
  </si>
  <si>
    <t>⑦ 공사기간 적정성 검토 (±20%) — 3개 사업</t>
  </si>
  <si>
    <t>산정 공사기간(A)을 부록5 산정공식 또는 최근5년 동종공사 실적평균(B)과 비교. |A−B|/B ≤ 20% 이면 적정. 노란색 입력란(부록5 변수 또는 실적평균)을 채우면 자동 판정됩니다.</t>
  </si>
  <si>
    <t>[ 사업별 적정성 판정 ]</t>
  </si>
  <si>
    <t>부록5 산정값 Y</t>
  </si>
  <si>
    <t>기준 공사기간(B)</t>
  </si>
  <si>
    <t>편차율 (A−B)/B</t>
  </si>
  <si>
    <t>총공사비(억원)</t>
  </si>
  <si>
    <t>연면적(100㎡)</t>
  </si>
  <si>
    <t>지상층수</t>
  </si>
  <si>
    <t>지하층수</t>
  </si>
  <si>
    <t>← 노란 셀에 사업별 변수를 입력하면 부록5 Y값과 판정이 자동 계산됩니다.</t>
  </si>
  <si>
    <t>②월평균 가동율
(동절기 제외)</t>
  </si>
  <si>
    <t>횡산 / 신서 / 노동리 순</t>
  </si>
  <si>
    <t>횡산소규모 + 신서 증설 + 노동리·우정리 하수관로정비 (3개 사업 통합 공사기간 산정)</t>
  </si>
  <si>
    <t>※ 요약란은 ⑥공사기간종합의 3개 사업 전체값(착공 시차 반영)을 참조합니다. 부록5 적정성검토 변수는 ⑦시트에 사업별로 입력하세요.</t>
  </si>
  <si>
    <t>시작일</t>
  </si>
  <si>
    <t>종료일</t>
  </si>
  <si>
    <t>공사기간(일)</t>
  </si>
  <si>
    <t>【 횡산소규모 】</t>
  </si>
  <si>
    <t>착공 ~ 준공 (준비 60일 + CP + 정리 30일)</t>
  </si>
  <si>
    <t>【 신서 증설 】</t>
  </si>
  <si>
    <t>【 노동리·우정리 】</t>
  </si>
  <si>
    <t>최초 착공(횡산) ~ 최종 준공</t>
  </si>
  <si>
    <t>비작업일수
(동절기 외)</t>
  </si>
  <si>
    <t>실공사기간
(동절기 제외)</t>
  </si>
  <si>
    <t>실공사
개월</t>
  </si>
  <si>
    <t>동절기
중지 회차</t>
  </si>
  <si>
    <t>전체 공사기간
(동절기 포함)</t>
  </si>
  <si>
    <t>전체
개월</t>
  </si>
  <si>
    <t>[ 전체 사업기간 동절기 중지일수 산출 ]  전체 착공~최종 준공 구간과 12~2월이 겹치는 달력일수</t>
  </si>
  <si>
    <t>월초</t>
  </si>
  <si>
    <t>월말</t>
  </si>
  <si>
    <t>전체기간 겹침일</t>
  </si>
  <si>
    <t>동절기 겹침일</t>
  </si>
  <si>
    <t>실공사/전체공기 비율</t>
  </si>
  <si>
    <t>실공사기간(동절기 제외) ÷ 전체 공사기간(동절기 포함)</t>
  </si>
  <si>
    <t>동절기 구분 →</t>
  </si>
  <si>
    <t>← K9(동절기 회차)는 노란 입력셀. 3회×3개월(91일)=273일 정액 가산</t>
  </si>
  <si>
    <t>구간분할 조수 배수 (노동리+우정리 2구간)</t>
  </si>
  <si>
    <t>기준 조수
(1구간 기준)</t>
  </si>
  <si>
    <t>← 노란 셀. 기준조수(Q열) × 배수 = 적용 작업조수(K열). 배수 2 = 2구간 동시시공(당초), 배수를 낮추면 작업일수가 늘어남</t>
  </si>
  <si>
    <t>※ 작업조수(K열) 기준 : 본 수량은 노동리·우정리 2개 구간 합산 발주 물량. 구간분할 조수는 기준조수(Q열) × 배수(R3)로 산정하며, 전체 사업 실공사기간 35개월에 맞춰 배수를 1.7로 역산 적용함(당초 2.0 → 1.7). 총작업일수 630.0일 → 740.5일.</t>
  </si>
  <si>
    <t>구분</t>
    <phoneticPr fontId="84" type="noConversion"/>
  </si>
  <si>
    <t>공정별</t>
    <phoneticPr fontId="84" type="noConversion"/>
  </si>
  <si>
    <t>⑤-1 동절기 제외 가동일 축 — 12~2월 전면 작업중지 기준 (준비기간·정리기간 포함 적용)</t>
  </si>
  <si>
    <t>※ 공정의 '일차'를 달력일로 환산할 때 이 축을 사용합니다. 동절기(12·1·2월)는 가동일수 0으로 처리되어 공정이 자동 순연됩니다.</t>
  </si>
  <si>
    <t>월초일</t>
  </si>
  <si>
    <t>가동일수</t>
  </si>
  <si>
    <t>누적가동일</t>
  </si>
  <si>
    <t>[ 동절기(12~2월) 제외 순연 산정 ]  — 준및기간·정리기간 포함 전면 중지 기준</t>
  </si>
  <si>
    <r>
      <t>시작</t>
    </r>
    <r>
      <rPr>
        <b/>
        <sz val="9"/>
        <color theme="1"/>
        <rFont val="Calibri"/>
        <family val="2"/>
      </rPr>
      <t xml:space="preserve"> </t>
    </r>
    <r>
      <rPr>
        <b/>
        <sz val="9"/>
        <color theme="1"/>
        <rFont val="Calibri"/>
        <family val="2"/>
        <charset val="1"/>
      </rPr>
      <t>누적가동일차</t>
    </r>
  </si>
  <si>
    <r>
      <t>시작</t>
    </r>
    <r>
      <rPr>
        <b/>
        <sz val="9"/>
        <color theme="1"/>
        <rFont val="Calibri"/>
        <family val="2"/>
      </rPr>
      <t xml:space="preserve"> </t>
    </r>
    <r>
      <rPr>
        <b/>
        <sz val="9"/>
        <color theme="1"/>
        <rFont val="Calibri"/>
        <family val="2"/>
        <charset val="1"/>
      </rPr>
      <t>축행</t>
    </r>
  </si>
  <si>
    <r>
      <t>순연</t>
    </r>
    <r>
      <rPr>
        <b/>
        <sz val="9"/>
        <color theme="1"/>
        <rFont val="Calibri"/>
        <family val="2"/>
      </rPr>
      <t xml:space="preserve"> </t>
    </r>
    <r>
      <rPr>
        <b/>
        <sz val="9"/>
        <color theme="1"/>
        <rFont val="Calibri"/>
        <family val="2"/>
        <charset val="1"/>
      </rPr>
      <t>시작일</t>
    </r>
  </si>
  <si>
    <r>
      <t>종료</t>
    </r>
    <r>
      <rPr>
        <b/>
        <sz val="9"/>
        <color theme="1"/>
        <rFont val="Calibri"/>
        <family val="2"/>
      </rPr>
      <t xml:space="preserve"> </t>
    </r>
    <r>
      <rPr>
        <b/>
        <sz val="9"/>
        <color theme="1"/>
        <rFont val="Calibri"/>
        <family val="2"/>
        <charset val="1"/>
      </rPr>
      <t>누적가동일차</t>
    </r>
  </si>
  <si>
    <r>
      <t>종료</t>
    </r>
    <r>
      <rPr>
        <b/>
        <sz val="9"/>
        <color theme="1"/>
        <rFont val="Calibri"/>
        <family val="2"/>
      </rPr>
      <t xml:space="preserve"> </t>
    </r>
    <r>
      <rPr>
        <b/>
        <sz val="9"/>
        <color theme="1"/>
        <rFont val="Calibri"/>
        <family val="2"/>
        <charset val="1"/>
      </rPr>
      <t>축행</t>
    </r>
  </si>
  <si>
    <r>
      <t>순연</t>
    </r>
    <r>
      <rPr>
        <b/>
        <sz val="9"/>
        <color theme="1"/>
        <rFont val="Calibri"/>
        <family val="2"/>
      </rPr>
      <t xml:space="preserve"> </t>
    </r>
    <r>
      <rPr>
        <b/>
        <sz val="9"/>
        <color theme="1"/>
        <rFont val="Calibri"/>
        <family val="2"/>
        <charset val="1"/>
      </rPr>
      <t>공사기간</t>
    </r>
    <r>
      <rPr>
        <b/>
        <sz val="9"/>
        <color theme="1"/>
        <rFont val="Calibri"/>
        <family val="2"/>
      </rPr>
      <t>(</t>
    </r>
    <r>
      <rPr>
        <b/>
        <sz val="9"/>
        <color theme="1"/>
        <rFont val="Calibri"/>
        <family val="2"/>
        <charset val="1"/>
      </rPr>
      <t>달력일</t>
    </r>
    <r>
      <rPr>
        <b/>
        <sz val="9"/>
        <color theme="1"/>
        <rFont val="Calibri"/>
        <family val="2"/>
      </rPr>
      <t>)</t>
    </r>
  </si>
  <si>
    <t>※ 산정기준: 공정의 일차(L·M열)를 '⑤-1 동절기순연축'의 가동일 축으로 환산 — 12~2월은 가동일 0으로 소진되지 않아 공정이 3월로 자동 순연됩니다.</t>
  </si>
  <si>
    <t>※ 사용자 지시에 따라 준및기간(60일)·정리기간(30일)도 동절기 중지 대상으로 처리. 선후관계·중첩률(G·H열)은 변경하지 않았으밀로 CP 네트워킬 로직은 보존됩니다.</t>
  </si>
  <si>
    <t>준및기간 적용(일)</t>
  </si>
  <si>
    <t>준및종료일 축행</t>
  </si>
  <si>
    <t>CP 기산점 누적가동일</t>
  </si>
  <si>
    <t xml:space="preserve">  └ 적용 병행(밀집)</t>
  </si>
  <si>
    <t xml:space="preserve">  └ 적용 부분중첩(SS)</t>
  </si>
  <si>
    <t>작업조 증설계수 (1.00 = ③DB 원값 유지)</t>
  </si>
  <si>
    <t>[ 공사기간 검증 ]</t>
  </si>
  <si>
    <t>총 공사기간(일)</t>
  </si>
  <si>
    <r>
      <t xml:space="preserve">  └</t>
    </r>
    <r>
      <rPr>
        <b/>
        <sz val="9"/>
        <color theme="1"/>
        <rFont val="Calibri"/>
        <family val="2"/>
      </rPr>
      <t xml:space="preserve"> </t>
    </r>
    <r>
      <rPr>
        <b/>
        <sz val="9"/>
        <color theme="1"/>
        <rFont val="Calibri"/>
        <family val="2"/>
        <charset val="1"/>
      </rPr>
      <t>개월</t>
    </r>
  </si>
  <si>
    <t>동절기 중지(일)</t>
  </si>
  <si>
    <t xml:space="preserve">  └ 회차 (3개월/회)</t>
  </si>
  <si>
    <r>
      <t>순공기</t>
    </r>
    <r>
      <rPr>
        <sz val="9"/>
        <color theme="1"/>
        <rFont val="Calibri"/>
        <family val="2"/>
      </rPr>
      <t>(</t>
    </r>
    <r>
      <rPr>
        <sz val="9"/>
        <color theme="1"/>
        <rFont val="Calibri"/>
        <family val="2"/>
        <charset val="1"/>
      </rPr>
      <t>일</t>
    </r>
    <r>
      <rPr>
        <sz val="9"/>
        <color theme="1"/>
        <rFont val="Calibri"/>
        <family val="2"/>
      </rPr>
      <t xml:space="preserve">) = </t>
    </r>
    <r>
      <rPr>
        <sz val="9"/>
        <color theme="1"/>
        <rFont val="Calibri"/>
        <family val="2"/>
        <charset val="1"/>
      </rPr>
      <t>총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Calibri"/>
        <family val="2"/>
        <charset val="1"/>
      </rPr>
      <t>−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Calibri"/>
        <family val="2"/>
        <charset val="1"/>
      </rPr>
      <t>동절기</t>
    </r>
  </si>
  <si>
    <t xml:space="preserve">  └ 개월 (준및60일·정리30일 포함)</t>
  </si>
  <si>
    <t>착공</t>
  </si>
  <si>
    <t>준공</t>
  </si>
  <si>
    <t>건축공사</t>
  </si>
  <si>
    <t>기계공사</t>
  </si>
  <si>
    <t>전기공사</t>
  </si>
  <si>
    <t>조경공사</t>
  </si>
  <si>
    <t>시운전(4개월)</t>
  </si>
  <si>
    <t>FS-</t>
  </si>
  <si>
    <t>시운전</t>
  </si>
  <si>
    <t>관계유형</t>
    <phoneticPr fontId="84" type="noConversion"/>
  </si>
  <si>
    <t>선행 순번</t>
    <phoneticPr fontId="84" type="noConversion"/>
  </si>
  <si>
    <t>(예비)</t>
    <phoneticPr fontId="84" type="noConversion"/>
  </si>
  <si>
    <t>FF 종료(순번)</t>
    <phoneticPr fontId="84" type="noConversion"/>
  </si>
  <si>
    <t>Lag (SS=%, FS-=일)</t>
    <phoneticPr fontId="84" type="noConversion"/>
  </si>
  <si>
    <t>START</t>
    <phoneticPr fontId="84" type="noConversion"/>
  </si>
  <si>
    <t>SS</t>
    <phoneticPr fontId="84" type="noConversion"/>
  </si>
  <si>
    <t>[ CP 조정 파라미터 ]  — 총 공사기간 47개월(순공기 35 + 동절기 12) 맞춤</t>
  </si>
  <si>
    <t>※ 토공·가시설공은 네트워크(AA~AE열)에서 'FF 종료' 지정으로 대상 공정 완료까지 완전 병행 유지되며, 이 배수는 나머지 순차공정에만 적용됩니다.</t>
  </si>
  <si>
    <t>※ 토목 외 공종(건축·기계·전기·조경·시운전)은 F열 기간과 AE열 선행투입일수를 직접 수정하는 작업칸입니다(노란색).</t>
  </si>
  <si>
    <t>※ 선후관계는 ⑤CP구성 AA~AE열(네트워크)에서 관리합니다. 토공·가시설공은 'FF 종료' 지정으로 대상 공정(구조물공·관 부설·맨홀공 등) 완료 시점까지 유지되며, 완료 후 철거됩니다.</t>
  </si>
  <si>
    <t>※ 횡산소규모 오수관로는 처리시설 구조물공과 동시 착공(Lag 0%), 배수설비는 오수관로 관 부설 30% 진행 후 착수합니다.</t>
  </si>
  <si>
    <t>※ 동절기(12~2월)는 작업중지 기간으로 가동일에서 제외되며(⑤-1 동절기순연축), 공정은 3월로 자동 순연됩니다.</t>
  </si>
  <si>
    <t>동절기 중지
(일, 달력 실계산)</t>
  </si>
  <si>
    <t>ⓐ 총 비작업일수
(엔진, 동절기 포함)
= F + P</t>
  </si>
  <si>
    <t>비작업일률 (동절기 외, 작업일 1일당)</t>
  </si>
  <si>
    <t>※ ②비작업일수의 동절기 외 월만 모아 (적용비작업일 합) ÷ (작업가능일 합). ⑥ 엔진을 거치지 않으므로 순환참조가 없습니다.</t>
  </si>
  <si>
    <t>배분 비작업(일)
= 작업일수 × 비작업일률</t>
  </si>
  <si>
    <t>이달 공사
진행일</t>
  </si>
  <si>
    <t>비작업 계상
(진행일 비례)</t>
  </si>
  <si>
    <t>CP 작업일수(순)
= H − D − F − G</t>
  </si>
  <si>
    <t>※ D~G열은 산정 근거(준비·CP 순작업일·동절기 외 비작업일·정리)이고, H·J·K·L·N열은 ⑤CP구성·⑤-1 동절기순연축의 달력 실계산 결과입니다. D+E+F+G = H 로 정합합니다(전체행은 착공 시차 때문에 합산이 아니라 스팬 기준).</t>
  </si>
  <si>
    <t>※ 월별 엔진(13~61행)은 각 사업의 실제 착공~준공 구간만 대상으로 계산합니다. 이전에는 '작업일수를 월별로 소진하는 가상 일정'을 따라가 사업별 46개월치까지 늘어났고 L열과 어긋났으나, 공정 진행일수(겹침일) 비례로 바꿔 CP 결과와 일치시켰습니다.</t>
  </si>
  <si>
    <t>※ O열 = 실제 공정 구간의 총 비작업일수(동절기 포함), P열 = 그 중 동절기분. F열(= O − P) = 동절기 외 비작업일수. 이제 P열은 J열과 동일한 값이 되며 상호 검산용입니다.</t>
  </si>
  <si>
    <t>※ ⑤CP구성의 공정별 배분 비작업일수(J열)는 ②비작업일수의 동절기 외 비작업일률(⑤ Z20)로 직접 산정하여, ⑥ 엔진을 거치는 순환참조를 제거했습니다.</t>
  </si>
  <si>
    <t>ⓑ 상기 중 동절기분
(= J열과 동일, 검산용)</t>
  </si>
  <si>
    <t>연천군</t>
    <phoneticPr fontId="84" type="noConversion"/>
  </si>
  <si>
    <t>자동</t>
  </si>
  <si>
    <t>철원</t>
    <phoneticPr fontId="84" type="noConversion"/>
  </si>
  <si>
    <t>※ 관측지점(C6)은 ①공사개요 기상지역, 행정구역(E6)은 부록3DB에서 자동 연동됩니다. 미세먼지(PM2.5) 행은 부록3DB에 자료가 없어 노란 칸에 지역 측정소 값을 직접 입력해야 합니다.</t>
  </si>
  <si>
    <t>※ 구조물공사(②-1)와 하수관로공사(②-2)의 월별 기후비작업일수를 비교하여 큰 값을 자동 적용합니다.</t>
  </si>
  <si>
    <t>기후비작업(A)
=MAX(②-1,②-2)</t>
  </si>
  <si>
    <t>부록5 하수도식</t>
  </si>
  <si>
    <t>[ 부록5 건축 산정공식 (횡산소규모 · 신서 증설) ]  Y = −68.55 + 18.192×지하층수 + 12.079×지상층수 − 5.25×LN(연면적) + 167.632×LN(총공사비)</t>
  </si>
  <si>
    <t>[ 부록5 하수도 산정공식 (노동리·우정리) ]  Y = −452.433 + 98.364×LN(SL: 관로연장 m) + 0.083×C(총공사비)</t>
  </si>
  <si>
    <t>← 노동리·우정리는 하수도식 적용: C열=총공사비, D열=관로연장 SL(m). 지상·지하층수(E·F열)는 사용하지 않음</t>
  </si>
  <si>
    <t>※ 검토식 구분: 처리시설(횡산소규모·신서 증설)은 부록5 건축 산정공식, 하수관로(노동리·우정리)는 부록5 하수도 산정공식을 적용합니다.</t>
  </si>
  <si>
    <t>※ 하수도식의 C(총공사비) 단위는 부록5 원문 기준을 확인하십시오. 현재 억원 단위로 입력되어 0.083×C 항의 기여가 작습니다. 백만원 단위 식이라면 C16을 백만원으로 환산해 입력해야 합니다.</t>
  </si>
  <si>
    <t>산정 공사기간(A)
동절기 제외 · 준비60+정리30 포함</t>
  </si>
  <si>
    <t>착공 시차 반영 전체(동절기 제외)</t>
  </si>
  <si>
    <r>
      <t>순차공정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Calibri"/>
        <family val="2"/>
        <charset val="1"/>
      </rPr>
      <t>중첩률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Calibri"/>
        <family val="2"/>
        <charset val="1"/>
      </rPr>
      <t>배수</t>
    </r>
    <r>
      <rPr>
        <sz val="9"/>
        <color theme="1"/>
        <rFont val="Calibri"/>
        <family val="2"/>
      </rPr>
      <t xml:space="preserve"> (</t>
    </r>
    <r>
      <rPr>
        <sz val="9"/>
        <color theme="1"/>
        <rFont val="Calibri"/>
        <family val="2"/>
        <charset val="1"/>
      </rPr>
      <t>횡산소규모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Calibri"/>
        <family val="2"/>
        <charset val="1"/>
      </rPr>
      <t>전용</t>
    </r>
    <r>
      <rPr>
        <sz val="9"/>
        <color theme="1"/>
        <rFont val="Calibri"/>
        <family val="2"/>
      </rPr>
      <t>)</t>
    </r>
  </si>
  <si>
    <r>
      <t xml:space="preserve">  └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Calibri"/>
        <family val="2"/>
        <charset val="1"/>
      </rPr>
      <t>적용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Calibri"/>
        <family val="2"/>
        <charset val="1"/>
      </rPr>
      <t>병행</t>
    </r>
    <r>
      <rPr>
        <sz val="9"/>
        <color theme="1"/>
        <rFont val="Calibri"/>
        <family val="2"/>
      </rPr>
      <t>(</t>
    </r>
    <r>
      <rPr>
        <sz val="9"/>
        <color theme="1"/>
        <rFont val="Calibri"/>
        <family val="2"/>
        <charset val="1"/>
      </rPr>
      <t>밀접</t>
    </r>
    <r>
      <rPr>
        <sz val="9"/>
        <color theme="1"/>
        <rFont val="Calibri"/>
        <family val="2"/>
      </rPr>
      <t>)</t>
    </r>
  </si>
  <si>
    <r>
      <t xml:space="preserve">  └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Calibri"/>
        <family val="2"/>
        <charset val="1"/>
      </rPr>
      <t>적용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Calibri"/>
        <family val="2"/>
        <charset val="1"/>
      </rPr>
      <t>부분중첩</t>
    </r>
    <r>
      <rPr>
        <sz val="9"/>
        <color theme="1"/>
        <rFont val="Calibri"/>
        <family val="2"/>
      </rPr>
      <t>(SS)</t>
    </r>
  </si>
  <si>
    <r>
      <t>※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횡산소규모는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최초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별도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착공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사업으로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병행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여건이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달라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전용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배수를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적용합니다</t>
    </r>
    <r>
      <rPr>
        <i/>
        <sz val="8"/>
        <color theme="1"/>
        <rFont val="Calibri"/>
        <family val="2"/>
      </rPr>
      <t>.</t>
    </r>
  </si>
  <si>
    <r>
      <t>작업일수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Calibri"/>
        <family val="2"/>
        <charset val="1"/>
      </rPr>
      <t>보정계수</t>
    </r>
    <r>
      <rPr>
        <sz val="9"/>
        <color theme="1"/>
        <rFont val="Calibri"/>
        <family val="2"/>
      </rPr>
      <t xml:space="preserve"> (</t>
    </r>
    <r>
      <rPr>
        <sz val="9"/>
        <color theme="1"/>
        <rFont val="Calibri"/>
        <family val="2"/>
        <charset val="1"/>
      </rPr>
      <t>횡산소규모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Calibri"/>
        <family val="2"/>
        <charset val="1"/>
      </rPr>
      <t>전용</t>
    </r>
    <r>
      <rPr>
        <sz val="9"/>
        <color theme="1"/>
        <rFont val="Calibri"/>
        <family val="2"/>
      </rPr>
      <t>)</t>
    </r>
  </si>
  <si>
    <r>
      <t>※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④</t>
    </r>
    <r>
      <rPr>
        <i/>
        <sz val="8"/>
        <color theme="1"/>
        <rFont val="Calibri"/>
        <family val="2"/>
      </rPr>
      <t xml:space="preserve">-2 </t>
    </r>
    <r>
      <rPr>
        <i/>
        <sz val="8"/>
        <color theme="1"/>
        <rFont val="Calibri"/>
        <family val="2"/>
        <charset val="1"/>
      </rPr>
      <t>산정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작업일수를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이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계수로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나눠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적용합니다</t>
    </r>
    <r>
      <rPr>
        <i/>
        <sz val="8"/>
        <color theme="1"/>
        <rFont val="Calibri"/>
        <family val="2"/>
      </rPr>
      <t xml:space="preserve">(1.00 </t>
    </r>
    <r>
      <rPr>
        <i/>
        <sz val="8"/>
        <color theme="1"/>
        <rFont val="Calibri"/>
        <family val="2"/>
        <charset val="1"/>
      </rPr>
      <t>미만</t>
    </r>
    <r>
      <rPr>
        <i/>
        <sz val="8"/>
        <color theme="1"/>
        <rFont val="Calibri"/>
        <family val="2"/>
      </rPr>
      <t xml:space="preserve"> = </t>
    </r>
    <r>
      <rPr>
        <i/>
        <sz val="8"/>
        <color theme="1"/>
        <rFont val="Calibri"/>
        <family val="2"/>
        <charset val="1"/>
      </rPr>
      <t>작업일수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증가</t>
    </r>
    <r>
      <rPr>
        <i/>
        <sz val="8"/>
        <color theme="1"/>
        <rFont val="Calibri"/>
        <family val="2"/>
      </rPr>
      <t xml:space="preserve">). </t>
    </r>
    <r>
      <rPr>
        <i/>
        <sz val="8"/>
        <color theme="1"/>
        <rFont val="Calibri"/>
        <family val="2"/>
        <charset val="1"/>
      </rPr>
      <t>소규모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처리시설의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가시설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설치</t>
    </r>
    <r>
      <rPr>
        <i/>
        <sz val="8"/>
        <color theme="1"/>
        <rFont val="Calibri"/>
        <family val="2"/>
      </rPr>
      <t>·</t>
    </r>
    <r>
      <rPr>
        <i/>
        <sz val="8"/>
        <color theme="1"/>
        <rFont val="Calibri"/>
        <family val="2"/>
        <charset val="1"/>
      </rPr>
      <t>구조물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타설</t>
    </r>
    <r>
      <rPr>
        <i/>
        <sz val="8"/>
        <color theme="1"/>
        <rFont val="Calibri"/>
        <family val="2"/>
      </rPr>
      <t>·</t>
    </r>
    <r>
      <rPr>
        <i/>
        <sz val="8"/>
        <color theme="1"/>
        <rFont val="Calibri"/>
        <family val="2"/>
        <charset val="1"/>
      </rPr>
      <t>양생</t>
    </r>
    <r>
      <rPr>
        <i/>
        <sz val="8"/>
        <color theme="1"/>
        <rFont val="Calibri"/>
        <family val="2"/>
      </rPr>
      <t>·</t>
    </r>
    <r>
      <rPr>
        <i/>
        <sz val="8"/>
        <color theme="1"/>
        <rFont val="Calibri"/>
        <family val="2"/>
        <charset val="1"/>
      </rPr>
      <t>가시설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철거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연속작업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여건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반영</t>
    </r>
    <r>
      <rPr>
        <i/>
        <sz val="8"/>
        <color theme="1"/>
        <rFont val="Calibri"/>
        <family val="2"/>
      </rPr>
      <t>.</t>
    </r>
  </si>
  <si>
    <t>동절기 진행</t>
  </si>
  <si>
    <t>[ 선후관계 네트워크 ]  START / SS=선행 Lag% 진행 후 / FS=선행 완료 직후 / FS-=선행 완료 n일 전 / 시운전 / 'FF 종료'=그 공정 완료까지 유지 / 'Y'=동절기에도 진행</t>
  </si>
  <si>
    <t>FS</t>
    <phoneticPr fontId="84" type="noConversion"/>
  </si>
  <si>
    <t>FS-</t>
    <phoneticPr fontId="84" type="noConversion"/>
  </si>
  <si>
    <t>순연 종료일
(Y=동절기 포함)</t>
  </si>
  <si>
    <t>동절기
진행</t>
  </si>
  <si>
    <t>시운전(6개월)</t>
  </si>
  <si>
    <t>※ 건축·기계·전기는 구조물공 완료 직후 착수(횡산소규모) 또는 구조물공 완료 45일 전 투입(신서 증설), 조경은 건축공사 완료 2개월 전 착수. 시운전은 횡산 4개월(기계·전기 완료 후), 신서 6개월(건축·기계·전기 완료 후)이며 동절기에도 중단 없이 진행합니다.</t>
  </si>
  <si>
    <t>CP 예정공정표 — 총 47개월(순공기 35 + 동절기 12) | ■(노랑)=진행 월, 회색=동절기(12~2월) 중지 | 토공·가시설공은 구조물·관로·펌프장 완료까지 유지 | 시운전은 동절기에도 진행(BE열 플래그 Y)</t>
  </si>
  <si>
    <t>[ 횡산소규모 시운전 착수조건 ]  통수 가능 시점</t>
  </si>
  <si>
    <t>① 처리시설 토목 완료 (순번 7, 부대공)</t>
  </si>
  <si>
    <t>② 오수관로 완료 (순번 13, 부대공)</t>
  </si>
  <si>
    <t>③ 배수설비 진행률 도달 (순번 17~22)</t>
  </si>
  <si>
    <t xml:space="preserve">  └ 배수설비 기준 진행률</t>
  </si>
  <si>
    <t>④ 기계·전기공사 완료 (순번 24·25)</t>
  </si>
  <si>
    <t>→ 시운전 착수 일차 = MAX(①~④)</t>
  </si>
  <si>
    <t>※ 통수(처리시설 토목·오수관로 완료 + 배수설비 50% 이상)가 이루어져야 시운전이 가능하므로 설비 완료 시점과 함께 최댓값을 적용합니다.</t>
  </si>
  <si>
    <t>통수조건</t>
  </si>
  <si>
    <t>처리시설 착수 Lag (오수관로 관 부설 기준 진행률)</t>
  </si>
  <si>
    <t>※ 횡산소규모는 관로공사를 선행 착수하고, 처리시설은 오수관로 관 부설이 위 비율만큼 진행된 후 착수합니다(처리장 완료 시점과 통수·시운전 시점의 공백 제거).</t>
  </si>
  <si>
    <t>연결관로·배수설비 착수 Lag (관로공 맨홀공 기준 진행률)</t>
  </si>
  <si>
    <t>※ 노동리·우정리의 연결관로와 배수설비는 가구당 동시 시공 구간이므로 같은 시점에 착수하여 병행하고, 관로공 본공사(맨홀공)가 위 비율만큼 진행된 후 투입합니다.</t>
  </si>
  <si>
    <t>순차공정 중첩률 배수 (신서 증설 전용)</t>
  </si>
  <si>
    <t>순차공정 중첩률 배수 (노동리·우정리 전용)</t>
  </si>
  <si>
    <r>
      <t xml:space="preserve">  └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적용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병행</t>
    </r>
    <r>
      <rPr>
        <i/>
        <sz val="8"/>
        <color theme="1"/>
        <rFont val="Calibri"/>
        <family val="2"/>
      </rPr>
      <t>(</t>
    </r>
    <r>
      <rPr>
        <i/>
        <sz val="8"/>
        <color theme="1"/>
        <rFont val="Calibri"/>
        <family val="2"/>
        <charset val="1"/>
      </rPr>
      <t>밀접</t>
    </r>
    <r>
      <rPr>
        <i/>
        <sz val="8"/>
        <color theme="1"/>
        <rFont val="Calibri"/>
        <family val="2"/>
      </rPr>
      <t>)</t>
    </r>
  </si>
  <si>
    <r>
      <t>※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노동리</t>
    </r>
    <r>
      <rPr>
        <i/>
        <sz val="8"/>
        <color theme="1"/>
        <rFont val="Calibri"/>
        <family val="2"/>
      </rPr>
      <t>·</t>
    </r>
    <r>
      <rPr>
        <i/>
        <sz val="8"/>
        <color theme="1"/>
        <rFont val="Calibri"/>
        <family val="2"/>
        <charset val="1"/>
      </rPr>
      <t>우정리의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배수설비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포장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복구</t>
    </r>
    <r>
      <rPr>
        <i/>
        <sz val="8"/>
        <color theme="1"/>
        <rFont val="Calibri"/>
        <family val="2"/>
      </rPr>
      <t>·</t>
    </r>
    <r>
      <rPr>
        <i/>
        <sz val="8"/>
        <color theme="1"/>
        <rFont val="Calibri"/>
        <family val="2"/>
        <charset val="1"/>
      </rPr>
      <t>부대공은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연결관로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동일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공정과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완료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시점을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일치시켜</t>
    </r>
    <r>
      <rPr>
        <i/>
        <sz val="8"/>
        <color theme="1"/>
        <rFont val="Calibri"/>
        <family val="2"/>
      </rPr>
      <t xml:space="preserve">(FF) </t>
    </r>
    <r>
      <rPr>
        <i/>
        <sz val="8"/>
        <color theme="1"/>
        <rFont val="Calibri"/>
        <family val="2"/>
        <charset val="1"/>
      </rPr>
      <t>가구당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동시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마감되도록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계획합니다</t>
    </r>
    <r>
      <rPr>
        <i/>
        <sz val="8"/>
        <color theme="1"/>
        <rFont val="Calibri"/>
        <family val="2"/>
      </rPr>
      <t xml:space="preserve">. </t>
    </r>
    <r>
      <rPr>
        <i/>
        <sz val="8"/>
        <color theme="1"/>
        <rFont val="Calibri"/>
        <family val="2"/>
        <charset val="1"/>
      </rPr>
      <t>신서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증설과는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연계되지</t>
    </r>
    <r>
      <rPr>
        <i/>
        <sz val="8"/>
        <color theme="1"/>
        <rFont val="Calibri"/>
        <family val="2"/>
      </rPr>
      <t xml:space="preserve"> </t>
    </r>
    <r>
      <rPr>
        <i/>
        <sz val="8"/>
        <color theme="1"/>
        <rFont val="Calibri"/>
        <family val="2"/>
        <charset val="1"/>
      </rPr>
      <t>않습니다</t>
    </r>
    <r>
      <rPr>
        <i/>
        <sz val="8"/>
        <color theme="1"/>
        <rFont val="Calibri"/>
        <family val="2"/>
      </rPr>
      <t>.</t>
    </r>
  </si>
  <si>
    <t>[ 산정 결과 요약 ]  ※ 동절기 미반영 기준</t>
  </si>
  <si>
    <t>≒ 35개월</t>
  </si>
  <si>
    <t>※ 사업별 착공 시차(동절기 미반영 기준) : ① 기준(2026.12.01.), ② +92일(2027.03.03.), ③ +184일(2027.06.03.)</t>
  </si>
  <si>
    <t>착공일</t>
  </si>
  <si>
    <t>준공일</t>
  </si>
  <si>
    <t>[ 추가검토용(참고) — 동절기 공사중지 반영 시 순연 결과 — ⑤CP구성·⑤-1 순연축 기준 ]</t>
  </si>
  <si>
    <t>※ 부록5 산정값(Y)은 동절기 작업유예(12~2월 중지)를 반영하지 않은 공기이므로, 비교대상 A도 동절기 공사중지를 반영하지 않은 공기를 적용하여 산정기준을 일치시킨다. A = CP 순작업일수 + 동절기 외 비작업일수 + 준비 60일 + 정리 30일 (각 사업 독립 발주 기준).</t>
  </si>
  <si>
    <t>※ 동절기 공사중지를 반영한 경우의 공사일정(통합 1,425.2일 ≒ 47개월, 준공 2030.10.25.)은 「추가검토(동절기 반영)」 시트에 별도 제시하였으며, 적정성 판정용 A값과는 산정목적이 다르다.</t>
  </si>
  <si>
    <t>※ 검토의견 : 3개 사업 모두 부록5 산정공식에 의한 기준 공사기간(B) 대비 편차율이 ±20% 이내(① −15.4%, ② +11.0%, ③ −5.6%)로 산정 공사기간은 적정한 것으로 검토되었다.</t>
  </si>
  <si>
    <t>※ 본 시트의 산정결과는 동절기(12월~익년 2월) 공사중지를 반영하지 않은 공사기간이다. 실제 공사 시에는 동절기 공사중지를 반영하여야 하며, 그 결과는 「추가검토(동절기 반영)」 시트에 별도 제시하였다.</t>
  </si>
  <si>
    <t>※ 본 표는 동절기(12~익년 2월) 공사중지를 반영한 달력 순연 결과로, 금회 심의·제출 기준(동절기 미반영)이 아니라 「추가검토(동절기 반영)」 시트의 산정근거이다.</t>
  </si>
  <si>
    <t>추가검토 — 동절기(12월~익년 2월) 공사중지 반영 시 공사일정</t>
  </si>
  <si>
    <t>※ 금회 산정(①~⑦ 시트)은 동절기 공사중지를 반영하지 않은 공사기간이며, 본 시트는 실제 공사 시 반영하여야 하는 동절기 공사중지에 따른 추가 소요일정을 별도 검토한 것이다. (보고서 9. 종합)</t>
  </si>
  <si>
    <t>1. 동절기 공사중지 필요성</t>
  </si>
  <si>
    <t>2. 동절기 반영 공사일정 (달력 순연 기준)</t>
  </si>
  <si>
    <t>구 분</t>
  </si>
  <si>
    <t>동절기 미반영
공사기간(일)</t>
  </si>
  <si>
    <t>중지 회차
(3개월/회)</t>
  </si>
  <si>
    <t>추가 소요
일수(일)</t>
  </si>
  <si>
    <t>동절기 반영
공사기간(일)</t>
  </si>
  <si>
    <t>① 횡산소규모</t>
  </si>
  <si>
    <t>② 신서 증설</t>
  </si>
  <si>
    <t>③ 노동리·우정리</t>
  </si>
  <si>
    <t>【 3개 사업 통합 】</t>
  </si>
  <si>
    <t>※ 추가 소요일수(E열) = 동절기 중지 달력일수이며, 동절기 반영 공사기간(F열) = 동절기 미반영 공사기간(C열) + 추가 소요일수(E열) 이다.</t>
  </si>
  <si>
    <t>※ 본 표의 산정근거는 「⑤-1 동절기순연축」(달력 가동일 통합 축) 및 「⑤CP구성」의 순연 시작·종료일(S·V열)이며, 「⑥공사기간종합」 R~V열에 집약되어 있다.</t>
  </si>
  <si>
    <t>3. 검토의견 · 조치사항</t>
  </si>
  <si>
    <t>● 금회 산정(심의·제출) 기준은 동절기 공사중지를 반영하지 않은 통합 공사기간 1,064일(≒ 35개월, 2026.12.01.~2029.10.30.)이다. 이는 가이드라인 부록 5 산정공식(실적공기)과 산정기준을 일치시키기 위한 것이다.</t>
  </si>
  <si>
    <t>추가검토(동절기 반영)</t>
  </si>
  <si>
    <t>동절기(12~익년 2월) 공사중지를 반영한 경우의 추가 소요일정·순연 착공일·최종 준공일 및 발주청 조치사항. 금회 심의·제출 기준(①~⑦)은 동절기 미반영 기준임</t>
  </si>
  <si>
    <t>공공 건설공사의 공사기간 산정기준(국토교통부 고시 제2024-1021호) 및 2026 가이드라인 적용  ▶ 금회 산정기준 : 동절기(12~익년 2월) 공사중지 미반영 — 동절기 반영은 「추가검토(동절기 반영)」 시트 참조</t>
  </si>
  <si>
    <t>● 사업대상지(연천군)는 접경·한랭지로서 동절기 일최고기온 0℃ 이하일수가 1월 9.9일, 2월 4.4일에 달하여, 관로 굴착·되메우기·콘크리트 타설 및 양생 등 주공정 공종의 품질확보가 곤란하다.</t>
  </si>
  <si>
    <t>● 따라서 실제 공사는 12월~익년 2월을 공사중지기간으로 하여 진행하여야 하며, 발주청은 시공조건 명시사항에 동절기 공사중지기간을 명확히 기재하고 계약공기 산정 시 이를 반영하여야 한다.</t>
  </si>
  <si>
    <t>● 동절기 중지기간은 달력일수 전체를 계상하여, ②비작업일수 시트의 월별 비작업일수 산정값을 대체한다(중복계상 배제).</t>
  </si>
  <si>
    <t>● 다만 실제 공사 시에는 동절기 공사중지를 반영하여야 하므로, 발주청은 ① 시공조건 명시사항에 동절기 공사중지기간(12월~익년 2월)을 명확히 기재하고, ② 계약공기 산정 시 상기 추가 소요일정을 반영하여야 한다.</t>
  </si>
  <si>
    <t>● 착공시기를 동절기 이후(3월)로 조정할 경우 초년도 동절기 중지 1회(90일)의 단축이 가능하므로, 발주시기 결정 시 이를 함께 검토할 필요가 있다.</t>
  </si>
  <si>
    <t>● 동절기 중지기간은 달력일수 전체를 계상하며, 해당 기간은 ②비작업일수의 월별 비작업일수를 대체하여 중복계상을 배제한다.</t>
  </si>
  <si>
    <t>※ 동절기 중지를 적용하면 후속 사업의 착공도 순연되어 ②는 2027.06.01., ③은 2027.09.01.에 착공하게 되며, 통합 공사기간은 1,425일(≒ 47개월), 최종 준공예정일은 2030.10.25.이 된다.</t>
  </si>
  <si>
    <t>※ 통합 공사기간은 3개 사업 병행 시공(착공 시차 ② +92일, ③ +184일)을 반영한 최초 착공~최종 준공 구간이며, ②·③란의 사업별 산정값 합계와는 일치하지 않는다.</t>
  </si>
  <si>
    <t>[ 사업별 공사기간 산정결과 ]  ※ 동절기 공사중지 미반영 기준 (심의·제출용)</t>
  </si>
  <si>
    <r>
      <t>구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Calibri"/>
        <family val="2"/>
        <charset val="1"/>
      </rPr>
      <t>분</t>
    </r>
  </si>
  <si>
    <t>② 비작업
일수</t>
  </si>
  <si>
    <t>③ 작업
일수</t>
  </si>
  <si>
    <t>④ 정리
기간</t>
  </si>
  <si>
    <t>공사기간
(일)</t>
  </si>
  <si>
    <t>① 준비
기간</t>
  </si>
  <si>
    <t>※ 공사기간 = ① 준비기간 + ② 비작업일수 + ③ 작업일수 + ④ 정리기간 (동절기 12~익년 2월 공사중지 미반영 기준)</t>
  </si>
  <si>
    <t>※ 준비기간(60일)은 최초 착공사업인 ①에, 정리기간(30일)은 최종 준공사업인 ③에 각 1회 계상하였다.</t>
  </si>
  <si>
    <t>※ 통합 공사기간은 3개 사업 병행 시공(착공 시차 ② +92일, ③ +184일)을 반영한 최초 착공~최종 준공 구간이며, 사업별 산정값의 단순 합계가 아니다.</t>
  </si>
  <si>
    <t>※ 동절기 공사중지를 반영한 공사일정(통합 1,425.2일 ≒ 47개월, 준공 2030.10.25.)은 「추가검토(동절기 반영)」 시트 참조.</t>
  </si>
  <si>
    <t>공사기간 = 준비기간 + CP 작업일수(중첩 제외 순공정) + 비작업일수(동절기 외) + 정리기간.  ▶ 금회 반영(심의·제출) 기준 출력표는 W3:AE13이며, B~P열(엔진)과 R~V열(동절기 순연)은 산정근거·참고용이다.</t>
  </si>
  <si>
    <t>■ 출력(인쇄) 안내 — 보고서 목차 대응</t>
  </si>
  <si>
    <t>보고서 항목</t>
  </si>
  <si>
    <t>출력 시트</t>
  </si>
  <si>
    <t>용지 / 배율</t>
  </si>
  <si>
    <t>1. 공사 개요</t>
  </si>
  <si>
    <t>A4 세로 / 1페이지</t>
  </si>
  <si>
    <t>4.3 기후여건에 따른 작업불가일수</t>
  </si>
  <si>
    <t>4.4 월별 비작업일수 산정</t>
  </si>
  <si>
    <t>A4 가로 / 1페이지</t>
  </si>
  <si>
    <t>5. 작업일수 (5.1~5.4)</t>
  </si>
  <si>
    <t>7. 주공정(CP) 구성 및 요약공정</t>
  </si>
  <si>
    <t>2. 공사기간 산정 / 9. 종합</t>
  </si>
  <si>
    <t>⑥공사기간종합 (인쇄영역 W3:AE13)</t>
  </si>
  <si>
    <t>8. 공사기간 적정성 검토</t>
  </si>
  <si>
    <t>9. 종합 [동절기 공사중지 고려사항]</t>
  </si>
  <si>
    <t>※ 참고용(출력 제외) — 회색 탭</t>
  </si>
  <si>
    <t>사용안내, ③1일작업량DB, ⑤-1 동절기순연축, 부록참고, 부록3DB</t>
  </si>
  <si>
    <t>※ 인쇄 시 위 출력 시트만 선택(Ctrl+클릭) 후 [선택 영역 인쇄]하십시오. 각 시트에는 인쇄영역·머리글·바닥글(시트명·페이지번호)이 지정되어 있습니다.</t>
  </si>
  <si>
    <r>
      <t>※ 준비기간 예시</t>
    </r>
    <r>
      <rPr>
        <i/>
        <sz val="9"/>
        <color rgb="FF595959"/>
        <rFont val="맑은 고딕"/>
        <family val="3"/>
        <charset val="129"/>
      </rPr>
      <t xml:space="preserve">: </t>
    </r>
    <r>
      <rPr>
        <i/>
        <sz val="9"/>
        <color rgb="FF595959"/>
        <rFont val="Noto Sans CJK SC"/>
        <family val="2"/>
      </rPr>
      <t>상수도</t>
    </r>
    <r>
      <rPr>
        <i/>
        <sz val="9"/>
        <color rgb="FF595959"/>
        <rFont val="맑은 고딕"/>
        <family val="3"/>
        <charset val="129"/>
      </rPr>
      <t>60·</t>
    </r>
    <r>
      <rPr>
        <i/>
        <sz val="9"/>
        <color rgb="FF595959"/>
        <rFont val="Noto Sans CJK SC"/>
        <family val="2"/>
      </rPr>
      <t xml:space="preserve">하수처리시설은 시설특성 고려 </t>
    </r>
    <r>
      <rPr>
        <i/>
        <sz val="9"/>
        <color rgb="FF595959"/>
        <rFont val="맑은 고딕"/>
        <family val="3"/>
        <charset val="129"/>
      </rPr>
      <t xml:space="preserve">/ </t>
    </r>
    <r>
      <rPr>
        <i/>
        <sz val="9"/>
        <color rgb="FF595959"/>
        <rFont val="Noto Sans CJK SC"/>
        <family val="2"/>
      </rPr>
      <t xml:space="preserve">정리기간 준공전 </t>
    </r>
    <r>
      <rPr>
        <i/>
        <sz val="9"/>
        <color rgb="FF595959"/>
        <rFont val="맑은 고딕"/>
        <family val="3"/>
        <charset val="129"/>
      </rPr>
      <t>1</t>
    </r>
    <r>
      <rPr>
        <i/>
        <sz val="9"/>
        <color rgb="FF595959"/>
        <rFont val="Noto Sans CJK SC"/>
        <family val="2"/>
      </rPr>
      <t>개월 범위</t>
    </r>
  </si>
  <si>
    <r>
      <t>※ 시설유형이 부록</t>
    </r>
    <r>
      <rPr>
        <i/>
        <sz val="9"/>
        <color rgb="FF595959"/>
        <rFont val="맑은 고딕"/>
        <family val="3"/>
        <charset val="129"/>
      </rPr>
      <t xml:space="preserve">5 </t>
    </r>
    <r>
      <rPr>
        <i/>
        <sz val="9"/>
        <color rgb="FF595959"/>
        <rFont val="Noto Sans CJK SC"/>
        <family val="2"/>
      </rPr>
      <t>공식과 다르거나 처리시설 등 연장기반이 아닌 경우 실적평균을 활용 권장</t>
    </r>
  </si>
  <si>
    <t>동절기 미반영 기준</t>
  </si>
  <si>
    <t>※ 본 표는 동절기(12월~익년 2월) 공사중지를 반영하지 않은 월별 비작업일수(보고서 4.4)이다. 동절기 중지를 반영할 경우 12~2월은 달력일수 전체를 계상하며, 그 결과는 「추가검토(동절기 반영)」 시트 참조.</t>
  </si>
  <si>
    <t>②비작업일수 (A1:L56)</t>
  </si>
  <si>
    <t>※ ⑥공사기간종합은 B~P열(산정엔진)과 R~V열(동절기 순연 참고)이 인쇄영역에서 제외되어 있으며, 보고서 2. 표와 동일한 W3:AE13만 출력됩니다. ⑤CP구성·⑦적정성검토도 참고열(달력일자·가동율 등)을 제외하였습니다.</t>
  </si>
  <si>
    <t>①공사개요 (A1:H26)</t>
  </si>
  <si>
    <t>②-1 기후비작업근거 (A1:W74), ②-2 기후비작업근거 (A1:T77)</t>
  </si>
  <si>
    <t>④작업일수산정 (A1:R100), ④-1 (A1:R120), ④-2 (A1:R260), ④-3 (A1:S172)</t>
  </si>
  <si>
    <t>⑤CP구성 (A1:M80), CP공정표 (A1:BE74) — 일차·순연축 기준 산정근거</t>
  </si>
  <si>
    <t>⑦적정성검토 (A1:I22)</t>
  </si>
  <si>
    <t>추가검토(동절기 반영) (A1:J24)</t>
  </si>
  <si>
    <t>A4 가로 / 폭 1p × 2p</t>
  </si>
  <si>
    <t>A4 가로 / 폭 1p × 2~5p</t>
  </si>
  <si>
    <t>A4 가로 / ⑤ 1p×2p, CP 2p×2p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</si>
</sst>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176" formatCode="#,##0.0"/>
    <numFmt numFmtId="177" formatCode="0.0%"/>
    <numFmt numFmtId="178" formatCode="0.0"/>
    <numFmt numFmtId="179" formatCode="#,##0.###"/>
    <numFmt numFmtId="180" formatCode="#,##0.##"/>
    <numFmt numFmtId="181" formatCode="#,##0.#"/>
    <numFmt numFmtId="182" formatCode="yyyy\-mm\-dd"/>
    <numFmt numFmtId="183" formatCode="yyyy/mm"/>
    <numFmt numFmtId="184" formatCode="\+#,##0.0;\-#,##0.0;\-"/>
    <numFmt numFmtId="185" formatCode="0.000"/>
    <numFmt numFmtId="186" formatCode="0.0_);[Red]\(0.0\)"/>
    <numFmt numFmtId="187" formatCode="0.0&quot;회&quot;"/>
    <numFmt numFmtId="188" formatCode="#,##0.0;;&quot;–&quot;"/>
  </numFmts>
  <fonts count="154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5"/>
      <color rgb="FFFFFFFF"/>
      <name val="Noto Sans CJK SC"/>
      <family val="2"/>
    </font>
    <font>
      <b/>
      <sz val="15"/>
      <color rgb="FFFFFFFF"/>
      <name val="맑은 고딕"/>
      <family val="3"/>
      <charset val="129"/>
    </font>
    <font>
      <i/>
      <sz val="9"/>
      <color rgb="FF595959"/>
      <name val="Noto Sans CJK SC"/>
      <family val="2"/>
    </font>
    <font>
      <i/>
      <sz val="9"/>
      <color rgb="FF595959"/>
      <name val="맑은 고딕"/>
      <family val="3"/>
      <charset val="129"/>
    </font>
    <font>
      <b/>
      <sz val="11"/>
      <color rgb="FF1F3864"/>
      <name val="Noto Sans CJK SC"/>
      <family val="2"/>
    </font>
    <font>
      <b/>
      <sz val="10"/>
      <color rgb="FF2E5496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맑은 고딕"/>
      <family val="3"/>
      <charset val="129"/>
    </font>
    <font>
      <b/>
      <sz val="10"/>
      <color rgb="FF000000"/>
      <name val="Noto Sans CJK SC"/>
      <family val="2"/>
    </font>
    <font>
      <sz val="9.5"/>
      <color rgb="FF000000"/>
      <name val="Noto Sans CJK SC"/>
      <family val="2"/>
    </font>
    <font>
      <sz val="9.5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0000FF"/>
      <name val="Noto Sans CJK SC"/>
      <family val="2"/>
    </font>
    <font>
      <sz val="9"/>
      <color rgb="FF000000"/>
      <name val="Noto Sans CJK SC"/>
      <family val="2"/>
    </font>
    <font>
      <i/>
      <sz val="9"/>
      <color rgb="FFC00000"/>
      <name val="Noto Sans CJK SC"/>
      <family val="2"/>
    </font>
    <font>
      <i/>
      <sz val="9"/>
      <color rgb="FFC00000"/>
      <name val="맑은 고딕"/>
      <family val="3"/>
      <charset val="129"/>
    </font>
    <font>
      <b/>
      <sz val="14"/>
      <color rgb="FFFFFFFF"/>
      <name val="Noto Sans CJK SC"/>
      <family val="2"/>
    </font>
    <font>
      <b/>
      <sz val="11"/>
      <color rgb="FF2E5496"/>
      <name val="맑은 고딕"/>
      <family val="3"/>
      <charset val="129"/>
    </font>
    <font>
      <b/>
      <sz val="11"/>
      <color rgb="FF2E5496"/>
      <name val="Noto Sans CJK SC"/>
      <family val="2"/>
    </font>
    <font>
      <b/>
      <sz val="11"/>
      <color rgb="FFC00000"/>
      <name val="맑은 고딕"/>
      <family val="3"/>
      <charset val="129"/>
    </font>
    <font>
      <b/>
      <sz val="11"/>
      <color rgb="FFC00000"/>
      <name val="Noto Sans CJK SC"/>
      <family val="2"/>
    </font>
    <font>
      <sz val="10"/>
      <color rgb="FF0000FF"/>
      <name val="맑은 고딕"/>
      <family val="3"/>
      <charset val="129"/>
    </font>
    <font>
      <sz val="10"/>
      <color rgb="FF0000FF"/>
      <name val="Noto Sans CJK SC"/>
      <family val="2"/>
    </font>
    <font>
      <b/>
      <sz val="10"/>
      <color rgb="FF006100"/>
      <name val="맑은 고딕"/>
      <family val="3"/>
      <charset val="129"/>
    </font>
    <font>
      <sz val="9"/>
      <color rgb="FF595959"/>
      <name val="Noto Sans CJK SC"/>
      <family val="2"/>
    </font>
    <font>
      <b/>
      <sz val="12"/>
      <color rgb="FF006100"/>
      <name val="맑은 고딕"/>
      <family val="3"/>
      <charset val="129"/>
    </font>
    <font>
      <b/>
      <sz val="12"/>
      <color rgb="FF006100"/>
      <name val="Noto Sans CJK SC"/>
      <family val="2"/>
    </font>
    <font>
      <i/>
      <sz val="8"/>
      <color rgb="FF595959"/>
      <name val="Noto Sans CJK SC"/>
      <family val="2"/>
    </font>
    <font>
      <i/>
      <sz val="8"/>
      <color rgb="FF595959"/>
      <name val="맑은 고딕"/>
      <family val="3"/>
      <charset val="129"/>
    </font>
    <font>
      <sz val="9"/>
      <color rgb="FF595959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i/>
      <sz val="8.5"/>
      <color rgb="FFC00000"/>
      <name val="Noto Sans CJK SC"/>
      <family val="2"/>
    </font>
    <font>
      <i/>
      <sz val="8.5"/>
      <color rgb="FFC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Noto Sans CJK SC"/>
      <family val="2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color rgb="FF808080"/>
      <name val="맑은 고딕"/>
      <family val="3"/>
      <charset val="129"/>
    </font>
    <font>
      <b/>
      <sz val="9"/>
      <color rgb="FF006100"/>
      <name val="맑은 고딕"/>
      <family val="3"/>
      <charset val="129"/>
    </font>
    <font>
      <sz val="8"/>
      <color rgb="FF595959"/>
      <name val="Noto Sans CJK SC"/>
      <family val="2"/>
    </font>
    <font>
      <sz val="8"/>
      <color rgb="FF595959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b/>
      <sz val="13"/>
      <color rgb="FFFFFFFF"/>
      <name val="Noto Sans CJK SC"/>
      <family val="2"/>
    </font>
    <font>
      <b/>
      <sz val="10.5"/>
      <color rgb="FF1F3864"/>
      <name val="Noto Sans CJK SC"/>
      <family val="2"/>
    </font>
    <font>
      <b/>
      <sz val="11"/>
      <color rgb="FF0000FF"/>
      <name val="Noto Sans CJK SC"/>
      <family val="2"/>
    </font>
    <font>
      <i/>
      <sz val="8"/>
      <color rgb="FFC00000"/>
      <name val="맑은 고딕"/>
      <family val="3"/>
      <charset val="129"/>
    </font>
    <font>
      <i/>
      <sz val="8"/>
      <color rgb="FFC00000"/>
      <name val="Noto Sans CJK SC"/>
      <family val="2"/>
    </font>
    <font>
      <b/>
      <sz val="10.5"/>
      <color rgb="FF1F3864"/>
      <name val="맑은 고딕"/>
      <family val="3"/>
      <charset val="129"/>
    </font>
    <font>
      <b/>
      <sz val="9"/>
      <color rgb="FFFFFFFF"/>
      <name val="Noto Sans CJK SC"/>
      <family val="2"/>
    </font>
    <font>
      <b/>
      <sz val="9"/>
      <color rgb="FFFFFFFF"/>
      <name val="맑은 고딕"/>
      <family val="3"/>
      <charset val="129"/>
    </font>
    <font>
      <b/>
      <sz val="8.5"/>
      <color rgb="FF000000"/>
      <name val="Noto Sans CJK SC"/>
      <family val="2"/>
    </font>
    <font>
      <sz val="8.5"/>
      <color rgb="FF000000"/>
      <name val="Noto Sans CJK SC"/>
      <family val="2"/>
    </font>
    <font>
      <sz val="8.5"/>
      <color rgb="FF000000"/>
      <name val="맑은 고딕"/>
      <family val="3"/>
      <charset val="129"/>
    </font>
    <font>
      <b/>
      <sz val="8.5"/>
      <color rgb="FF000000"/>
      <name val="맑은 고딕"/>
      <family val="3"/>
      <charset val="129"/>
    </font>
    <font>
      <b/>
      <sz val="8.5"/>
      <color rgb="FFFFFFFF"/>
      <name val="Noto Sans CJK SC"/>
      <family val="2"/>
    </font>
    <font>
      <b/>
      <sz val="8.5"/>
      <color rgb="FFFFFFFF"/>
      <name val="맑은 고딕"/>
      <family val="3"/>
      <charset val="129"/>
    </font>
    <font>
      <b/>
      <sz val="6.5"/>
      <color rgb="FFFFFFFF"/>
      <name val="Noto Sans CJK SC"/>
      <family val="2"/>
    </font>
    <font>
      <b/>
      <sz val="6.5"/>
      <color rgb="FFFFFFFF"/>
      <name val="맑은 고딕"/>
      <family val="3"/>
      <charset val="129"/>
    </font>
    <font>
      <b/>
      <sz val="8.5"/>
      <color rgb="FF0000FF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808080"/>
      <name val="맑은 고딕"/>
      <family val="3"/>
      <charset val="129"/>
    </font>
    <font>
      <sz val="8"/>
      <color rgb="FFC00000"/>
      <name val="Noto Sans CJK SC"/>
      <family val="2"/>
    </font>
    <font>
      <sz val="8.5"/>
      <color rgb="FF0000FF"/>
      <name val="맑은 고딕"/>
      <family val="3"/>
      <charset val="129"/>
    </font>
    <font>
      <b/>
      <sz val="8.5"/>
      <color rgb="FF006100"/>
      <name val="맑은 고딕"/>
      <family val="3"/>
      <charset val="129"/>
    </font>
    <font>
      <sz val="8"/>
      <color rgb="FF808080"/>
      <name val="Noto Sans CJK SC"/>
      <family val="2"/>
    </font>
    <font>
      <sz val="9"/>
      <color rgb="FF0000FF"/>
      <name val="맑은 고딕"/>
      <family val="3"/>
      <charset val="129"/>
    </font>
    <font>
      <sz val="10"/>
      <name val="Noto Sans CJK SC"/>
      <family val="2"/>
    </font>
    <font>
      <b/>
      <sz val="9.5"/>
      <color rgb="FF1F3864"/>
      <name val="Noto Sans CJK SC"/>
      <family val="2"/>
    </font>
    <font>
      <b/>
      <sz val="9.5"/>
      <color rgb="FF1F3864"/>
      <name val="맑은 고딕"/>
      <family val="3"/>
      <charset val="129"/>
    </font>
    <font>
      <b/>
      <sz val="9"/>
      <color rgb="FF000000"/>
      <name val="Noto Sans CJK SC"/>
      <family val="2"/>
    </font>
    <font>
      <sz val="8.5"/>
      <color rgb="FF595959"/>
      <name val="Noto Sans CJK SC"/>
      <family val="2"/>
    </font>
    <font>
      <sz val="8.5"/>
      <color rgb="FF595959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9"/>
      <color rgb="FF2E5496"/>
      <name val="Noto Sans CJK SC"/>
      <family val="2"/>
    </font>
    <font>
      <b/>
      <sz val="10"/>
      <color rgb="FF2E5496"/>
      <name val="맑은 고딕"/>
      <family val="3"/>
      <charset val="129"/>
    </font>
    <font>
      <b/>
      <sz val="11"/>
      <color rgb="FF000000"/>
      <name val="Noto Sans CJK SC"/>
      <family val="2"/>
    </font>
    <font>
      <b/>
      <sz val="13"/>
      <color rgb="FF006100"/>
      <name val="Noto Sans CJK SC"/>
      <family val="2"/>
    </font>
    <font>
      <b/>
      <sz val="11"/>
      <color rgb="FF1F3864"/>
      <name val="맑은 고딕"/>
      <family val="3"/>
      <charset val="129"/>
    </font>
    <font>
      <i/>
      <sz val="8.5"/>
      <color rgb="FF595959"/>
      <name val="맑은 고딕"/>
      <family val="3"/>
      <charset val="129"/>
    </font>
    <font>
      <i/>
      <sz val="8.5"/>
      <color rgb="FF595959"/>
      <name val="Noto Sans CJK SC"/>
      <family val="2"/>
    </font>
    <font>
      <sz val="8"/>
      <color rgb="FF000000"/>
      <name val="Noto Sans CJK SC"/>
      <family val="2"/>
    </font>
    <font>
      <sz val="8"/>
      <name val="돋움"/>
      <family val="3"/>
      <charset val="129"/>
    </font>
    <font>
      <sz val="9"/>
      <color rgb="FF0000FF"/>
      <name val="Noto Sans CJK SC"/>
      <family val="3"/>
      <charset val="129"/>
    </font>
    <font>
      <sz val="9"/>
      <color rgb="FF0000FF"/>
      <name val="Noto Sans CJK SC"/>
      <family val="2"/>
      <charset val="1"/>
    </font>
    <font>
      <sz val="10"/>
      <color rgb="FF0000FF"/>
      <name val="Noto Sans CJK SC"/>
      <family val="2"/>
      <charset val="1"/>
    </font>
    <font>
      <b/>
      <sz val="8.5"/>
      <color rgb="FFFF0000"/>
      <name val="맑은 고딕"/>
      <family val="3"/>
      <charset val="129"/>
    </font>
    <font>
      <sz val="11"/>
      <color theme="1"/>
      <name val="Arial Unicode MS"/>
      <family val="2"/>
      <charset val="129"/>
    </font>
    <font>
      <sz val="10"/>
      <color rgb="FFFF000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11"/>
      <color theme="1"/>
      <name val="Calibri"/>
      <family val="2"/>
      <charset val="1"/>
    </font>
    <font>
      <b/>
      <sz val="13"/>
      <color rgb="FFFFFFFF"/>
      <name val="맑은 고딕"/>
      <family val="2"/>
      <charset val="129"/>
    </font>
    <font>
      <b/>
      <sz val="13"/>
      <color rgb="FFFFFFFF"/>
      <name val="Arial"/>
      <family val="2"/>
    </font>
    <font>
      <b/>
      <sz val="10.5"/>
      <color rgb="FF1F3864"/>
      <name val="Arial"/>
      <family val="2"/>
    </font>
    <font>
      <b/>
      <sz val="10.5"/>
      <color rgb="FF1F3864"/>
      <name val="Segoe UI Symbol"/>
      <family val="2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name val="맑은 고딕"/>
      <family val="3"/>
      <charset val="129"/>
    </font>
    <font>
      <sz val="11"/>
      <color theme="1"/>
      <name val="Calibri"/>
      <family val="3"/>
      <charset val="129"/>
    </font>
    <font>
      <sz val="18"/>
      <color theme="1"/>
      <name val="HY헤드라인M"/>
      <family val="1"/>
      <charset val="129"/>
    </font>
    <font>
      <sz val="9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Calibri"/>
      <family val="2"/>
      <charset val="1"/>
    </font>
    <font>
      <b/>
      <sz val="12"/>
      <color theme="1"/>
      <name val="맑은 고딕"/>
      <family val="2"/>
      <charset val="129"/>
    </font>
    <font>
      <b/>
      <sz val="12"/>
      <color theme="1"/>
      <name val="Calibri"/>
      <family val="2"/>
      <charset val="1"/>
    </font>
    <font>
      <i/>
      <sz val="8.5"/>
      <color rgb="FFC00000"/>
      <name val="Noto Sans CJK SC"/>
      <family val="3"/>
      <charset val="129"/>
    </font>
    <font>
      <sz val="8.5"/>
      <color rgb="FF000000"/>
      <name val="맑은 고딕"/>
      <family val="2"/>
      <charset val="129"/>
    </font>
    <font>
      <sz val="8.5"/>
      <color rgb="FF000000"/>
      <name val="Arial"/>
      <family val="2"/>
    </font>
    <font>
      <sz val="8.5"/>
      <color rgb="FF000000"/>
      <name val="Segoe UI Symbol"/>
      <family val="2"/>
    </font>
    <font>
      <sz val="8.5"/>
      <color rgb="FF000000"/>
      <name val="Noto Sans CJK SC"/>
      <family val="3"/>
      <charset val="129"/>
    </font>
    <font>
      <sz val="9"/>
      <color rgb="FF0000FF"/>
      <name val="Arial"/>
      <family val="2"/>
    </font>
    <font>
      <sz val="9"/>
      <color rgb="FF0000FF"/>
      <name val="Noto Sans CJK SC"/>
      <family val="2"/>
      <charset val="129"/>
    </font>
    <font>
      <b/>
      <sz val="10"/>
      <name val="맑은 고딕"/>
      <family val="3"/>
      <charset val="129"/>
    </font>
    <font>
      <sz val="11"/>
      <color theme="1"/>
      <name val="돋움"/>
      <family val="2"/>
      <charset val="129"/>
    </font>
    <font>
      <sz val="9"/>
      <color theme="1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9"/>
      <color rgb="FF0000FF"/>
      <name val="Noto Sans CJK SC"/>
      <family val="3"/>
      <charset val="129"/>
    </font>
    <font>
      <b/>
      <sz val="9"/>
      <color rgb="FF0000FF"/>
      <name val="Noto Sans CJK SC"/>
      <family val="2"/>
    </font>
    <font>
      <b/>
      <sz val="9"/>
      <color rgb="FF595959"/>
      <name val="Noto Sans CJK SC"/>
      <family val="2"/>
    </font>
    <font>
      <b/>
      <sz val="8.5"/>
      <color rgb="FF595959"/>
      <name val="Noto Sans CJK SC"/>
      <family val="2"/>
    </font>
    <font>
      <b/>
      <sz val="13"/>
      <color theme="1"/>
      <name val="HY헤드라인M"/>
      <family val="1"/>
      <charset val="129"/>
    </font>
    <font>
      <b/>
      <sz val="10"/>
      <name val="맑은 고딕"/>
      <family val="3"/>
      <charset val="129"/>
      <scheme val="minor"/>
    </font>
    <font>
      <b/>
      <sz val="11"/>
      <name val="맑은 고딕"/>
      <family val="2"/>
      <charset val="129"/>
    </font>
    <font>
      <sz val="11"/>
      <name val="Calibri"/>
      <family val="2"/>
      <charset val="1"/>
    </font>
    <font>
      <b/>
      <sz val="11"/>
      <color theme="1"/>
      <name val="Calibri"/>
      <family val="2"/>
    </font>
    <font>
      <b/>
      <sz val="11"/>
      <name val="맑은 고딕"/>
      <family val="3"/>
      <charset val="129"/>
      <scheme val="minor"/>
    </font>
    <font>
      <i/>
      <sz val="9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9"/>
      <color theme="1"/>
      <name val="Calibri"/>
      <family val="2"/>
    </font>
    <font>
      <sz val="11"/>
      <color rgb="FF0000FF"/>
      <name val="Calibri"/>
      <family val="2"/>
      <charset val="1"/>
    </font>
    <font>
      <sz val="9"/>
      <color theme="1"/>
      <name val="Calibri"/>
      <family val="2"/>
    </font>
    <font>
      <i/>
      <sz val="8"/>
      <color theme="1"/>
      <name val="Calibri"/>
      <family val="2"/>
      <charset val="1"/>
    </font>
    <font>
      <i/>
      <sz val="8"/>
      <color theme="1"/>
      <name val="Calibri"/>
      <family val="2"/>
    </font>
    <font>
      <b/>
      <sz val="10"/>
      <color rgb="FF595959"/>
      <name val="Noto Sans CJK SC"/>
      <family val="2"/>
    </font>
    <font>
      <b/>
      <i/>
      <sz val="8"/>
      <color rgb="FF000000"/>
      <name val="Noto Sans CJK SC"/>
      <family val="2"/>
    </font>
    <font>
      <b/>
      <sz val="8"/>
      <color theme="1"/>
      <name val="Calibri"/>
      <family val="2"/>
      <charset val="1"/>
    </font>
    <font>
      <b/>
      <i/>
      <sz val="8"/>
      <color rgb="FFC00000"/>
      <name val="맑은 고딕"/>
      <family val="3"/>
      <charset val="129"/>
    </font>
    <font>
      <b/>
      <i/>
      <sz val="8"/>
      <color rgb="FF000000"/>
      <name val="Noto Sans CJK SC"/>
      <family val="3"/>
      <charset val="129"/>
    </font>
    <font>
      <sz val="8.5"/>
      <color rgb="FF808080"/>
      <name val="Noto Sans CJK SC"/>
      <family val="2"/>
    </font>
    <font>
      <sz val="11"/>
      <color rgb="FF808080"/>
      <name val="Calibri"/>
      <family val="2"/>
      <charset val="1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theme="1"/>
      <name val="Calibri"/>
      <family val="2"/>
    </font>
    <font>
      <b/>
      <sz val="14"/>
      <color rgb="FFFFFFFF"/>
      <name val="Calibri"/>
      <family val="2"/>
      <charset val="1"/>
    </font>
    <font>
      <sz val="9"/>
      <color rgb="FFC00000"/>
      <name val="Calibri"/>
      <family val="2"/>
      <charset val="1"/>
    </font>
    <font>
      <sz val="8"/>
      <color theme="1"/>
      <name val="Calibr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8EAADB"/>
        <bgColor rgb="FFBFBFBF"/>
      </patternFill>
    </fill>
    <fill>
      <patternFill patternType="solid">
        <fgColor rgb="FFD9E1F2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2F6FC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305496"/>
        <bgColor rgb="FF2E5496"/>
      </patternFill>
    </fill>
    <fill>
      <patternFill patternType="solid">
        <fgColor rgb="FFDDEBF7"/>
        <bgColor rgb="FFD9E1F2"/>
      </patternFill>
    </fill>
    <fill>
      <patternFill patternType="solid">
        <fgColor rgb="FFEDEDED"/>
        <bgColor rgb="FFE2EFDA"/>
      </patternFill>
    </fill>
    <fill>
      <patternFill patternType="solid">
        <fgColor rgb="FF2E5496"/>
        <bgColor rgb="FF305496"/>
      </patternFill>
    </fill>
    <fill>
      <patternFill patternType="solid">
        <fgColor rgb="FFF2F6FC"/>
        <bgColor rgb="FFEDEDED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CE4D6"/>
      </patternFill>
    </fill>
    <fill>
      <patternFill patternType="solid">
        <fgColor rgb="FFFFFF00"/>
        <bgColor rgb="FFF2F6FC"/>
      </patternFill>
    </fill>
    <fill>
      <patternFill patternType="solid">
        <fgColor rgb="FFFFFF00"/>
        <bgColor rgb="FFEDEDED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DEBF7"/>
      </patternFill>
    </fill>
    <fill>
      <patternFill patternType="solid">
        <fgColor theme="9" tint="0.79998168889431442"/>
        <bgColor rgb="FFF2F6F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DEBF7"/>
      </patternFill>
    </fill>
    <fill>
      <patternFill patternType="solid">
        <fgColor theme="8" tint="0.79998168889431442"/>
        <bgColor rgb="FFF2F6F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DEBF7"/>
      </patternFill>
    </fill>
    <fill>
      <patternFill patternType="solid">
        <fgColor theme="7" tint="0.79998168889431442"/>
        <bgColor rgb="FFF2F6FC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5597"/>
        <bgColor indexed="64"/>
      </patternFill>
    </fill>
  </fills>
  <borders count="3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hair">
        <color theme="0" tint="-0.24994659260841701"/>
      </right>
      <top style="thin">
        <color auto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thin">
        <color auto="1"/>
      </top>
      <bottom/>
      <diagonal/>
    </border>
    <border>
      <left style="hair">
        <color theme="0" tint="-0.2499465926084170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1" fillId="0" borderId="0" applyBorder="0" applyAlignment="0" applyProtection="0"/>
    <xf numFmtId="9" fontId="95" fillId="0" borderId="0" applyFont="0" applyFill="0" applyBorder="0" applyAlignment="0" applyProtection="0">
      <alignment vertical="center"/>
    </xf>
  </cellStyleXfs>
  <cellXfs count="555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0" borderId="0" xfId="0" applyFont="1"/>
    <xf numFmtId="0" fontId="19" fillId="0" borderId="0" xfId="0" applyFont="1"/>
    <xf numFmtId="0" fontId="21" fillId="0" borderId="0" xfId="0" applyFont="1"/>
    <xf numFmtId="0" fontId="10" fillId="4" borderId="1" xfId="0" applyFont="1" applyFill="1" applyBorder="1" applyAlignment="1">
      <alignment horizontal="left" vertical="center" wrapText="1"/>
    </xf>
    <xf numFmtId="3" fontId="25" fillId="7" borderId="1" xfId="0" applyNumberFormat="1" applyFont="1" applyFill="1" applyBorder="1" applyAlignment="1">
      <alignment horizontal="right" vertical="center"/>
    </xf>
    <xf numFmtId="0" fontId="26" fillId="0" borderId="0" xfId="0" applyFont="1"/>
    <xf numFmtId="3" fontId="23" fillId="5" borderId="1" xfId="0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176" fontId="25" fillId="7" borderId="1" xfId="0" applyNumberFormat="1" applyFont="1" applyFill="1" applyBorder="1" applyAlignment="1">
      <alignment horizontal="right" vertical="center"/>
    </xf>
    <xf numFmtId="0" fontId="28" fillId="7" borderId="1" xfId="0" applyFont="1" applyFill="1" applyBorder="1" applyAlignment="1">
      <alignment horizontal="center" vertical="center" wrapText="1"/>
    </xf>
    <xf numFmtId="0" fontId="29" fillId="0" borderId="0" xfId="0" applyFont="1"/>
    <xf numFmtId="0" fontId="33" fillId="0" borderId="0" xfId="0" applyFont="1"/>
    <xf numFmtId="1" fontId="9" fillId="6" borderId="1" xfId="0" applyNumberFormat="1" applyFont="1" applyFill="1" applyBorder="1" applyAlignment="1">
      <alignment horizontal="center" vertical="center" wrapText="1"/>
    </xf>
    <xf numFmtId="0" fontId="35" fillId="9" borderId="1" xfId="0" applyFont="1" applyFill="1" applyBorder="1" applyAlignment="1">
      <alignment horizontal="center" vertical="center" wrapText="1"/>
    </xf>
    <xf numFmtId="0" fontId="36" fillId="9" borderId="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1" fontId="37" fillId="0" borderId="1" xfId="0" applyNumberFormat="1" applyFont="1" applyBorder="1" applyAlignment="1">
      <alignment horizontal="center" vertical="center" wrapText="1"/>
    </xf>
    <xf numFmtId="178" fontId="37" fillId="6" borderId="1" xfId="0" applyNumberFormat="1" applyFont="1" applyFill="1" applyBorder="1" applyAlignment="1">
      <alignment horizontal="center" vertical="center" wrapText="1"/>
    </xf>
    <xf numFmtId="178" fontId="37" fillId="0" borderId="1" xfId="0" applyNumberFormat="1" applyFont="1" applyBorder="1" applyAlignment="1">
      <alignment horizontal="center" vertical="center" wrapText="1"/>
    </xf>
    <xf numFmtId="178" fontId="38" fillId="7" borderId="1" xfId="0" applyNumberFormat="1" applyFont="1" applyFill="1" applyBorder="1" applyAlignment="1">
      <alignment horizontal="center" vertical="center" wrapText="1"/>
    </xf>
    <xf numFmtId="0" fontId="39" fillId="0" borderId="0" xfId="0" applyFont="1"/>
    <xf numFmtId="178" fontId="40" fillId="0" borderId="0" xfId="0" applyNumberFormat="1" applyFont="1"/>
    <xf numFmtId="0" fontId="41" fillId="0" borderId="0" xfId="0" applyFont="1"/>
    <xf numFmtId="0" fontId="45" fillId="0" borderId="0" xfId="0" applyFont="1"/>
    <xf numFmtId="0" fontId="47" fillId="0" borderId="0" xfId="0" applyFont="1"/>
    <xf numFmtId="0" fontId="50" fillId="3" borderId="1" xfId="0" applyFont="1" applyFill="1" applyBorder="1" applyAlignment="1">
      <alignment horizontal="center" vertical="center" wrapText="1"/>
    </xf>
    <xf numFmtId="0" fontId="52" fillId="0" borderId="1" xfId="0" applyFont="1" applyBorder="1" applyAlignment="1">
      <alignment horizontal="left" vertical="center" wrapText="1"/>
    </xf>
    <xf numFmtId="0" fontId="53" fillId="0" borderId="1" xfId="0" applyFont="1" applyBorder="1" applyAlignment="1">
      <alignment horizontal="left" vertical="center" wrapText="1"/>
    </xf>
    <xf numFmtId="0" fontId="54" fillId="0" borderId="1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58" fillId="9" borderId="1" xfId="0" applyFont="1" applyFill="1" applyBorder="1" applyAlignment="1">
      <alignment horizontal="center" vertical="center" wrapText="1"/>
    </xf>
    <xf numFmtId="0" fontId="60" fillId="5" borderId="1" xfId="0" applyFont="1" applyFill="1" applyBorder="1" applyAlignment="1">
      <alignment horizontal="center" vertical="center" wrapText="1"/>
    </xf>
    <xf numFmtId="0" fontId="56" fillId="9" borderId="1" xfId="0" applyFont="1" applyFill="1" applyBorder="1" applyAlignment="1">
      <alignment horizontal="center" vertical="center" wrapText="1"/>
    </xf>
    <xf numFmtId="0" fontId="57" fillId="9" borderId="1" xfId="0" applyFont="1" applyFill="1" applyBorder="1" applyAlignment="1">
      <alignment horizontal="center" vertical="center" wrapText="1"/>
    </xf>
    <xf numFmtId="0" fontId="40" fillId="6" borderId="1" xfId="0" applyFont="1" applyFill="1" applyBorder="1" applyAlignment="1">
      <alignment horizontal="center" vertical="center" wrapText="1"/>
    </xf>
    <xf numFmtId="0" fontId="52" fillId="8" borderId="1" xfId="0" applyFont="1" applyFill="1" applyBorder="1" applyAlignment="1">
      <alignment horizontal="center" vertical="center" wrapText="1"/>
    </xf>
    <xf numFmtId="178" fontId="54" fillId="6" borderId="1" xfId="0" applyNumberFormat="1" applyFont="1" applyFill="1" applyBorder="1" applyAlignment="1">
      <alignment horizontal="center" vertical="center" wrapText="1"/>
    </xf>
    <xf numFmtId="178" fontId="55" fillId="6" borderId="1" xfId="0" applyNumberFormat="1" applyFont="1" applyFill="1" applyBorder="1" applyAlignment="1">
      <alignment horizontal="center" vertical="center" wrapText="1"/>
    </xf>
    <xf numFmtId="0" fontId="61" fillId="5" borderId="1" xfId="0" applyFont="1" applyFill="1" applyBorder="1" applyAlignment="1">
      <alignment horizontal="center" vertical="center" wrapText="1"/>
    </xf>
    <xf numFmtId="0" fontId="62" fillId="6" borderId="1" xfId="0" applyFont="1" applyFill="1" applyBorder="1" applyAlignment="1">
      <alignment horizontal="center" vertical="center" wrapText="1"/>
    </xf>
    <xf numFmtId="0" fontId="52" fillId="10" borderId="1" xfId="0" applyFont="1" applyFill="1" applyBorder="1" applyAlignment="1">
      <alignment horizontal="center" vertical="center" wrapText="1"/>
    </xf>
    <xf numFmtId="0" fontId="52" fillId="7" borderId="1" xfId="0" applyFont="1" applyFill="1" applyBorder="1" applyAlignment="1">
      <alignment horizontal="center" vertical="center" wrapText="1"/>
    </xf>
    <xf numFmtId="0" fontId="52" fillId="5" borderId="1" xfId="0" applyFont="1" applyFill="1" applyBorder="1" applyAlignment="1">
      <alignment horizontal="center" vertical="center" wrapText="1"/>
    </xf>
    <xf numFmtId="0" fontId="52" fillId="11" borderId="1" xfId="0" applyFont="1" applyFill="1" applyBorder="1" applyAlignment="1">
      <alignment horizontal="center" vertical="center" wrapText="1"/>
    </xf>
    <xf numFmtId="0" fontId="63" fillId="0" borderId="1" xfId="0" applyFont="1" applyBorder="1" applyAlignment="1">
      <alignment horizontal="left" vertical="center" wrapText="1"/>
    </xf>
    <xf numFmtId="178" fontId="65" fillId="7" borderId="1" xfId="0" applyNumberFormat="1" applyFont="1" applyFill="1" applyBorder="1" applyAlignment="1">
      <alignment horizontal="center" vertical="center" wrapText="1"/>
    </xf>
    <xf numFmtId="178" fontId="40" fillId="7" borderId="1" xfId="0" applyNumberFormat="1" applyFont="1" applyFill="1" applyBorder="1" applyAlignment="1">
      <alignment horizontal="center" vertical="center" wrapText="1"/>
    </xf>
    <xf numFmtId="0" fontId="30" fillId="0" borderId="0" xfId="0" applyFont="1"/>
    <xf numFmtId="0" fontId="34" fillId="0" borderId="0" xfId="0" applyFont="1"/>
    <xf numFmtId="0" fontId="66" fillId="0" borderId="0" xfId="0" applyFont="1"/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37" fillId="0" borderId="1" xfId="0" applyFont="1" applyBorder="1" applyAlignment="1">
      <alignment horizontal="left" vertical="center" wrapText="1"/>
    </xf>
    <xf numFmtId="179" fontId="38" fillId="0" borderId="1" xfId="0" applyNumberFormat="1" applyFont="1" applyBorder="1" applyAlignment="1">
      <alignment horizontal="center" vertical="center" wrapText="1"/>
    </xf>
    <xf numFmtId="0" fontId="37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left" vertical="center" wrapText="1"/>
    </xf>
    <xf numFmtId="0" fontId="37" fillId="13" borderId="1" xfId="0" applyFont="1" applyFill="1" applyBorder="1" applyAlignment="1">
      <alignment horizontal="left" vertical="center" wrapText="1"/>
    </xf>
    <xf numFmtId="0" fontId="51" fillId="9" borderId="1" xfId="0" applyFont="1" applyFill="1" applyBorder="1" applyAlignment="1">
      <alignment horizontal="center" vertical="center" wrapText="1"/>
    </xf>
    <xf numFmtId="0" fontId="50" fillId="9" borderId="1" xfId="0" applyFont="1" applyFill="1" applyBorder="1" applyAlignment="1">
      <alignment horizontal="center" vertical="center" wrapText="1"/>
    </xf>
    <xf numFmtId="3" fontId="13" fillId="4" borderId="1" xfId="0" applyNumberFormat="1" applyFont="1" applyFill="1" applyBorder="1" applyAlignment="1">
      <alignment horizontal="center" vertical="center" wrapText="1"/>
    </xf>
    <xf numFmtId="3" fontId="74" fillId="6" borderId="1" xfId="0" applyNumberFormat="1" applyFont="1" applyFill="1" applyBorder="1" applyAlignment="1">
      <alignment horizontal="center" vertical="center" wrapText="1"/>
    </xf>
    <xf numFmtId="182" fontId="74" fillId="6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0" fontId="76" fillId="0" borderId="0" xfId="0" applyFont="1"/>
    <xf numFmtId="0" fontId="15" fillId="0" borderId="0" xfId="0" applyFont="1"/>
    <xf numFmtId="1" fontId="37" fillId="0" borderId="0" xfId="0" applyNumberFormat="1" applyFont="1"/>
    <xf numFmtId="0" fontId="77" fillId="0" borderId="0" xfId="0" applyFont="1"/>
    <xf numFmtId="0" fontId="74" fillId="0" borderId="1" xfId="0" applyFont="1" applyBorder="1" applyAlignment="1">
      <alignment horizontal="center" vertical="center" wrapText="1"/>
    </xf>
    <xf numFmtId="1" fontId="74" fillId="0" borderId="1" xfId="0" applyNumberFormat="1" applyFont="1" applyBorder="1" applyAlignment="1">
      <alignment horizontal="center" vertical="center" wrapText="1"/>
    </xf>
    <xf numFmtId="178" fontId="74" fillId="0" borderId="1" xfId="0" applyNumberFormat="1" applyFont="1" applyBorder="1" applyAlignment="1">
      <alignment horizontal="center" vertical="center" wrapText="1"/>
    </xf>
    <xf numFmtId="3" fontId="25" fillId="7" borderId="1" xfId="0" applyNumberFormat="1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72" fillId="0" borderId="0" xfId="0" applyFont="1" applyAlignment="1">
      <alignment horizontal="left" vertical="center" wrapText="1"/>
    </xf>
    <xf numFmtId="3" fontId="9" fillId="6" borderId="1" xfId="0" applyNumberFormat="1" applyFont="1" applyFill="1" applyBorder="1" applyAlignment="1">
      <alignment horizontal="right" vertical="center"/>
    </xf>
    <xf numFmtId="0" fontId="73" fillId="0" borderId="0" xfId="0" applyFont="1" applyAlignment="1">
      <alignment horizontal="left" vertical="center" wrapText="1"/>
    </xf>
    <xf numFmtId="0" fontId="78" fillId="4" borderId="1" xfId="0" applyFont="1" applyFill="1" applyBorder="1" applyAlignment="1">
      <alignment horizontal="left" vertical="center" wrapText="1"/>
    </xf>
    <xf numFmtId="0" fontId="48" fillId="0" borderId="0" xfId="0" applyFont="1"/>
    <xf numFmtId="1" fontId="38" fillId="4" borderId="1" xfId="0" applyNumberFormat="1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71" fillId="4" borderId="1" xfId="0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81" fillId="0" borderId="0" xfId="0" applyFont="1"/>
    <xf numFmtId="0" fontId="70" fillId="0" borderId="0" xfId="0" applyFont="1"/>
    <xf numFmtId="0" fontId="53" fillId="0" borderId="1" xfId="0" applyFont="1" applyBorder="1" applyAlignment="1">
      <alignment horizontal="center" vertical="center" wrapText="1"/>
    </xf>
    <xf numFmtId="0" fontId="83" fillId="0" borderId="1" xfId="0" applyFont="1" applyBorder="1" applyAlignment="1">
      <alignment horizontal="left" vertical="center" wrapText="1"/>
    </xf>
    <xf numFmtId="0" fontId="66" fillId="6" borderId="1" xfId="0" applyFont="1" applyFill="1" applyBorder="1" applyAlignment="1">
      <alignment horizontal="center" vertical="center" wrapText="1"/>
    </xf>
    <xf numFmtId="178" fontId="54" fillId="0" borderId="1" xfId="0" applyNumberFormat="1" applyFont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176" fontId="9" fillId="6" borderId="1" xfId="0" applyNumberFormat="1" applyFont="1" applyFill="1" applyBorder="1" applyAlignment="1">
      <alignment horizontal="right" vertical="center"/>
    </xf>
    <xf numFmtId="0" fontId="87" fillId="5" borderId="1" xfId="0" applyFont="1" applyFill="1" applyBorder="1" applyAlignment="1">
      <alignment horizontal="center" vertical="center" wrapText="1"/>
    </xf>
    <xf numFmtId="14" fontId="23" fillId="5" borderId="1" xfId="0" applyNumberFormat="1" applyFont="1" applyFill="1" applyBorder="1" applyAlignment="1">
      <alignment horizontal="center" vertical="center" wrapText="1"/>
    </xf>
    <xf numFmtId="0" fontId="46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88" fillId="5" borderId="1" xfId="0" applyFont="1" applyFill="1" applyBorder="1" applyAlignment="1">
      <alignment horizontal="center" vertical="center" wrapText="1"/>
    </xf>
    <xf numFmtId="180" fontId="67" fillId="5" borderId="1" xfId="0" applyNumberFormat="1" applyFont="1" applyFill="1" applyBorder="1" applyAlignment="1">
      <alignment horizontal="right" vertical="center"/>
    </xf>
    <xf numFmtId="179" fontId="67" fillId="5" borderId="1" xfId="0" applyNumberFormat="1" applyFont="1" applyFill="1" applyBorder="1" applyAlignment="1">
      <alignment horizontal="right" vertical="center"/>
    </xf>
    <xf numFmtId="179" fontId="37" fillId="6" borderId="1" xfId="0" applyNumberFormat="1" applyFont="1" applyFill="1" applyBorder="1" applyAlignment="1">
      <alignment horizontal="right" vertical="center"/>
    </xf>
    <xf numFmtId="181" fontId="67" fillId="5" borderId="1" xfId="0" applyNumberFormat="1" applyFont="1" applyFill="1" applyBorder="1" applyAlignment="1">
      <alignment horizontal="center" vertical="center" wrapText="1"/>
    </xf>
    <xf numFmtId="3" fontId="38" fillId="7" borderId="1" xfId="0" applyNumberFormat="1" applyFont="1" applyFill="1" applyBorder="1" applyAlignment="1">
      <alignment horizontal="center" vertical="center" wrapText="1"/>
    </xf>
    <xf numFmtId="0" fontId="67" fillId="5" borderId="1" xfId="0" applyFont="1" applyFill="1" applyBorder="1" applyAlignment="1">
      <alignment horizontal="left" vertical="center" wrapText="1"/>
    </xf>
    <xf numFmtId="3" fontId="67" fillId="5" borderId="1" xfId="0" applyNumberFormat="1" applyFont="1" applyFill="1" applyBorder="1" applyAlignment="1">
      <alignment horizontal="center" vertical="center" wrapText="1"/>
    </xf>
    <xf numFmtId="3" fontId="38" fillId="6" borderId="1" xfId="0" applyNumberFormat="1" applyFont="1" applyFill="1" applyBorder="1" applyAlignment="1">
      <alignment horizontal="center" vertical="center" wrapText="1"/>
    </xf>
    <xf numFmtId="0" fontId="85" fillId="5" borderId="1" xfId="0" applyFont="1" applyFill="1" applyBorder="1" applyAlignment="1">
      <alignment horizontal="left" vertical="center" wrapText="1"/>
    </xf>
    <xf numFmtId="0" fontId="86" fillId="5" borderId="1" xfId="0" applyFont="1" applyFill="1" applyBorder="1" applyAlignment="1">
      <alignment horizontal="center" vertical="center" wrapText="1"/>
    </xf>
    <xf numFmtId="0" fontId="86" fillId="5" borderId="1" xfId="0" applyFont="1" applyFill="1" applyBorder="1" applyAlignment="1">
      <alignment horizontal="left" vertical="center" wrapText="1"/>
    </xf>
    <xf numFmtId="3" fontId="37" fillId="6" borderId="1" xfId="0" applyNumberFormat="1" applyFont="1" applyFill="1" applyBorder="1" applyAlignment="1">
      <alignment horizontal="center" vertical="center" wrapText="1"/>
    </xf>
    <xf numFmtId="3" fontId="74" fillId="0" borderId="0" xfId="0" applyNumberFormat="1" applyFont="1" applyAlignment="1">
      <alignment horizontal="center" vertical="center" wrapText="1"/>
    </xf>
    <xf numFmtId="182" fontId="37" fillId="6" borderId="1" xfId="0" applyNumberFormat="1" applyFont="1" applyFill="1" applyBorder="1" applyAlignment="1">
      <alignment horizontal="center" vertical="center" wrapText="1"/>
    </xf>
    <xf numFmtId="3" fontId="90" fillId="5" borderId="1" xfId="0" applyNumberFormat="1" applyFont="1" applyFill="1" applyBorder="1" applyAlignment="1">
      <alignment horizontal="right" vertical="center"/>
    </xf>
    <xf numFmtId="41" fontId="0" fillId="0" borderId="0" xfId="1" applyFont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93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93" fillId="0" borderId="7" xfId="0" applyFont="1" applyBorder="1" applyAlignment="1">
      <alignment vertical="center"/>
    </xf>
    <xf numFmtId="0" fontId="93" fillId="0" borderId="8" xfId="0" applyFont="1" applyBorder="1" applyAlignment="1">
      <alignment vertical="center"/>
    </xf>
    <xf numFmtId="0" fontId="86" fillId="5" borderId="2" xfId="0" applyFont="1" applyFill="1" applyBorder="1" applyAlignment="1">
      <alignment horizontal="left" vertical="center" wrapText="1"/>
    </xf>
    <xf numFmtId="0" fontId="67" fillId="5" borderId="2" xfId="0" applyFont="1" applyFill="1" applyBorder="1" applyAlignment="1">
      <alignment horizontal="left" vertical="center" wrapText="1"/>
    </xf>
    <xf numFmtId="182" fontId="37" fillId="6" borderId="0" xfId="0" applyNumberFormat="1" applyFont="1" applyFill="1" applyAlignment="1">
      <alignment horizontal="center" vertical="center" wrapText="1"/>
    </xf>
    <xf numFmtId="0" fontId="75" fillId="4" borderId="0" xfId="0" applyFont="1" applyFill="1" applyAlignment="1">
      <alignment horizontal="center" vertical="center" wrapText="1"/>
    </xf>
    <xf numFmtId="3" fontId="74" fillId="6" borderId="0" xfId="0" applyNumberFormat="1" applyFont="1" applyFill="1" applyAlignment="1">
      <alignment horizontal="center" vertical="center" wrapText="1"/>
    </xf>
    <xf numFmtId="182" fontId="74" fillId="6" borderId="0" xfId="0" applyNumberFormat="1" applyFont="1" applyFill="1" applyAlignment="1">
      <alignment horizontal="center" vertical="center" wrapText="1"/>
    </xf>
    <xf numFmtId="176" fontId="37" fillId="6" borderId="1" xfId="0" applyNumberFormat="1" applyFont="1" applyFill="1" applyBorder="1" applyAlignment="1">
      <alignment horizontal="center" vertical="center" wrapText="1"/>
    </xf>
    <xf numFmtId="0" fontId="67" fillId="5" borderId="1" xfId="0" applyFont="1" applyFill="1" applyBorder="1" applyAlignment="1">
      <alignment horizontal="center" vertical="center" wrapText="1"/>
    </xf>
    <xf numFmtId="0" fontId="67" fillId="5" borderId="13" xfId="0" applyFont="1" applyFill="1" applyBorder="1" applyAlignment="1">
      <alignment vertical="center" wrapText="1"/>
    </xf>
    <xf numFmtId="176" fontId="38" fillId="7" borderId="1" xfId="0" applyNumberFormat="1" applyFont="1" applyFill="1" applyBorder="1" applyAlignment="1">
      <alignment horizontal="center" vertical="center" wrapText="1"/>
    </xf>
    <xf numFmtId="0" fontId="100" fillId="0" borderId="0" xfId="0" applyFont="1"/>
    <xf numFmtId="0" fontId="67" fillId="5" borderId="12" xfId="0" applyFont="1" applyFill="1" applyBorder="1" applyAlignment="1">
      <alignment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86" fillId="16" borderId="1" xfId="0" applyFont="1" applyFill="1" applyBorder="1" applyAlignment="1">
      <alignment horizontal="left" vertical="center" wrapText="1"/>
    </xf>
    <xf numFmtId="0" fontId="67" fillId="16" borderId="1" xfId="0" applyFont="1" applyFill="1" applyBorder="1" applyAlignment="1">
      <alignment horizontal="left" vertical="center" wrapText="1"/>
    </xf>
    <xf numFmtId="0" fontId="67" fillId="16" borderId="13" xfId="0" applyFont="1" applyFill="1" applyBorder="1" applyAlignment="1">
      <alignment horizontal="center" vertical="center" wrapText="1"/>
    </xf>
    <xf numFmtId="0" fontId="86" fillId="16" borderId="1" xfId="0" applyFont="1" applyFill="1" applyBorder="1" applyAlignment="1">
      <alignment horizontal="center" vertical="center" wrapText="1"/>
    </xf>
    <xf numFmtId="180" fontId="67" fillId="16" borderId="1" xfId="0" applyNumberFormat="1" applyFont="1" applyFill="1" applyBorder="1" applyAlignment="1">
      <alignment horizontal="right" vertical="center"/>
    </xf>
    <xf numFmtId="0" fontId="15" fillId="17" borderId="1" xfId="0" applyFont="1" applyFill="1" applyBorder="1" applyAlignment="1">
      <alignment horizontal="center" vertical="center" wrapText="1"/>
    </xf>
    <xf numFmtId="179" fontId="67" fillId="16" borderId="1" xfId="0" applyNumberFormat="1" applyFont="1" applyFill="1" applyBorder="1" applyAlignment="1">
      <alignment horizontal="right" vertical="center"/>
    </xf>
    <xf numFmtId="179" fontId="37" fillId="17" borderId="1" xfId="0" applyNumberFormat="1" applyFont="1" applyFill="1" applyBorder="1" applyAlignment="1">
      <alignment horizontal="right" vertical="center"/>
    </xf>
    <xf numFmtId="181" fontId="67" fillId="16" borderId="1" xfId="0" applyNumberFormat="1" applyFont="1" applyFill="1" applyBorder="1" applyAlignment="1">
      <alignment horizontal="center" vertical="center" wrapText="1"/>
    </xf>
    <xf numFmtId="176" fontId="37" fillId="17" borderId="1" xfId="0" applyNumberFormat="1" applyFont="1" applyFill="1" applyBorder="1" applyAlignment="1">
      <alignment horizontal="center" vertical="center" wrapText="1"/>
    </xf>
    <xf numFmtId="176" fontId="38" fillId="18" borderId="1" xfId="0" applyNumberFormat="1" applyFont="1" applyFill="1" applyBorder="1" applyAlignment="1">
      <alignment horizontal="center" vertical="center" wrapText="1"/>
    </xf>
    <xf numFmtId="0" fontId="86" fillId="15" borderId="1" xfId="0" applyFont="1" applyFill="1" applyBorder="1" applyAlignment="1">
      <alignment horizontal="left" vertical="center" wrapText="1"/>
    </xf>
    <xf numFmtId="0" fontId="67" fillId="15" borderId="1" xfId="0" applyFont="1" applyFill="1" applyBorder="1" applyAlignment="1">
      <alignment horizontal="left" vertical="center" wrapText="1"/>
    </xf>
    <xf numFmtId="0" fontId="86" fillId="15" borderId="1" xfId="0" applyFont="1" applyFill="1" applyBorder="1" applyAlignment="1">
      <alignment horizontal="center" vertical="center" wrapText="1"/>
    </xf>
    <xf numFmtId="180" fontId="67" fillId="15" borderId="1" xfId="0" applyNumberFormat="1" applyFont="1" applyFill="1" applyBorder="1" applyAlignment="1">
      <alignment horizontal="right" vertical="center"/>
    </xf>
    <xf numFmtId="179" fontId="67" fillId="15" borderId="1" xfId="0" applyNumberFormat="1" applyFont="1" applyFill="1" applyBorder="1" applyAlignment="1">
      <alignment horizontal="right" vertical="center"/>
    </xf>
    <xf numFmtId="179" fontId="37" fillId="15" borderId="1" xfId="0" applyNumberFormat="1" applyFont="1" applyFill="1" applyBorder="1" applyAlignment="1">
      <alignment horizontal="right" vertical="center"/>
    </xf>
    <xf numFmtId="181" fontId="67" fillId="15" borderId="1" xfId="0" applyNumberFormat="1" applyFont="1" applyFill="1" applyBorder="1" applyAlignment="1">
      <alignment horizontal="center" vertical="center" wrapText="1"/>
    </xf>
    <xf numFmtId="176" fontId="37" fillId="15" borderId="1" xfId="0" applyNumberFormat="1" applyFont="1" applyFill="1" applyBorder="1" applyAlignment="1">
      <alignment horizontal="center" vertical="center" wrapText="1"/>
    </xf>
    <xf numFmtId="176" fontId="38" fillId="15" borderId="1" xfId="0" applyNumberFormat="1" applyFont="1" applyFill="1" applyBorder="1" applyAlignment="1">
      <alignment horizontal="center" vertical="center" wrapText="1"/>
    </xf>
    <xf numFmtId="0" fontId="85" fillId="15" borderId="1" xfId="0" applyFont="1" applyFill="1" applyBorder="1" applyAlignment="1">
      <alignment horizontal="left" vertical="center" wrapText="1"/>
    </xf>
    <xf numFmtId="0" fontId="67" fillId="15" borderId="1" xfId="0" applyFont="1" applyFill="1" applyBorder="1" applyAlignment="1">
      <alignment horizontal="center" vertical="center" wrapText="1"/>
    </xf>
    <xf numFmtId="0" fontId="85" fillId="5" borderId="2" xfId="0" applyFont="1" applyFill="1" applyBorder="1" applyAlignment="1">
      <alignment horizontal="left" vertical="center" wrapText="1"/>
    </xf>
    <xf numFmtId="0" fontId="85" fillId="16" borderId="1" xfId="0" applyFont="1" applyFill="1" applyBorder="1" applyAlignment="1">
      <alignment horizontal="left" vertical="center" wrapText="1"/>
    </xf>
    <xf numFmtId="0" fontId="14" fillId="16" borderId="1" xfId="0" applyFont="1" applyFill="1" applyBorder="1" applyAlignment="1">
      <alignment horizontal="center" vertical="center" wrapText="1"/>
    </xf>
    <xf numFmtId="3" fontId="67" fillId="16" borderId="1" xfId="0" applyNumberFormat="1" applyFont="1" applyFill="1" applyBorder="1" applyAlignment="1">
      <alignment horizontal="center" vertical="center" wrapText="1"/>
    </xf>
    <xf numFmtId="3" fontId="38" fillId="17" borderId="1" xfId="0" applyNumberFormat="1" applyFont="1" applyFill="1" applyBorder="1" applyAlignment="1">
      <alignment horizontal="center" vertical="center" wrapText="1"/>
    </xf>
    <xf numFmtId="3" fontId="37" fillId="17" borderId="1" xfId="0" applyNumberFormat="1" applyFont="1" applyFill="1" applyBorder="1" applyAlignment="1">
      <alignment horizontal="center" vertical="center" wrapText="1"/>
    </xf>
    <xf numFmtId="3" fontId="74" fillId="15" borderId="0" xfId="0" applyNumberFormat="1" applyFont="1" applyFill="1" applyAlignment="1">
      <alignment horizontal="center" vertical="center" wrapText="1"/>
    </xf>
    <xf numFmtId="0" fontId="100" fillId="19" borderId="0" xfId="0" applyFont="1" applyFill="1"/>
    <xf numFmtId="0" fontId="75" fillId="20" borderId="0" xfId="0" applyFont="1" applyFill="1" applyAlignment="1">
      <alignment horizontal="center" vertical="center" wrapText="1"/>
    </xf>
    <xf numFmtId="176" fontId="74" fillId="21" borderId="1" xfId="0" applyNumberFormat="1" applyFont="1" applyFill="1" applyBorder="1" applyAlignment="1">
      <alignment horizontal="center" vertical="center" wrapText="1"/>
    </xf>
    <xf numFmtId="3" fontId="74" fillId="21" borderId="1" xfId="0" applyNumberFormat="1" applyFont="1" applyFill="1" applyBorder="1" applyAlignment="1">
      <alignment horizontal="center" vertical="center" wrapText="1"/>
    </xf>
    <xf numFmtId="182" fontId="74" fillId="21" borderId="1" xfId="0" applyNumberFormat="1" applyFont="1" applyFill="1" applyBorder="1" applyAlignment="1">
      <alignment horizontal="center" vertical="center" wrapText="1"/>
    </xf>
    <xf numFmtId="0" fontId="0" fillId="19" borderId="0" xfId="0" applyFill="1"/>
    <xf numFmtId="0" fontId="100" fillId="22" borderId="0" xfId="0" applyFont="1" applyFill="1"/>
    <xf numFmtId="0" fontId="75" fillId="23" borderId="0" xfId="0" applyFont="1" applyFill="1" applyAlignment="1">
      <alignment horizontal="center" vertical="center" wrapText="1"/>
    </xf>
    <xf numFmtId="176" fontId="74" fillId="24" borderId="1" xfId="0" applyNumberFormat="1" applyFont="1" applyFill="1" applyBorder="1" applyAlignment="1">
      <alignment horizontal="center" vertical="center" wrapText="1"/>
    </xf>
    <xf numFmtId="3" fontId="74" fillId="24" borderId="1" xfId="0" applyNumberFormat="1" applyFont="1" applyFill="1" applyBorder="1" applyAlignment="1">
      <alignment horizontal="center" vertical="center" wrapText="1"/>
    </xf>
    <xf numFmtId="182" fontId="74" fillId="24" borderId="1" xfId="0" applyNumberFormat="1" applyFont="1" applyFill="1" applyBorder="1" applyAlignment="1">
      <alignment horizontal="center" vertical="center" wrapText="1"/>
    </xf>
    <xf numFmtId="0" fontId="0" fillId="22" borderId="0" xfId="0" applyFill="1"/>
    <xf numFmtId="0" fontId="75" fillId="20" borderId="1" xfId="0" applyFont="1" applyFill="1" applyBorder="1" applyAlignment="1">
      <alignment horizontal="center" vertical="center" wrapText="1"/>
    </xf>
    <xf numFmtId="182" fontId="74" fillId="19" borderId="1" xfId="0" applyNumberFormat="1" applyFont="1" applyFill="1" applyBorder="1" applyAlignment="1">
      <alignment horizontal="center" vertical="center" wrapText="1"/>
    </xf>
    <xf numFmtId="0" fontId="75" fillId="23" borderId="1" xfId="0" applyFont="1" applyFill="1" applyBorder="1" applyAlignment="1">
      <alignment horizontal="center" vertical="center" wrapText="1"/>
    </xf>
    <xf numFmtId="182" fontId="74" fillId="22" borderId="1" xfId="0" applyNumberFormat="1" applyFont="1" applyFill="1" applyBorder="1" applyAlignment="1">
      <alignment horizontal="center" vertical="center" wrapText="1"/>
    </xf>
    <xf numFmtId="182" fontId="0" fillId="0" borderId="0" xfId="0" applyNumberFormat="1"/>
    <xf numFmtId="0" fontId="100" fillId="25" borderId="0" xfId="0" applyFont="1" applyFill="1"/>
    <xf numFmtId="0" fontId="75" fillId="26" borderId="0" xfId="0" applyFont="1" applyFill="1" applyAlignment="1">
      <alignment horizontal="center" vertical="center" wrapText="1"/>
    </xf>
    <xf numFmtId="3" fontId="74" fillId="27" borderId="1" xfId="0" applyNumberFormat="1" applyFont="1" applyFill="1" applyBorder="1" applyAlignment="1">
      <alignment horizontal="center" vertical="center" wrapText="1"/>
    </xf>
    <xf numFmtId="182" fontId="74" fillId="25" borderId="1" xfId="0" applyNumberFormat="1" applyFont="1" applyFill="1" applyBorder="1" applyAlignment="1">
      <alignment horizontal="center" vertical="center" wrapText="1"/>
    </xf>
    <xf numFmtId="0" fontId="31" fillId="0" borderId="22" xfId="0" applyFont="1" applyBorder="1" applyAlignment="1">
      <alignment vertical="center" wrapText="1"/>
    </xf>
    <xf numFmtId="0" fontId="31" fillId="0" borderId="0" xfId="0" applyFont="1" applyAlignment="1">
      <alignment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11" fillId="0" borderId="0" xfId="0" applyFont="1"/>
    <xf numFmtId="0" fontId="15" fillId="0" borderId="2" xfId="0" applyFont="1" applyBorder="1" applyAlignment="1">
      <alignment horizontal="center" vertical="center" wrapText="1"/>
    </xf>
    <xf numFmtId="0" fontId="115" fillId="0" borderId="1" xfId="0" applyFont="1" applyBorder="1" applyAlignment="1">
      <alignment horizontal="left" vertical="center" wrapText="1"/>
    </xf>
    <xf numFmtId="176" fontId="94" fillId="6" borderId="1" xfId="0" applyNumberFormat="1" applyFont="1" applyFill="1" applyBorder="1" applyAlignment="1">
      <alignment horizontal="center" vertical="center" wrapText="1"/>
    </xf>
    <xf numFmtId="176" fontId="94" fillId="17" borderId="1" xfId="0" applyNumberFormat="1" applyFont="1" applyFill="1" applyBorder="1" applyAlignment="1">
      <alignment horizontal="center" vertical="center" wrapText="1"/>
    </xf>
    <xf numFmtId="0" fontId="92" fillId="0" borderId="20" xfId="0" applyFont="1" applyBorder="1" applyAlignment="1">
      <alignment horizontal="center" vertical="center" wrapText="1"/>
    </xf>
    <xf numFmtId="176" fontId="74" fillId="21" borderId="0" xfId="0" applyNumberFormat="1" applyFont="1" applyFill="1" applyAlignment="1">
      <alignment horizontal="center" vertical="center" wrapText="1"/>
    </xf>
    <xf numFmtId="3" fontId="74" fillId="21" borderId="0" xfId="0" applyNumberFormat="1" applyFont="1" applyFill="1" applyAlignment="1">
      <alignment horizontal="center" vertical="center" wrapText="1"/>
    </xf>
    <xf numFmtId="182" fontId="74" fillId="21" borderId="0" xfId="0" applyNumberFormat="1" applyFont="1" applyFill="1" applyAlignment="1">
      <alignment horizontal="center" vertical="center" wrapText="1"/>
    </xf>
    <xf numFmtId="0" fontId="67" fillId="5" borderId="11" xfId="0" applyFont="1" applyFill="1" applyBorder="1" applyAlignment="1">
      <alignment horizontal="center" vertical="center" wrapText="1"/>
    </xf>
    <xf numFmtId="0" fontId="67" fillId="5" borderId="13" xfId="0" applyFont="1" applyFill="1" applyBorder="1" applyAlignment="1">
      <alignment horizontal="center" vertical="center" wrapText="1"/>
    </xf>
    <xf numFmtId="177" fontId="0" fillId="0" borderId="0" xfId="2" applyNumberFormat="1" applyFont="1" applyAlignment="1"/>
    <xf numFmtId="0" fontId="36" fillId="9" borderId="0" xfId="0" applyFont="1" applyFill="1" applyAlignment="1">
      <alignment horizontal="center" vertical="center" wrapText="1"/>
    </xf>
    <xf numFmtId="177" fontId="0" fillId="19" borderId="0" xfId="0" applyNumberFormat="1" applyFill="1"/>
    <xf numFmtId="177" fontId="38" fillId="0" borderId="1" xfId="2" applyNumberFormat="1" applyFont="1" applyBorder="1" applyAlignment="1">
      <alignment horizontal="center" vertical="center" wrapText="1"/>
    </xf>
    <xf numFmtId="0" fontId="18" fillId="2" borderId="0" xfId="0" applyFont="1" applyFill="1" applyAlignment="1">
      <alignment horizontal="left" vertical="center"/>
    </xf>
    <xf numFmtId="0" fontId="67" fillId="5" borderId="12" xfId="0" applyFont="1" applyFill="1" applyBorder="1" applyAlignment="1">
      <alignment horizontal="center" vertical="center" wrapText="1"/>
    </xf>
    <xf numFmtId="0" fontId="35" fillId="12" borderId="2" xfId="0" applyFont="1" applyFill="1" applyBorder="1" applyAlignment="1">
      <alignment horizontal="right" vertical="center"/>
    </xf>
    <xf numFmtId="0" fontId="105" fillId="0" borderId="0" xfId="0" applyFont="1" applyAlignment="1">
      <alignment horizontal="center" vertical="center"/>
    </xf>
    <xf numFmtId="0" fontId="108" fillId="0" borderId="10" xfId="0" applyFont="1" applyBorder="1" applyAlignment="1">
      <alignment horizontal="center" vertical="center"/>
    </xf>
    <xf numFmtId="0" fontId="9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74" fillId="0" borderId="14" xfId="0" applyNumberFormat="1" applyFont="1" applyBorder="1" applyAlignment="1">
      <alignment horizontal="center" vertical="center" wrapText="1"/>
    </xf>
    <xf numFmtId="1" fontId="74" fillId="0" borderId="22" xfId="0" applyNumberFormat="1" applyFont="1" applyBorder="1" applyAlignment="1">
      <alignment horizontal="center" vertical="center" wrapText="1"/>
    </xf>
    <xf numFmtId="1" fontId="74" fillId="0" borderId="17" xfId="0" applyNumberFormat="1" applyFont="1" applyBorder="1" applyAlignment="1">
      <alignment horizontal="center" vertical="center" wrapText="1"/>
    </xf>
    <xf numFmtId="182" fontId="37" fillId="0" borderId="0" xfId="0" applyNumberFormat="1" applyFont="1" applyAlignment="1">
      <alignment horizontal="center"/>
    </xf>
    <xf numFmtId="0" fontId="44" fillId="2" borderId="0" xfId="0" applyFont="1" applyFill="1" applyAlignment="1">
      <alignment horizontal="left" vertical="center"/>
    </xf>
    <xf numFmtId="179" fontId="61" fillId="0" borderId="1" xfId="0" applyNumberFormat="1" applyFont="1" applyBorder="1" applyAlignment="1">
      <alignment horizontal="center" vertical="center" wrapText="1"/>
    </xf>
    <xf numFmtId="4" fontId="67" fillId="5" borderId="1" xfId="0" applyNumberFormat="1" applyFont="1" applyFill="1" applyBorder="1" applyAlignment="1">
      <alignment horizontal="right" vertical="center"/>
    </xf>
    <xf numFmtId="4" fontId="67" fillId="15" borderId="1" xfId="0" applyNumberFormat="1" applyFont="1" applyFill="1" applyBorder="1" applyAlignment="1">
      <alignment horizontal="right" vertical="center"/>
    </xf>
    <xf numFmtId="4" fontId="37" fillId="6" borderId="1" xfId="0" applyNumberFormat="1" applyFont="1" applyFill="1" applyBorder="1" applyAlignment="1">
      <alignment horizontal="right" vertical="center"/>
    </xf>
    <xf numFmtId="4" fontId="37" fillId="15" borderId="1" xfId="0" applyNumberFormat="1" applyFont="1" applyFill="1" applyBorder="1" applyAlignment="1">
      <alignment horizontal="right" vertical="center"/>
    </xf>
    <xf numFmtId="176" fontId="67" fillId="5" borderId="1" xfId="0" applyNumberFormat="1" applyFont="1" applyFill="1" applyBorder="1" applyAlignment="1">
      <alignment horizontal="center" vertical="center" wrapText="1"/>
    </xf>
    <xf numFmtId="176" fontId="67" fillId="15" borderId="1" xfId="0" applyNumberFormat="1" applyFont="1" applyFill="1" applyBorder="1" applyAlignment="1">
      <alignment horizontal="center" vertical="center" wrapText="1"/>
    </xf>
    <xf numFmtId="0" fontId="108" fillId="28" borderId="0" xfId="0" applyFont="1" applyFill="1"/>
    <xf numFmtId="176" fontId="108" fillId="28" borderId="0" xfId="0" applyNumberFormat="1" applyFont="1" applyFill="1"/>
    <xf numFmtId="1" fontId="67" fillId="5" borderId="1" xfId="0" applyNumberFormat="1" applyFont="1" applyFill="1" applyBorder="1" applyAlignment="1">
      <alignment horizontal="center" vertical="center" wrapText="1"/>
    </xf>
    <xf numFmtId="1" fontId="67" fillId="15" borderId="1" xfId="0" applyNumberFormat="1" applyFont="1" applyFill="1" applyBorder="1" applyAlignment="1">
      <alignment horizontal="center" vertical="center" wrapText="1"/>
    </xf>
    <xf numFmtId="0" fontId="108" fillId="0" borderId="0" xfId="0" applyFont="1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0" fontId="67" fillId="5" borderId="1" xfId="0" quotePrefix="1" applyFont="1" applyFill="1" applyBorder="1" applyAlignment="1">
      <alignment horizontal="center" vertical="center" wrapText="1"/>
    </xf>
    <xf numFmtId="0" fontId="67" fillId="5" borderId="11" xfId="0" quotePrefix="1" applyFont="1" applyFill="1" applyBorder="1" applyAlignment="1">
      <alignment horizontal="center" vertical="center" wrapText="1"/>
    </xf>
    <xf numFmtId="0" fontId="67" fillId="5" borderId="13" xfId="0" quotePrefix="1" applyFont="1" applyFill="1" applyBorder="1" applyAlignment="1">
      <alignment horizontal="center" vertical="center" wrapText="1"/>
    </xf>
    <xf numFmtId="0" fontId="67" fillId="5" borderId="12" xfId="0" quotePrefix="1" applyFont="1" applyFill="1" applyBorder="1" applyAlignment="1">
      <alignment horizontal="center" vertical="center" wrapText="1"/>
    </xf>
    <xf numFmtId="14" fontId="37" fillId="6" borderId="1" xfId="0" applyNumberFormat="1" applyFont="1" applyFill="1" applyBorder="1" applyAlignment="1">
      <alignment horizontal="center" vertical="center" wrapText="1"/>
    </xf>
    <xf numFmtId="14" fontId="74" fillId="0" borderId="0" xfId="0" applyNumberFormat="1" applyFont="1" applyAlignment="1">
      <alignment horizontal="center" vertical="center" wrapText="1"/>
    </xf>
    <xf numFmtId="0" fontId="61" fillId="5" borderId="1" xfId="0" applyFont="1" applyFill="1" applyBorder="1" applyAlignment="1">
      <alignment horizontal="left" vertical="center" wrapText="1"/>
    </xf>
    <xf numFmtId="0" fontId="122" fillId="5" borderId="1" xfId="0" applyFont="1" applyFill="1" applyBorder="1" applyAlignment="1">
      <alignment horizontal="left" vertical="center" wrapText="1"/>
    </xf>
    <xf numFmtId="0" fontId="61" fillId="5" borderId="13" xfId="0" applyFont="1" applyFill="1" applyBorder="1" applyAlignment="1">
      <alignment horizontal="center" vertical="center" wrapText="1"/>
    </xf>
    <xf numFmtId="14" fontId="38" fillId="6" borderId="1" xfId="0" applyNumberFormat="1" applyFont="1" applyFill="1" applyBorder="1" applyAlignment="1">
      <alignment horizontal="center" vertical="center" wrapText="1"/>
    </xf>
    <xf numFmtId="14" fontId="75" fillId="0" borderId="0" xfId="0" applyNumberFormat="1" applyFont="1" applyAlignment="1">
      <alignment horizontal="center" vertical="center" wrapText="1"/>
    </xf>
    <xf numFmtId="3" fontId="75" fillId="0" borderId="0" xfId="0" applyNumberFormat="1" applyFont="1" applyAlignment="1">
      <alignment horizontal="center" vertical="center" wrapText="1"/>
    </xf>
    <xf numFmtId="0" fontId="61" fillId="5" borderId="12" xfId="0" applyFont="1" applyFill="1" applyBorder="1" applyAlignment="1">
      <alignment horizontal="center" vertical="center" wrapText="1"/>
    </xf>
    <xf numFmtId="0" fontId="67" fillId="5" borderId="1" xfId="0" quotePrefix="1" applyFont="1" applyFill="1" applyBorder="1" applyAlignment="1">
      <alignment horizontal="left" vertical="center" wrapText="1"/>
    </xf>
    <xf numFmtId="0" fontId="67" fillId="16" borderId="1" xfId="0" quotePrefix="1" applyFont="1" applyFill="1" applyBorder="1" applyAlignment="1">
      <alignment horizontal="left" vertical="center" wrapText="1"/>
    </xf>
    <xf numFmtId="14" fontId="37" fillId="17" borderId="1" xfId="0" applyNumberFormat="1" applyFont="1" applyFill="1" applyBorder="1" applyAlignment="1">
      <alignment horizontal="center" vertical="center" wrapText="1"/>
    </xf>
    <xf numFmtId="14" fontId="74" fillId="15" borderId="0" xfId="0" applyNumberFormat="1" applyFont="1" applyFill="1" applyAlignment="1">
      <alignment horizontal="center" vertical="center" wrapText="1"/>
    </xf>
    <xf numFmtId="0" fontId="61" fillId="16" borderId="1" xfId="0" applyFont="1" applyFill="1" applyBorder="1" applyAlignment="1">
      <alignment horizontal="left" vertical="center" wrapText="1"/>
    </xf>
    <xf numFmtId="0" fontId="122" fillId="16" borderId="1" xfId="0" applyFont="1" applyFill="1" applyBorder="1" applyAlignment="1">
      <alignment horizontal="left" vertical="center" wrapText="1"/>
    </xf>
    <xf numFmtId="14" fontId="38" fillId="17" borderId="1" xfId="0" applyNumberFormat="1" applyFont="1" applyFill="1" applyBorder="1" applyAlignment="1">
      <alignment horizontal="center" vertical="center" wrapText="1"/>
    </xf>
    <xf numFmtId="14" fontId="75" fillId="15" borderId="0" xfId="0" applyNumberFormat="1" applyFont="1" applyFill="1" applyAlignment="1">
      <alignment horizontal="center" vertical="center" wrapText="1"/>
    </xf>
    <xf numFmtId="3" fontId="75" fillId="15" borderId="0" xfId="0" applyNumberFormat="1" applyFont="1" applyFill="1" applyAlignment="1">
      <alignment horizontal="center" vertical="center" wrapText="1"/>
    </xf>
    <xf numFmtId="178" fontId="94" fillId="6" borderId="1" xfId="0" applyNumberFormat="1" applyFont="1" applyFill="1" applyBorder="1" applyAlignment="1">
      <alignment horizontal="center" vertical="center" wrapText="1"/>
    </xf>
    <xf numFmtId="178" fontId="103" fillId="6" borderId="1" xfId="0" applyNumberFormat="1" applyFont="1" applyFill="1" applyBorder="1" applyAlignment="1">
      <alignment horizontal="center" vertical="center" wrapText="1"/>
    </xf>
    <xf numFmtId="0" fontId="123" fillId="5" borderId="1" xfId="0" applyFont="1" applyFill="1" applyBorder="1" applyAlignment="1">
      <alignment horizontal="center" vertical="center" wrapText="1"/>
    </xf>
    <xf numFmtId="178" fontId="94" fillId="17" borderId="1" xfId="0" applyNumberFormat="1" applyFont="1" applyFill="1" applyBorder="1" applyAlignment="1">
      <alignment horizontal="center" vertical="center" wrapText="1"/>
    </xf>
    <xf numFmtId="178" fontId="103" fillId="17" borderId="1" xfId="0" applyNumberFormat="1" applyFont="1" applyFill="1" applyBorder="1" applyAlignment="1">
      <alignment horizontal="center" vertical="center" wrapText="1"/>
    </xf>
    <xf numFmtId="0" fontId="123" fillId="16" borderId="1" xfId="0" applyFont="1" applyFill="1" applyBorder="1" applyAlignment="1">
      <alignment horizontal="center" vertical="center" wrapText="1"/>
    </xf>
    <xf numFmtId="2" fontId="14" fillId="5" borderId="1" xfId="0" applyNumberFormat="1" applyFont="1" applyFill="1" applyBorder="1" applyAlignment="1">
      <alignment horizontal="center" vertical="center" wrapText="1"/>
    </xf>
    <xf numFmtId="2" fontId="123" fillId="5" borderId="1" xfId="0" applyNumberFormat="1" applyFont="1" applyFill="1" applyBorder="1" applyAlignment="1">
      <alignment horizontal="center" vertical="center" wrapText="1"/>
    </xf>
    <xf numFmtId="2" fontId="14" fillId="16" borderId="1" xfId="0" applyNumberFormat="1" applyFont="1" applyFill="1" applyBorder="1" applyAlignment="1">
      <alignment horizontal="center" vertical="center" wrapText="1"/>
    </xf>
    <xf numFmtId="2" fontId="123" fillId="16" borderId="1" xfId="0" applyNumberFormat="1" applyFont="1" applyFill="1" applyBorder="1" applyAlignment="1">
      <alignment horizontal="center" vertical="center" wrapText="1"/>
    </xf>
    <xf numFmtId="178" fontId="67" fillId="5" borderId="1" xfId="0" applyNumberFormat="1" applyFont="1" applyFill="1" applyBorder="1" applyAlignment="1">
      <alignment horizontal="center" vertical="center" wrapText="1"/>
    </xf>
    <xf numFmtId="178" fontId="38" fillId="6" borderId="1" xfId="0" applyNumberFormat="1" applyFont="1" applyFill="1" applyBorder="1" applyAlignment="1">
      <alignment horizontal="center" vertical="center" wrapText="1"/>
    </xf>
    <xf numFmtId="178" fontId="61" fillId="5" borderId="1" xfId="0" applyNumberFormat="1" applyFont="1" applyFill="1" applyBorder="1" applyAlignment="1">
      <alignment horizontal="center" vertical="center" wrapText="1"/>
    </xf>
    <xf numFmtId="178" fontId="67" fillId="16" borderId="1" xfId="0" applyNumberFormat="1" applyFont="1" applyFill="1" applyBorder="1" applyAlignment="1">
      <alignment horizontal="center" vertical="center" wrapText="1"/>
    </xf>
    <xf numFmtId="178" fontId="38" fillId="17" borderId="1" xfId="0" applyNumberFormat="1" applyFont="1" applyFill="1" applyBorder="1" applyAlignment="1">
      <alignment horizontal="center" vertical="center" wrapText="1"/>
    </xf>
    <xf numFmtId="178" fontId="37" fillId="17" borderId="1" xfId="0" applyNumberFormat="1" applyFont="1" applyFill="1" applyBorder="1" applyAlignment="1">
      <alignment horizontal="center" vertical="center" wrapText="1"/>
    </xf>
    <xf numFmtId="178" fontId="38" fillId="18" borderId="1" xfId="0" applyNumberFormat="1" applyFont="1" applyFill="1" applyBorder="1" applyAlignment="1">
      <alignment horizontal="center" vertical="center" wrapText="1"/>
    </xf>
    <xf numFmtId="178" fontId="61" fillId="16" borderId="1" xfId="0" applyNumberFormat="1" applyFont="1" applyFill="1" applyBorder="1" applyAlignment="1">
      <alignment horizontal="center" vertical="center" wrapText="1"/>
    </xf>
    <xf numFmtId="14" fontId="25" fillId="7" borderId="1" xfId="0" applyNumberFormat="1" applyFont="1" applyFill="1" applyBorder="1" applyAlignment="1">
      <alignment horizontal="right" vertical="center"/>
    </xf>
    <xf numFmtId="1" fontId="26" fillId="0" borderId="0" xfId="0" applyNumberFormat="1" applyFont="1"/>
    <xf numFmtId="178" fontId="1" fillId="0" borderId="0" xfId="1" applyNumberFormat="1"/>
    <xf numFmtId="178" fontId="0" fillId="0" borderId="0" xfId="0" applyNumberFormat="1"/>
    <xf numFmtId="0" fontId="124" fillId="0" borderId="0" xfId="0" applyFont="1"/>
    <xf numFmtId="1" fontId="124" fillId="0" borderId="0" xfId="0" applyNumberFormat="1" applyFont="1"/>
    <xf numFmtId="178" fontId="108" fillId="0" borderId="0" xfId="0" applyNumberFormat="1" applyFont="1"/>
    <xf numFmtId="1" fontId="108" fillId="0" borderId="0" xfId="0" applyNumberFormat="1" applyFont="1"/>
    <xf numFmtId="14" fontId="108" fillId="0" borderId="0" xfId="0" applyNumberFormat="1" applyFont="1"/>
    <xf numFmtId="0" fontId="74" fillId="0" borderId="12" xfId="0" applyFont="1" applyBorder="1" applyAlignment="1">
      <alignment horizontal="center" vertical="center" wrapText="1"/>
    </xf>
    <xf numFmtId="1" fontId="74" fillId="0" borderId="12" xfId="0" applyNumberFormat="1" applyFont="1" applyBorder="1" applyAlignment="1">
      <alignment horizontal="center" vertical="center" wrapText="1"/>
    </xf>
    <xf numFmtId="178" fontId="74" fillId="0" borderId="12" xfId="0" applyNumberFormat="1" applyFont="1" applyBorder="1" applyAlignment="1">
      <alignment horizontal="center" vertical="center" wrapText="1"/>
    </xf>
    <xf numFmtId="178" fontId="74" fillId="0" borderId="15" xfId="0" applyNumberFormat="1" applyFont="1" applyBorder="1" applyAlignment="1">
      <alignment horizontal="center" vertical="center" wrapText="1"/>
    </xf>
    <xf numFmtId="178" fontId="74" fillId="0" borderId="16" xfId="0" applyNumberFormat="1" applyFont="1" applyBorder="1" applyAlignment="1">
      <alignment horizontal="center" vertical="center" wrapText="1"/>
    </xf>
    <xf numFmtId="178" fontId="74" fillId="0" borderId="18" xfId="0" applyNumberFormat="1" applyFont="1" applyBorder="1" applyAlignment="1">
      <alignment horizontal="center" vertical="center" wrapText="1"/>
    </xf>
    <xf numFmtId="178" fontId="74" fillId="0" borderId="19" xfId="0" applyNumberFormat="1" applyFont="1" applyBorder="1" applyAlignment="1">
      <alignment horizontal="center" vertical="center" wrapText="1"/>
    </xf>
    <xf numFmtId="178" fontId="74" fillId="0" borderId="0" xfId="0" applyNumberFormat="1" applyFont="1" applyAlignment="1">
      <alignment horizontal="center" vertical="center" wrapText="1"/>
    </xf>
    <xf numFmtId="178" fontId="74" fillId="0" borderId="23" xfId="0" applyNumberFormat="1" applyFont="1" applyBorder="1" applyAlignment="1">
      <alignment horizontal="center" vertical="center" wrapText="1"/>
    </xf>
    <xf numFmtId="0" fontId="108" fillId="0" borderId="0" xfId="0" applyFont="1" applyAlignment="1">
      <alignment wrapText="1"/>
    </xf>
    <xf numFmtId="0" fontId="125" fillId="0" borderId="0" xfId="0" applyFont="1" applyAlignment="1">
      <alignment horizontal="left" vertical="center" wrapText="1"/>
    </xf>
    <xf numFmtId="178" fontId="24" fillId="5" borderId="1" xfId="0" applyNumberFormat="1" applyFont="1" applyFill="1" applyBorder="1" applyAlignment="1">
      <alignment horizontal="center" vertical="center" wrapText="1"/>
    </xf>
    <xf numFmtId="178" fontId="13" fillId="6" borderId="1" xfId="0" applyNumberFormat="1" applyFont="1" applyFill="1" applyBorder="1" applyAlignment="1">
      <alignment horizontal="right" vertical="center"/>
    </xf>
    <xf numFmtId="178" fontId="72" fillId="0" borderId="0" xfId="0" applyNumberFormat="1" applyFont="1"/>
    <xf numFmtId="177" fontId="0" fillId="0" borderId="0" xfId="0" applyNumberFormat="1"/>
    <xf numFmtId="177" fontId="108" fillId="0" borderId="0" xfId="0" applyNumberFormat="1" applyFont="1"/>
    <xf numFmtId="0" fontId="0" fillId="15" borderId="0" xfId="0" applyFill="1"/>
    <xf numFmtId="0" fontId="73" fillId="15" borderId="0" xfId="0" applyFont="1" applyFill="1"/>
    <xf numFmtId="183" fontId="0" fillId="0" borderId="0" xfId="0" applyNumberFormat="1"/>
    <xf numFmtId="0" fontId="108" fillId="0" borderId="0" xfId="0" applyFont="1" applyAlignment="1">
      <alignment horizontal="center" vertical="center"/>
    </xf>
    <xf numFmtId="0" fontId="108" fillId="0" borderId="0" xfId="0" applyFont="1" applyAlignment="1">
      <alignment horizontal="center"/>
    </xf>
    <xf numFmtId="0" fontId="129" fillId="0" borderId="0" xfId="0" applyFont="1"/>
    <xf numFmtId="0" fontId="67" fillId="5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71" fillId="0" borderId="1" xfId="0" applyFont="1" applyBorder="1" applyAlignment="1">
      <alignment horizontal="left" vertical="center"/>
    </xf>
    <xf numFmtId="0" fontId="85" fillId="5" borderId="1" xfId="0" applyFont="1" applyFill="1" applyBorder="1" applyAlignment="1">
      <alignment horizontal="left" vertical="center"/>
    </xf>
    <xf numFmtId="0" fontId="86" fillId="5" borderId="1" xfId="0" applyFont="1" applyFill="1" applyBorder="1" applyAlignment="1">
      <alignment horizontal="left" vertical="center"/>
    </xf>
    <xf numFmtId="4" fontId="67" fillId="5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left" vertical="center"/>
    </xf>
    <xf numFmtId="4" fontId="37" fillId="6" borderId="1" xfId="0" applyNumberFormat="1" applyFont="1" applyFill="1" applyBorder="1" applyAlignment="1">
      <alignment horizontal="left" vertical="center"/>
    </xf>
    <xf numFmtId="1" fontId="67" fillId="5" borderId="1" xfId="0" applyNumberFormat="1" applyFont="1" applyFill="1" applyBorder="1" applyAlignment="1">
      <alignment horizontal="left" vertical="center"/>
    </xf>
    <xf numFmtId="176" fontId="37" fillId="6" borderId="1" xfId="0" applyNumberFormat="1" applyFont="1" applyFill="1" applyBorder="1" applyAlignment="1">
      <alignment horizontal="left" vertical="center"/>
    </xf>
    <xf numFmtId="176" fontId="67" fillId="5" borderId="1" xfId="0" applyNumberFormat="1" applyFont="1" applyFill="1" applyBorder="1" applyAlignment="1">
      <alignment horizontal="left" vertical="center"/>
    </xf>
    <xf numFmtId="176" fontId="38" fillId="7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08" fillId="28" borderId="0" xfId="0" applyFont="1" applyFill="1" applyAlignment="1">
      <alignment horizontal="left"/>
    </xf>
    <xf numFmtId="176" fontId="108" fillId="28" borderId="0" xfId="0" applyNumberFormat="1" applyFont="1" applyFill="1" applyAlignment="1">
      <alignment horizontal="left"/>
    </xf>
    <xf numFmtId="0" fontId="15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  <xf numFmtId="0" fontId="109" fillId="0" borderId="0" xfId="0" applyFont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18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/>
    </xf>
    <xf numFmtId="0" fontId="93" fillId="0" borderId="0" xfId="0" applyFont="1" applyAlignment="1">
      <alignment horizontal="center" vertical="center"/>
    </xf>
    <xf numFmtId="0" fontId="94" fillId="0" borderId="0" xfId="0" applyFont="1" applyAlignment="1">
      <alignment horizontal="center" vertical="center" wrapText="1"/>
    </xf>
    <xf numFmtId="0" fontId="93" fillId="0" borderId="0" xfId="0" applyFont="1" applyAlignment="1">
      <alignment horizontal="center" vertical="center" wrapText="1"/>
    </xf>
    <xf numFmtId="0" fontId="93" fillId="0" borderId="0" xfId="0" applyFont="1" applyAlignment="1">
      <alignment vertical="center"/>
    </xf>
    <xf numFmtId="0" fontId="92" fillId="0" borderId="0" xfId="0" applyFont="1" applyAlignment="1">
      <alignment horizontal="center" vertical="center"/>
    </xf>
    <xf numFmtId="0" fontId="102" fillId="0" borderId="0" xfId="0" applyFont="1" applyAlignment="1">
      <alignment horizontal="left" vertical="top"/>
    </xf>
    <xf numFmtId="9" fontId="106" fillId="0" borderId="0" xfId="2" applyFont="1" applyFill="1" applyBorder="1" applyAlignment="1">
      <alignment horizontal="center" vertical="center"/>
    </xf>
    <xf numFmtId="0" fontId="0" fillId="0" borderId="25" xfId="0" applyBorder="1"/>
    <xf numFmtId="183" fontId="130" fillId="0" borderId="25" xfId="0" applyNumberFormat="1" applyFont="1" applyBorder="1" applyAlignment="1">
      <alignment horizontal="center" vertical="center"/>
    </xf>
    <xf numFmtId="183" fontId="130" fillId="0" borderId="25" xfId="0" applyNumberFormat="1" applyFont="1" applyBorder="1" applyAlignment="1">
      <alignment vertical="center"/>
    </xf>
    <xf numFmtId="0" fontId="127" fillId="0" borderId="10" xfId="0" applyFont="1" applyBorder="1" applyAlignment="1">
      <alignment horizontal="center" vertical="center"/>
    </xf>
    <xf numFmtId="14" fontId="127" fillId="0" borderId="10" xfId="0" applyNumberFormat="1" applyFont="1" applyBorder="1" applyAlignment="1">
      <alignment horizontal="center" vertical="center"/>
    </xf>
    <xf numFmtId="178" fontId="127" fillId="0" borderId="10" xfId="0" applyNumberFormat="1" applyFont="1" applyBorder="1" applyAlignment="1">
      <alignment horizontal="center" vertical="center"/>
    </xf>
    <xf numFmtId="0" fontId="128" fillId="0" borderId="10" xfId="0" applyFont="1" applyBorder="1" applyAlignment="1">
      <alignment horizontal="center" vertical="center"/>
    </xf>
    <xf numFmtId="0" fontId="129" fillId="0" borderId="10" xfId="0" applyFont="1" applyBorder="1"/>
    <xf numFmtId="0" fontId="118" fillId="0" borderId="10" xfId="0" applyFont="1" applyBorder="1" applyAlignment="1">
      <alignment horizontal="center" vertical="center" wrapText="1"/>
    </xf>
    <xf numFmtId="41" fontId="92" fillId="0" borderId="26" xfId="1" applyFont="1" applyBorder="1" applyAlignment="1">
      <alignment horizontal="center" vertical="center" wrapText="1"/>
    </xf>
    <xf numFmtId="41" fontId="92" fillId="0" borderId="10" xfId="1" applyFont="1" applyBorder="1" applyAlignment="1">
      <alignment horizontal="center" vertical="center" wrapText="1"/>
    </xf>
    <xf numFmtId="14" fontId="92" fillId="0" borderId="10" xfId="1" applyNumberFormat="1" applyFont="1" applyBorder="1" applyAlignment="1">
      <alignment horizontal="center" vertical="center" wrapText="1"/>
    </xf>
    <xf numFmtId="178" fontId="92" fillId="0" borderId="10" xfId="1" applyNumberFormat="1" applyFont="1" applyBorder="1" applyAlignment="1">
      <alignment horizontal="center" vertical="center" wrapText="1"/>
    </xf>
    <xf numFmtId="178" fontId="91" fillId="0" borderId="10" xfId="1" applyNumberFormat="1" applyFont="1" applyBorder="1" applyAlignment="1">
      <alignment horizontal="center" vertical="center" wrapText="1"/>
    </xf>
    <xf numFmtId="41" fontId="91" fillId="0" borderId="10" xfId="1" applyFont="1" applyBorder="1" applyAlignment="1">
      <alignment horizontal="center" vertical="center" wrapText="1"/>
    </xf>
    <xf numFmtId="41" fontId="0" fillId="0" borderId="10" xfId="1" applyFont="1" applyBorder="1" applyAlignment="1">
      <alignment vertical="center"/>
    </xf>
    <xf numFmtId="0" fontId="92" fillId="0" borderId="26" xfId="0" applyFont="1" applyBorder="1" applyAlignment="1">
      <alignment horizontal="center" vertical="center" wrapText="1"/>
    </xf>
    <xf numFmtId="0" fontId="92" fillId="0" borderId="10" xfId="0" applyFont="1" applyBorder="1" applyAlignment="1">
      <alignment horizontal="center" vertical="center" wrapText="1"/>
    </xf>
    <xf numFmtId="14" fontId="0" fillId="0" borderId="10" xfId="0" applyNumberFormat="1" applyBorder="1" applyAlignment="1">
      <alignment vertical="center"/>
    </xf>
    <xf numFmtId="178" fontId="0" fillId="0" borderId="10" xfId="0" applyNumberFormat="1" applyBorder="1" applyAlignment="1">
      <alignment vertical="center"/>
    </xf>
    <xf numFmtId="0" fontId="93" fillId="0" borderId="10" xfId="0" applyFont="1" applyBorder="1" applyAlignment="1">
      <alignment horizontal="center" vertical="center"/>
    </xf>
    <xf numFmtId="0" fontId="94" fillId="0" borderId="10" xfId="0" applyFont="1" applyBorder="1" applyAlignment="1">
      <alignment horizontal="center" vertical="center" wrapText="1"/>
    </xf>
    <xf numFmtId="0" fontId="93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102" fillId="0" borderId="10" xfId="0" applyFont="1" applyBorder="1" applyAlignment="1">
      <alignment horizontal="center" vertical="top"/>
    </xf>
    <xf numFmtId="0" fontId="0" fillId="0" borderId="10" xfId="0" applyBorder="1" applyAlignment="1">
      <alignment horizontal="center" vertical="center"/>
    </xf>
    <xf numFmtId="0" fontId="104" fillId="0" borderId="10" xfId="0" applyFont="1" applyBorder="1" applyAlignment="1">
      <alignment horizontal="center" vertical="center"/>
    </xf>
    <xf numFmtId="0" fontId="101" fillId="0" borderId="10" xfId="0" applyFont="1" applyBorder="1" applyAlignment="1">
      <alignment horizontal="center" vertical="center"/>
    </xf>
    <xf numFmtId="14" fontId="108" fillId="0" borderId="10" xfId="0" applyNumberFormat="1" applyFont="1" applyBorder="1" applyAlignment="1">
      <alignment vertical="center"/>
    </xf>
    <xf numFmtId="178" fontId="108" fillId="0" borderId="10" xfId="0" applyNumberFormat="1" applyFont="1" applyBorder="1" applyAlignment="1">
      <alignment vertical="center"/>
    </xf>
    <xf numFmtId="0" fontId="91" fillId="0" borderId="26" xfId="0" applyFont="1" applyBorder="1" applyAlignment="1">
      <alignment horizontal="center" vertical="center" wrapText="1"/>
    </xf>
    <xf numFmtId="14" fontId="0" fillId="14" borderId="10" xfId="0" applyNumberFormat="1" applyFill="1" applyBorder="1" applyAlignment="1">
      <alignment vertical="center"/>
    </xf>
    <xf numFmtId="0" fontId="93" fillId="0" borderId="10" xfId="0" applyFont="1" applyBorder="1" applyAlignment="1">
      <alignment vertical="center"/>
    </xf>
    <xf numFmtId="0" fontId="102" fillId="0" borderId="10" xfId="0" applyFont="1" applyBorder="1" applyAlignment="1">
      <alignment vertical="top"/>
    </xf>
    <xf numFmtId="0" fontId="102" fillId="0" borderId="10" xfId="0" applyFont="1" applyBorder="1"/>
    <xf numFmtId="0" fontId="103" fillId="0" borderId="10" xfId="0" applyFont="1" applyBorder="1" applyAlignment="1">
      <alignment horizontal="center" vertical="top" wrapText="1"/>
    </xf>
    <xf numFmtId="0" fontId="93" fillId="0" borderId="9" xfId="0" applyFont="1" applyBorder="1" applyAlignment="1">
      <alignment horizontal="center" vertical="center"/>
    </xf>
    <xf numFmtId="0" fontId="126" fillId="0" borderId="0" xfId="0" applyFont="1" applyAlignment="1">
      <alignment horizontal="left" vertical="center"/>
    </xf>
    <xf numFmtId="0" fontId="108" fillId="0" borderId="27" xfId="0" applyFont="1" applyBorder="1" applyAlignment="1">
      <alignment horizontal="center" vertical="center"/>
    </xf>
    <xf numFmtId="0" fontId="108" fillId="0" borderId="9" xfId="0" applyFont="1" applyBorder="1" applyAlignment="1">
      <alignment horizontal="center" vertical="center"/>
    </xf>
    <xf numFmtId="14" fontId="108" fillId="0" borderId="9" xfId="0" applyNumberFormat="1" applyFont="1" applyBorder="1" applyAlignment="1">
      <alignment horizontal="center" vertical="center"/>
    </xf>
    <xf numFmtId="178" fontId="108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92" fillId="0" borderId="26" xfId="0" applyFont="1" applyBorder="1" applyAlignment="1">
      <alignment horizontal="center" vertical="center"/>
    </xf>
    <xf numFmtId="0" fontId="89" fillId="0" borderId="25" xfId="0" applyFont="1" applyBorder="1" applyAlignment="1">
      <alignment horizontal="center" vertical="center"/>
    </xf>
    <xf numFmtId="0" fontId="131" fillId="0" borderId="10" xfId="0" applyFont="1" applyBorder="1" applyAlignment="1">
      <alignment horizontal="center" vertical="center"/>
    </xf>
    <xf numFmtId="0" fontId="110" fillId="0" borderId="0" xfId="0" applyFont="1"/>
    <xf numFmtId="0" fontId="120" fillId="0" borderId="0" xfId="0" applyFont="1"/>
    <xf numFmtId="0" fontId="132" fillId="0" borderId="0" xfId="0" applyFont="1"/>
    <xf numFmtId="0" fontId="108" fillId="30" borderId="0" xfId="0" applyFont="1" applyFill="1" applyAlignment="1">
      <alignment horizontal="center"/>
    </xf>
    <xf numFmtId="0" fontId="133" fillId="0" borderId="0" xfId="0" applyFont="1" applyAlignment="1">
      <alignment horizontal="center"/>
    </xf>
    <xf numFmtId="0" fontId="135" fillId="0" borderId="0" xfId="0" applyFont="1"/>
    <xf numFmtId="0" fontId="133" fillId="30" borderId="0" xfId="0" applyFont="1" applyFill="1" applyAlignment="1">
      <alignment horizontal="center"/>
    </xf>
    <xf numFmtId="14" fontId="74" fillId="24" borderId="1" xfId="0" applyNumberFormat="1" applyFont="1" applyFill="1" applyBorder="1" applyAlignment="1">
      <alignment horizontal="center" vertical="center" wrapText="1"/>
    </xf>
    <xf numFmtId="14" fontId="74" fillId="21" borderId="1" xfId="0" applyNumberFormat="1" applyFont="1" applyFill="1" applyBorder="1" applyAlignment="1">
      <alignment horizontal="center" vertical="center" wrapText="1"/>
    </xf>
    <xf numFmtId="14" fontId="74" fillId="27" borderId="1" xfId="0" applyNumberFormat="1" applyFont="1" applyFill="1" applyBorder="1" applyAlignment="1">
      <alignment horizontal="center" vertical="center" wrapText="1"/>
    </xf>
    <xf numFmtId="14" fontId="75" fillId="6" borderId="1" xfId="0" applyNumberFormat="1" applyFont="1" applyFill="1" applyBorder="1" applyAlignment="1">
      <alignment horizontal="center" vertical="center" wrapText="1"/>
    </xf>
    <xf numFmtId="0" fontId="133" fillId="31" borderId="0" xfId="0" applyFont="1" applyFill="1" applyAlignment="1">
      <alignment horizontal="center"/>
    </xf>
    <xf numFmtId="0" fontId="127" fillId="29" borderId="10" xfId="0" applyFont="1" applyFill="1" applyBorder="1" applyAlignment="1">
      <alignment horizontal="center" vertical="center"/>
    </xf>
    <xf numFmtId="0" fontId="118" fillId="29" borderId="10" xfId="0" applyFont="1" applyFill="1" applyBorder="1" applyAlignment="1">
      <alignment horizontal="center" vertical="center" wrapText="1"/>
    </xf>
    <xf numFmtId="41" fontId="91" fillId="29" borderId="10" xfId="1" applyFont="1" applyFill="1" applyBorder="1" applyAlignment="1">
      <alignment horizontal="center" vertical="center" wrapText="1"/>
    </xf>
    <xf numFmtId="0" fontId="93" fillId="29" borderId="10" xfId="0" applyFont="1" applyFill="1" applyBorder="1" applyAlignment="1">
      <alignment horizontal="center" vertical="center"/>
    </xf>
    <xf numFmtId="0" fontId="102" fillId="29" borderId="10" xfId="0" applyFont="1" applyFill="1" applyBorder="1" applyAlignment="1">
      <alignment horizontal="center" vertical="top"/>
    </xf>
    <xf numFmtId="0" fontId="0" fillId="29" borderId="10" xfId="0" applyFill="1" applyBorder="1" applyAlignment="1">
      <alignment horizontal="center" vertical="center"/>
    </xf>
    <xf numFmtId="0" fontId="0" fillId="29" borderId="10" xfId="0" applyFill="1" applyBorder="1" applyAlignment="1">
      <alignment vertical="center"/>
    </xf>
    <xf numFmtId="0" fontId="0" fillId="29" borderId="9" xfId="0" applyFill="1" applyBorder="1" applyAlignment="1">
      <alignment horizontal="center" vertical="center"/>
    </xf>
    <xf numFmtId="0" fontId="93" fillId="29" borderId="10" xfId="0" applyFont="1" applyFill="1" applyBorder="1" applyAlignment="1">
      <alignment vertical="center"/>
    </xf>
    <xf numFmtId="178" fontId="0" fillId="22" borderId="0" xfId="0" applyNumberFormat="1" applyFill="1"/>
    <xf numFmtId="178" fontId="89" fillId="22" borderId="0" xfId="0" applyNumberFormat="1" applyFont="1" applyFill="1"/>
    <xf numFmtId="178" fontId="0" fillId="19" borderId="0" xfId="0" applyNumberFormat="1" applyFill="1"/>
    <xf numFmtId="178" fontId="89" fillId="19" borderId="0" xfId="0" applyNumberFormat="1" applyFont="1" applyFill="1"/>
    <xf numFmtId="178" fontId="74" fillId="24" borderId="1" xfId="0" applyNumberFormat="1" applyFont="1" applyFill="1" applyBorder="1" applyAlignment="1">
      <alignment horizontal="center" vertical="center" wrapText="1"/>
    </xf>
    <xf numFmtId="178" fontId="74" fillId="21" borderId="1" xfId="0" applyNumberFormat="1" applyFont="1" applyFill="1" applyBorder="1" applyAlignment="1">
      <alignment horizontal="center" vertical="center" wrapText="1"/>
    </xf>
    <xf numFmtId="178" fontId="74" fillId="27" borderId="1" xfId="0" applyNumberFormat="1" applyFont="1" applyFill="1" applyBorder="1" applyAlignment="1">
      <alignment horizontal="center" vertical="center" wrapText="1"/>
    </xf>
    <xf numFmtId="176" fontId="0" fillId="0" borderId="0" xfId="0" applyNumberFormat="1"/>
    <xf numFmtId="176" fontId="108" fillId="0" borderId="0" xfId="0" applyNumberFormat="1" applyFont="1"/>
    <xf numFmtId="184" fontId="0" fillId="0" borderId="0" xfId="0" applyNumberFormat="1"/>
    <xf numFmtId="184" fontId="108" fillId="0" borderId="0" xfId="0" applyNumberFormat="1" applyFont="1"/>
    <xf numFmtId="0" fontId="137" fillId="0" borderId="0" xfId="0" applyFont="1"/>
    <xf numFmtId="0" fontId="137" fillId="15" borderId="0" xfId="0" applyFont="1" applyFill="1"/>
    <xf numFmtId="2" fontId="137" fillId="15" borderId="0" xfId="0" applyNumberFormat="1" applyFont="1" applyFill="1"/>
    <xf numFmtId="0" fontId="139" fillId="0" borderId="0" xfId="0" applyFont="1"/>
    <xf numFmtId="3" fontId="0" fillId="0" borderId="0" xfId="0" applyNumberFormat="1"/>
    <xf numFmtId="182" fontId="120" fillId="0" borderId="0" xfId="0" applyNumberFormat="1" applyFont="1"/>
    <xf numFmtId="178" fontId="67" fillId="15" borderId="1" xfId="0" applyNumberFormat="1" applyFont="1" applyFill="1" applyBorder="1" applyAlignment="1">
      <alignment horizontal="center" vertical="center" wrapText="1"/>
    </xf>
    <xf numFmtId="183" fontId="130" fillId="0" borderId="28" xfId="0" applyNumberFormat="1" applyFont="1" applyBorder="1" applyAlignment="1">
      <alignment vertical="center"/>
    </xf>
    <xf numFmtId="0" fontId="129" fillId="0" borderId="21" xfId="0" applyFont="1" applyBorder="1"/>
    <xf numFmtId="41" fontId="0" fillId="0" borderId="21" xfId="1" applyFon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9" xfId="0" applyBorder="1" applyAlignment="1">
      <alignment horizontal="center" vertical="center"/>
    </xf>
    <xf numFmtId="183" fontId="130" fillId="0" borderId="30" xfId="0" applyNumberFormat="1" applyFont="1" applyBorder="1" applyAlignment="1">
      <alignment vertical="center"/>
    </xf>
    <xf numFmtId="0" fontId="129" fillId="0" borderId="31" xfId="0" applyFont="1" applyBorder="1"/>
    <xf numFmtId="41" fontId="0" fillId="0" borderId="31" xfId="1" applyFont="1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horizontal="center" vertical="center"/>
    </xf>
    <xf numFmtId="0" fontId="67" fillId="16" borderId="1" xfId="0" applyFont="1" applyFill="1" applyBorder="1" applyAlignment="1">
      <alignment vertical="center"/>
    </xf>
    <xf numFmtId="0" fontId="67" fillId="16" borderId="1" xfId="0" applyFont="1" applyFill="1" applyBorder="1" applyAlignment="1">
      <alignment horizontal="center" vertical="center" wrapText="1"/>
    </xf>
    <xf numFmtId="4" fontId="67" fillId="16" borderId="1" xfId="0" applyNumberFormat="1" applyFont="1" applyFill="1" applyBorder="1" applyAlignment="1">
      <alignment horizontal="right" vertical="center"/>
    </xf>
    <xf numFmtId="4" fontId="37" fillId="17" borderId="1" xfId="0" applyNumberFormat="1" applyFont="1" applyFill="1" applyBorder="1" applyAlignment="1">
      <alignment horizontal="right" vertical="center"/>
    </xf>
    <xf numFmtId="176" fontId="67" fillId="16" borderId="1" xfId="0" applyNumberFormat="1" applyFont="1" applyFill="1" applyBorder="1" applyAlignment="1">
      <alignment horizontal="center" vertical="center" wrapText="1"/>
    </xf>
    <xf numFmtId="0" fontId="67" fillId="15" borderId="1" xfId="0" applyFont="1" applyFill="1" applyBorder="1" applyAlignment="1">
      <alignment horizontal="left" vertical="center"/>
    </xf>
    <xf numFmtId="0" fontId="141" fillId="0" borderId="0" xfId="0" applyFont="1" applyAlignment="1">
      <alignment horizontal="center" vertical="center" wrapText="1"/>
    </xf>
    <xf numFmtId="0" fontId="13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 wrapText="1"/>
    </xf>
    <xf numFmtId="0" fontId="134" fillId="0" borderId="0" xfId="0" applyFont="1" applyAlignment="1">
      <alignment horizontal="center" vertical="center" wrapText="1"/>
    </xf>
    <xf numFmtId="0" fontId="135" fillId="30" borderId="0" xfId="0" applyFont="1" applyFill="1" applyAlignment="1">
      <alignment horizontal="center" vertical="center" wrapText="1"/>
    </xf>
    <xf numFmtId="3" fontId="108" fillId="0" borderId="0" xfId="0" applyNumberFormat="1" applyFont="1"/>
    <xf numFmtId="1" fontId="108" fillId="15" borderId="0" xfId="0" applyNumberFormat="1" applyFont="1" applyFill="1"/>
    <xf numFmtId="0" fontId="143" fillId="0" borderId="0" xfId="0" applyFont="1" applyAlignment="1">
      <alignment horizontal="center" vertical="center" wrapText="1"/>
    </xf>
    <xf numFmtId="0" fontId="144" fillId="0" borderId="0" xfId="0" applyFont="1"/>
    <xf numFmtId="185" fontId="0" fillId="0" borderId="0" xfId="0" applyNumberFormat="1"/>
    <xf numFmtId="2" fontId="79" fillId="15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center"/>
    </xf>
    <xf numFmtId="0" fontId="37" fillId="4" borderId="1" xfId="0" applyFont="1" applyFill="1" applyBorder="1" applyAlignment="1">
      <alignment horizontal="center"/>
    </xf>
    <xf numFmtId="178" fontId="64" fillId="15" borderId="1" xfId="0" applyNumberFormat="1" applyFont="1" applyFill="1" applyBorder="1" applyAlignment="1">
      <alignment horizontal="center" vertical="center" wrapText="1"/>
    </xf>
    <xf numFmtId="0" fontId="146" fillId="29" borderId="0" xfId="0" applyFont="1" applyFill="1"/>
    <xf numFmtId="0" fontId="147" fillId="29" borderId="0" xfId="0" applyFont="1" applyFill="1"/>
    <xf numFmtId="0" fontId="133" fillId="30" borderId="0" xfId="0" applyFont="1" applyFill="1" applyAlignment="1">
      <alignment horizontal="center" wrapText="1"/>
    </xf>
    <xf numFmtId="0" fontId="143" fillId="0" borderId="0" xfId="0" applyFont="1" applyAlignment="1">
      <alignment wrapText="1"/>
    </xf>
    <xf numFmtId="41" fontId="0" fillId="0" borderId="0" xfId="1" applyFont="1" applyBorder="1" applyAlignment="1">
      <alignment vertical="center"/>
    </xf>
    <xf numFmtId="186" fontId="0" fillId="0" borderId="0" xfId="0" applyNumberFormat="1"/>
    <xf numFmtId="9" fontId="137" fillId="15" borderId="0" xfId="0" applyNumberFormat="1" applyFont="1" applyFill="1"/>
    <xf numFmtId="182" fontId="139" fillId="0" borderId="0" xfId="0" applyNumberFormat="1" applyFont="1"/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10" fillId="4" borderId="22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3" fontId="23" fillId="5" borderId="22" xfId="0" applyNumberFormat="1" applyFont="1" applyFill="1" applyBorder="1" applyAlignment="1">
      <alignment horizontal="center" vertical="center"/>
    </xf>
    <xf numFmtId="3" fontId="23" fillId="5" borderId="23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3" fillId="4" borderId="22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 wrapText="1"/>
    </xf>
    <xf numFmtId="0" fontId="119" fillId="19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50" fillId="12" borderId="2" xfId="0" applyFont="1" applyFill="1" applyBorder="1" applyAlignment="1">
      <alignment horizontal="right" vertical="center"/>
    </xf>
    <xf numFmtId="0" fontId="52" fillId="6" borderId="1" xfId="0" applyFont="1" applyFill="1" applyBorder="1" applyAlignment="1">
      <alignment horizontal="left" vertical="center" wrapText="1"/>
    </xf>
    <xf numFmtId="0" fontId="52" fillId="5" borderId="1" xfId="0" applyFont="1" applyFill="1" applyBorder="1" applyAlignment="1">
      <alignment horizontal="left" vertical="center" wrapText="1"/>
    </xf>
    <xf numFmtId="0" fontId="54" fillId="0" borderId="1" xfId="0" applyFont="1" applyBorder="1" applyAlignment="1">
      <alignment horizontal="left" vertical="center" wrapText="1"/>
    </xf>
    <xf numFmtId="0" fontId="42" fillId="0" borderId="1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56" fillId="9" borderId="2" xfId="0" applyFont="1" applyFill="1" applyBorder="1" applyAlignment="1">
      <alignment horizontal="center" vertical="center" wrapText="1"/>
    </xf>
    <xf numFmtId="0" fontId="53" fillId="0" borderId="1" xfId="0" applyFont="1" applyBorder="1" applyAlignment="1">
      <alignment horizontal="left" vertical="center" wrapText="1"/>
    </xf>
    <xf numFmtId="0" fontId="43" fillId="2" borderId="0" xfId="0" applyFont="1" applyFill="1" applyAlignment="1">
      <alignment horizontal="left" vertical="center"/>
    </xf>
    <xf numFmtId="0" fontId="50" fillId="3" borderId="2" xfId="0" applyFont="1" applyFill="1" applyBorder="1" applyAlignment="1">
      <alignment horizontal="center" vertical="center" wrapText="1"/>
    </xf>
    <xf numFmtId="0" fontId="67" fillId="5" borderId="11" xfId="0" applyFont="1" applyFill="1" applyBorder="1" applyAlignment="1">
      <alignment horizontal="center" vertical="center" wrapText="1"/>
    </xf>
    <xf numFmtId="0" fontId="67" fillId="5" borderId="13" xfId="0" applyFont="1" applyFill="1" applyBorder="1" applyAlignment="1">
      <alignment horizontal="center" vertical="center" wrapText="1"/>
    </xf>
    <xf numFmtId="0" fontId="36" fillId="12" borderId="2" xfId="0" applyFont="1" applyFill="1" applyBorder="1" applyAlignment="1">
      <alignment horizontal="right" vertical="center"/>
    </xf>
    <xf numFmtId="0" fontId="85" fillId="5" borderId="11" xfId="0" applyFont="1" applyFill="1" applyBorder="1" applyAlignment="1">
      <alignment horizontal="center" vertical="center" wrapText="1"/>
    </xf>
    <xf numFmtId="0" fontId="85" fillId="5" borderId="12" xfId="0" applyFont="1" applyFill="1" applyBorder="1" applyAlignment="1">
      <alignment horizontal="center" vertical="center" wrapText="1"/>
    </xf>
    <xf numFmtId="0" fontId="85" fillId="5" borderId="13" xfId="0" applyFont="1" applyFill="1" applyBorder="1" applyAlignment="1">
      <alignment horizontal="center" vertical="center" wrapText="1"/>
    </xf>
    <xf numFmtId="0" fontId="67" fillId="5" borderId="12" xfId="0" applyFont="1" applyFill="1" applyBorder="1" applyAlignment="1">
      <alignment horizontal="center" vertical="center" wrapText="1"/>
    </xf>
    <xf numFmtId="0" fontId="86" fillId="5" borderId="11" xfId="0" applyFont="1" applyFill="1" applyBorder="1" applyAlignment="1">
      <alignment horizontal="center" vertical="center" wrapText="1"/>
    </xf>
    <xf numFmtId="0" fontId="86" fillId="5" borderId="13" xfId="0" applyFont="1" applyFill="1" applyBorder="1" applyAlignment="1">
      <alignment horizontal="center" vertical="center" wrapText="1"/>
    </xf>
    <xf numFmtId="0" fontId="120" fillId="0" borderId="0" xfId="0" applyFont="1" applyAlignment="1">
      <alignment vertical="top" wrapText="1"/>
    </xf>
    <xf numFmtId="0" fontId="120" fillId="0" borderId="0" xfId="0" applyFont="1" applyAlignment="1">
      <alignment horizontal="left" vertical="top"/>
    </xf>
    <xf numFmtId="0" fontId="89" fillId="0" borderId="24" xfId="0" applyFont="1" applyBorder="1" applyAlignment="1">
      <alignment horizontal="center" vertical="center"/>
    </xf>
    <xf numFmtId="0" fontId="89" fillId="0" borderId="25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 wrapText="1"/>
    </xf>
    <xf numFmtId="0" fontId="36" fillId="9" borderId="2" xfId="0" applyFont="1" applyFill="1" applyBorder="1" applyAlignment="1">
      <alignment horizontal="center" vertical="center" wrapText="1"/>
    </xf>
    <xf numFmtId="0" fontId="44" fillId="2" borderId="0" xfId="0" applyFont="1" applyFill="1" applyAlignment="1">
      <alignment horizontal="left" vertical="center"/>
    </xf>
    <xf numFmtId="0" fontId="151" fillId="33" borderId="0" xfId="0" applyFont="1" applyFill="1"/>
    <xf numFmtId="0" fontId="151" fillId="33" borderId="0" xfId="0" applyFont="1" applyFill="1" applyAlignment="1">
      <alignment vertical="center"/>
    </xf>
    <xf numFmtId="0" fontId="0" fillId="0" borderId="33" xfId="0" applyBorder="1"/>
    <xf numFmtId="176" fontId="0" fillId="0" borderId="33" xfId="0" applyNumberFormat="1" applyBorder="1"/>
    <xf numFmtId="187" fontId="0" fillId="0" borderId="33" xfId="0" applyNumberFormat="1" applyBorder="1" applyAlignment="1">
      <alignment horizontal="center"/>
    </xf>
    <xf numFmtId="3" fontId="0" fillId="0" borderId="33" xfId="0" applyNumberFormat="1" applyBorder="1"/>
    <xf numFmtId="178" fontId="0" fillId="0" borderId="33" xfId="0" applyNumberFormat="1" applyBorder="1"/>
    <xf numFmtId="14" fontId="0" fillId="0" borderId="33" xfId="0" applyNumberFormat="1" applyBorder="1" applyAlignment="1">
      <alignment horizontal="center"/>
    </xf>
    <xf numFmtId="0" fontId="108" fillId="32" borderId="33" xfId="0" applyFont="1" applyFill="1" applyBorder="1" applyAlignment="1">
      <alignment horizontal="center" vertical="center" wrapText="1"/>
    </xf>
    <xf numFmtId="0" fontId="108" fillId="28" borderId="33" xfId="0" applyFont="1" applyFill="1" applyBorder="1"/>
    <xf numFmtId="176" fontId="108" fillId="28" borderId="33" xfId="0" applyNumberFormat="1" applyFont="1" applyFill="1" applyBorder="1"/>
    <xf numFmtId="187" fontId="108" fillId="28" borderId="33" xfId="0" applyNumberFormat="1" applyFont="1" applyFill="1" applyBorder="1" applyAlignment="1">
      <alignment horizontal="center"/>
    </xf>
    <xf numFmtId="3" fontId="108" fillId="28" borderId="33" xfId="0" applyNumberFormat="1" applyFont="1" applyFill="1" applyBorder="1"/>
    <xf numFmtId="178" fontId="108" fillId="28" borderId="33" xfId="0" applyNumberFormat="1" applyFont="1" applyFill="1" applyBorder="1"/>
    <xf numFmtId="14" fontId="108" fillId="28" borderId="33" xfId="0" applyNumberFormat="1" applyFont="1" applyFill="1" applyBorder="1" applyAlignment="1">
      <alignment horizontal="center"/>
    </xf>
    <xf numFmtId="0" fontId="10" fillId="30" borderId="1" xfId="0" applyFont="1" applyFill="1" applyBorder="1" applyAlignment="1">
      <alignment horizontal="center" vertical="center" wrapText="1"/>
    </xf>
    <xf numFmtId="0" fontId="11" fillId="30" borderId="1" xfId="0" applyFont="1" applyFill="1" applyBorder="1" applyAlignment="1">
      <alignment horizontal="left" vertical="center" wrapText="1"/>
    </xf>
    <xf numFmtId="176" fontId="27" fillId="7" borderId="1" xfId="0" applyNumberFormat="1" applyFont="1" applyFill="1" applyBorder="1" applyAlignment="1">
      <alignment horizontal="right" vertical="center"/>
    </xf>
    <xf numFmtId="0" fontId="142" fillId="4" borderId="1" xfId="0" applyFont="1" applyFill="1" applyBorder="1" applyAlignment="1">
      <alignment horizontal="left" vertical="center"/>
    </xf>
    <xf numFmtId="0" fontId="145" fillId="4" borderId="0" xfId="0" applyFont="1" applyFill="1" applyAlignment="1">
      <alignment horizontal="left" vertical="center"/>
    </xf>
    <xf numFmtId="0" fontId="135" fillId="32" borderId="33" xfId="0" applyFont="1" applyFill="1" applyBorder="1" applyAlignment="1">
      <alignment horizontal="center" vertical="center" wrapText="1"/>
    </xf>
    <xf numFmtId="188" fontId="0" fillId="0" borderId="33" xfId="0" applyNumberFormat="1" applyBorder="1"/>
    <xf numFmtId="188" fontId="108" fillId="28" borderId="33" xfId="0" applyNumberFormat="1" applyFont="1" applyFill="1" applyBorder="1"/>
    <xf numFmtId="0" fontId="110" fillId="0" borderId="0" xfId="0" applyFont="1" applyAlignment="1"/>
    <xf numFmtId="0" fontId="0" fillId="0" borderId="0" xfId="0" applyAlignment="1"/>
    <xf numFmtId="0" fontId="108" fillId="32" borderId="33" xfId="0" applyFont="1" applyFill="1" applyBorder="1" applyAlignment="1"/>
    <xf numFmtId="0" fontId="0" fillId="0" borderId="33" xfId="0" applyBorder="1" applyAlignment="1"/>
    <xf numFmtId="0" fontId="120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top" wrapText="1"/>
    </xf>
    <xf numFmtId="0" fontId="120" fillId="0" borderId="0" xfId="0" applyFont="1" applyAlignment="1">
      <alignment wrapText="1"/>
    </xf>
    <xf numFmtId="0" fontId="120" fillId="0" borderId="0" xfId="0" applyFont="1" applyAlignment="1">
      <alignment horizontal="left" vertical="top" wrapText="1"/>
    </xf>
    <xf numFmtId="0" fontId="71" fillId="4" borderId="22" xfId="0" applyFont="1" applyFill="1" applyBorder="1" applyAlignment="1">
      <alignment horizontal="left" vertical="top" wrapText="1"/>
    </xf>
    <xf numFmtId="0" fontId="71" fillId="4" borderId="0" xfId="0" applyFont="1" applyFill="1" applyBorder="1" applyAlignment="1">
      <alignment horizontal="left" vertical="top" wrapText="1"/>
    </xf>
    <xf numFmtId="0" fontId="152" fillId="0" borderId="0" xfId="0" applyFont="1" applyAlignment="1">
      <alignment horizontal="left" vertical="top" wrapText="1"/>
    </xf>
    <xf numFmtId="0" fontId="120" fillId="0" borderId="3" xfId="0" applyFont="1" applyBorder="1" applyAlignment="1">
      <alignment horizontal="left" vertical="top" wrapText="1"/>
    </xf>
    <xf numFmtId="0" fontId="120" fillId="0" borderId="0" xfId="0" applyFont="1" applyAlignment="1">
      <alignment wrapText="1"/>
    </xf>
    <xf numFmtId="3" fontId="25" fillId="7" borderId="1" xfId="0" applyNumberFormat="1" applyFont="1" applyFill="1" applyBorder="1" applyAlignment="1">
      <alignment horizontal="center" vertical="center"/>
    </xf>
    <xf numFmtId="177" fontId="25" fillId="7" borderId="1" xfId="0" applyNumberFormat="1" applyFont="1" applyFill="1" applyBorder="1" applyAlignment="1">
      <alignment horizontal="center" vertical="center"/>
    </xf>
    <xf numFmtId="0" fontId="124" fillId="0" borderId="0" xfId="0" applyFont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3" fontId="40" fillId="7" borderId="1" xfId="0" applyNumberFormat="1" applyFont="1" applyFill="1" applyBorder="1" applyAlignment="1">
      <alignment horizontal="center" vertical="center" wrapText="1"/>
    </xf>
    <xf numFmtId="0" fontId="133" fillId="0" borderId="0" xfId="0" applyFont="1" applyAlignment="1">
      <alignment horizontal="center" vertical="center" wrapText="1"/>
    </xf>
    <xf numFmtId="0" fontId="153" fillId="0" borderId="0" xfId="0" applyFont="1"/>
    <xf numFmtId="0" fontId="71" fillId="4" borderId="0" xfId="0" applyFont="1" applyFill="1" applyBorder="1" applyAlignment="1">
      <alignment horizontal="left" vertical="top" wrapText="1"/>
    </xf>
    <xf numFmtId="0" fontId="120" fillId="0" borderId="0" xfId="0" applyFont="1" applyAlignment="1">
      <alignment horizontal="left" vertical="top" wrapText="1"/>
    </xf>
    <xf numFmtId="0" fontId="152" fillId="0" borderId="0" xfId="0" applyFont="1" applyAlignment="1">
      <alignment horizontal="left" vertical="top" wrapText="1"/>
    </xf>
  </cellXfs>
  <cellStyles count="3">
    <cellStyle name="백분율" xfId="2" builtinId="5"/>
    <cellStyle name="쉼표 [0]" xfId="1" builtinId="6"/>
    <cellStyle name="표준" xfId="0" builtinId="0"/>
  </cellStyles>
  <dxfs count="2">
    <dxf>
      <font>
        <color rgb="FFFFFF00"/>
      </font>
      <fill>
        <patternFill patternType="solid">
          <fgColor indexed="64"/>
          <bgColor rgb="FFFFFF00"/>
        </patternFill>
      </fill>
    </dxf>
    <dxf>
      <font>
        <b/>
        <i val="0"/>
        <color rgb="FF404040"/>
      </font>
      <fill>
        <patternFill patternType="solid">
          <fgColor indexed="64"/>
          <bgColor rgb="FFBFBFB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8EAADB"/>
      <rgbColor rgb="FF993366"/>
      <rgbColor rgb="FFFFF2CC"/>
      <rgbColor rgb="FFDDEBF7"/>
      <rgbColor rgb="FF660066"/>
      <rgbColor rgb="FFFF8080"/>
      <rgbColor rgb="FF2E549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E2EFDA"/>
      <rgbColor rgb="FFEDEDED"/>
      <rgbColor rgb="FFD9E1F2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05496"/>
      <rgbColor rgb="FF1F4E7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024344204041204E-4"/>
          <c:y val="7.8720853140435924E-3"/>
          <c:w val="0.99178574933493313"/>
          <c:h val="0.97932821395606928"/>
        </c:manualLayout>
      </c:layout>
      <c:lineChart>
        <c:grouping val="standard"/>
        <c:varyColors val="0"/>
        <c:ser>
          <c:idx val="1"/>
          <c:order val="0"/>
          <c:spPr>
            <a:ln w="25400">
              <a:solidFill>
                <a:schemeClr val="bg1">
                  <a:lumMod val="75000"/>
                </a:schemeClr>
              </a:solidFill>
              <a:prstDash val="sysDash"/>
            </a:ln>
          </c:spPr>
          <c:marker>
            <c:symbol val="circle"/>
            <c:size val="8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bg1">
                    <a:lumMod val="75000"/>
                  </a:schemeClr>
                </a:solidFill>
              </a:ln>
            </c:spPr>
          </c:marker>
          <c:val>
            <c:numRef>
              <c:f>[1]Gantt_Chart_Schedule!$F$56:$AN$56</c:f>
              <c:numCache>
                <c:formatCode>General</c:formatCode>
                <c:ptCount val="3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F0-48D4-A2E0-64E156C97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972608"/>
        <c:axId val="1"/>
      </c:lineChart>
      <c:catAx>
        <c:axId val="1584972608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ln w="9525">
            <a:noFill/>
          </a:ln>
        </c:sp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  <c:max val="100"/>
        </c:scaling>
        <c:delete val="1"/>
        <c:axPos val="l"/>
        <c:numFmt formatCode="General" sourceLinked="1"/>
        <c:majorTickMark val="out"/>
        <c:minorTickMark val="none"/>
        <c:tickLblPos val="nextTo"/>
        <c:crossAx val="1584972608"/>
        <c:crosses val="autoZero"/>
        <c:crossBetween val="between"/>
        <c:maj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95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0022" r="0.75000000000000022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8</xdr:col>
      <xdr:colOff>355576</xdr:colOff>
      <xdr:row>39</xdr:row>
      <xdr:rowOff>190556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799D558-A631-46EF-B417-A8D24E66E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783" y="2112065"/>
          <a:ext cx="7735380" cy="33627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9</xdr:col>
      <xdr:colOff>39195</xdr:colOff>
      <xdr:row>48</xdr:row>
      <xdr:rowOff>86383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76AB521-93CE-4D51-8ACE-555FC9A42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2305050"/>
          <a:ext cx="7849695" cy="471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146276</xdr:rowOff>
    </xdr:from>
    <xdr:to>
      <xdr:col>33</xdr:col>
      <xdr:colOff>0</xdr:colOff>
      <xdr:row>5</xdr:row>
      <xdr:rowOff>146276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A414BB75-DE31-42CC-A7DB-F9CA83A6009C}"/>
            </a:ext>
          </a:extLst>
        </xdr:cNvPr>
        <xdr:cNvCxnSpPr/>
      </xdr:nvCxnSpPr>
      <xdr:spPr>
        <a:xfrm>
          <a:off x="5492750" y="1035276"/>
          <a:ext cx="17859375" cy="0"/>
        </a:xfrm>
        <a:prstGeom prst="straightConnector1">
          <a:avLst/>
        </a:prstGeom>
        <a:ln w="38100">
          <a:solidFill>
            <a:srgbClr val="FF0000"/>
          </a:solidFill>
          <a:headEnd type="oval" w="med" len="med"/>
          <a:tailEnd type="oval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76</xdr:col>
      <xdr:colOff>285750</xdr:colOff>
      <xdr:row>9</xdr:row>
      <xdr:rowOff>5556</xdr:rowOff>
    </xdr:from>
    <xdr:to>
      <xdr:col>95</xdr:col>
      <xdr:colOff>508001</xdr:colOff>
      <xdr:row>81</xdr:row>
      <xdr:rowOff>35720</xdr:rowOff>
    </xdr:to>
    <xdr:graphicFrame macro="">
      <xdr:nvGraphicFramePr>
        <xdr:cNvPr id="105" name="Chart 152">
          <a:extLst>
            <a:ext uri="{FF2B5EF4-FFF2-40B4-BE49-F238E27FC236}">
              <a16:creationId xmlns:a16="http://schemas.microsoft.com/office/drawing/2014/main" id="{B05BF69A-8940-4CE0-8936-757FE1599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9525</xdr:colOff>
      <xdr:row>34</xdr:row>
      <xdr:rowOff>144008</xdr:rowOff>
    </xdr:from>
    <xdr:to>
      <xdr:col>49</xdr:col>
      <xdr:colOff>15875</xdr:colOff>
      <xdr:row>34</xdr:row>
      <xdr:rowOff>144008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5D5B10DC-66B5-4B0C-BB89-8F910C8C9643}"/>
            </a:ext>
          </a:extLst>
        </xdr:cNvPr>
        <xdr:cNvCxnSpPr/>
      </xdr:nvCxnSpPr>
      <xdr:spPr>
        <a:xfrm>
          <a:off x="9788525" y="9780133"/>
          <a:ext cx="25009475" cy="0"/>
        </a:xfrm>
        <a:prstGeom prst="straightConnector1">
          <a:avLst/>
        </a:prstGeom>
        <a:ln w="38100">
          <a:solidFill>
            <a:srgbClr val="0000FF"/>
          </a:solidFill>
          <a:headEnd type="oval" w="med" len="med"/>
          <a:tailEnd type="oval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77</xdr:col>
      <xdr:colOff>25400</xdr:colOff>
      <xdr:row>23</xdr:row>
      <xdr:rowOff>137037</xdr:rowOff>
    </xdr:from>
    <xdr:to>
      <xdr:col>77</xdr:col>
      <xdr:colOff>25400</xdr:colOff>
      <xdr:row>26</xdr:row>
      <xdr:rowOff>216460</xdr:rowOff>
    </xdr:to>
    <xdr:cxnSp macro="">
      <xdr:nvCxnSpPr>
        <xdr:cNvPr id="33" name="직선 연결선 32">
          <a:extLst>
            <a:ext uri="{FF2B5EF4-FFF2-40B4-BE49-F238E27FC236}">
              <a16:creationId xmlns:a16="http://schemas.microsoft.com/office/drawing/2014/main" id="{FBEADC05-9E28-D0F1-11AE-4D5BDBB18138}"/>
            </a:ext>
          </a:extLst>
        </xdr:cNvPr>
        <xdr:cNvCxnSpPr/>
      </xdr:nvCxnSpPr>
      <xdr:spPr>
        <a:xfrm>
          <a:off x="53809900" y="6455287"/>
          <a:ext cx="0" cy="984298"/>
        </a:xfrm>
        <a:prstGeom prst="line">
          <a:avLst/>
        </a:prstGeom>
        <a:ln w="22225" cap="flat" cmpd="sng" algn="ctr">
          <a:solidFill>
            <a:srgbClr val="0000FF"/>
          </a:solidFill>
          <a:prstDash val="sysDash"/>
          <a:round/>
          <a:headEnd type="none" w="med" len="med"/>
          <a:tailEnd type="stealth" w="med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69</xdr:col>
      <xdr:colOff>520700</xdr:colOff>
      <xdr:row>33</xdr:row>
      <xdr:rowOff>144008</xdr:rowOff>
    </xdr:from>
    <xdr:to>
      <xdr:col>76</xdr:col>
      <xdr:colOff>522968</xdr:colOff>
      <xdr:row>33</xdr:row>
      <xdr:rowOff>144008</xdr:rowOff>
    </xdr:to>
    <xdr:cxnSp macro="">
      <xdr:nvCxnSpPr>
        <xdr:cNvPr id="45" name="직선 화살표 연결선 44">
          <a:extLst>
            <a:ext uri="{FF2B5EF4-FFF2-40B4-BE49-F238E27FC236}">
              <a16:creationId xmlns:a16="http://schemas.microsoft.com/office/drawing/2014/main" id="{65F9D75B-EF1D-EF0F-AE98-16C1B2A30E1D}"/>
            </a:ext>
          </a:extLst>
        </xdr:cNvPr>
        <xdr:cNvCxnSpPr/>
      </xdr:nvCxnSpPr>
      <xdr:spPr>
        <a:xfrm>
          <a:off x="49479200" y="7970383"/>
          <a:ext cx="4225018" cy="0"/>
        </a:xfrm>
        <a:prstGeom prst="straightConnector1">
          <a:avLst/>
        </a:prstGeom>
        <a:ln w="38100">
          <a:solidFill>
            <a:srgbClr val="7030A0"/>
          </a:solidFill>
          <a:headEnd type="oval" w="med" len="med"/>
          <a:tailEnd type="oval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71</xdr:col>
      <xdr:colOff>228600</xdr:colOff>
      <xdr:row>35</xdr:row>
      <xdr:rowOff>105336</xdr:rowOff>
    </xdr:from>
    <xdr:to>
      <xdr:col>71</xdr:col>
      <xdr:colOff>228600</xdr:colOff>
      <xdr:row>52</xdr:row>
      <xdr:rowOff>58831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15E18AD7-C8B3-9EFB-4783-F47373153807}"/>
            </a:ext>
          </a:extLst>
        </xdr:cNvPr>
        <xdr:cNvCxnSpPr/>
      </xdr:nvCxnSpPr>
      <xdr:spPr>
        <a:xfrm>
          <a:off x="50393600" y="8534961"/>
          <a:ext cx="0" cy="3572995"/>
        </a:xfrm>
        <a:prstGeom prst="line">
          <a:avLst/>
        </a:prstGeom>
        <a:ln w="22225" cap="flat" cmpd="sng" algn="ctr">
          <a:solidFill>
            <a:srgbClr val="7030A0"/>
          </a:solidFill>
          <a:prstDash val="sysDash"/>
          <a:round/>
          <a:headEnd type="none" w="lg" len="med"/>
          <a:tailEnd type="stealth" w="med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12700</xdr:colOff>
      <xdr:row>49</xdr:row>
      <xdr:rowOff>155214</xdr:rowOff>
    </xdr:from>
    <xdr:to>
      <xdr:col>54</xdr:col>
      <xdr:colOff>682625</xdr:colOff>
      <xdr:row>49</xdr:row>
      <xdr:rowOff>155214</xdr:rowOff>
    </xdr:to>
    <xdr:cxnSp macro="">
      <xdr:nvCxnSpPr>
        <xdr:cNvPr id="124" name="직선 화살표 연결선 123">
          <a:extLst>
            <a:ext uri="{FF2B5EF4-FFF2-40B4-BE49-F238E27FC236}">
              <a16:creationId xmlns:a16="http://schemas.microsoft.com/office/drawing/2014/main" id="{3237C8A3-02D2-C1C6-BE81-2609C3A96574}"/>
            </a:ext>
          </a:extLst>
        </xdr:cNvPr>
        <xdr:cNvCxnSpPr/>
      </xdr:nvCxnSpPr>
      <xdr:spPr>
        <a:xfrm>
          <a:off x="11934825" y="14315714"/>
          <a:ext cx="27101800" cy="0"/>
        </a:xfrm>
        <a:prstGeom prst="straightConnector1">
          <a:avLst/>
        </a:prstGeom>
        <a:ln w="38100">
          <a:solidFill>
            <a:srgbClr val="00B050"/>
          </a:solidFill>
          <a:headEnd type="oval" w="med" len="med"/>
          <a:tailEnd type="oval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177800</xdr:colOff>
      <xdr:row>54</xdr:row>
      <xdr:rowOff>106321</xdr:rowOff>
    </xdr:from>
    <xdr:to>
      <xdr:col>75</xdr:col>
      <xdr:colOff>177800</xdr:colOff>
      <xdr:row>60</xdr:row>
      <xdr:rowOff>97518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BC188248-22F4-0507-7F5C-FFF321E68151}"/>
            </a:ext>
          </a:extLst>
        </xdr:cNvPr>
        <xdr:cNvCxnSpPr/>
      </xdr:nvCxnSpPr>
      <xdr:spPr>
        <a:xfrm>
          <a:off x="52755800" y="12758696"/>
          <a:ext cx="0" cy="1800947"/>
        </a:xfrm>
        <a:prstGeom prst="line">
          <a:avLst/>
        </a:prstGeom>
        <a:ln w="22225" cap="flat" cmpd="sng" algn="ctr">
          <a:solidFill>
            <a:srgbClr val="00B050"/>
          </a:solidFill>
          <a:prstDash val="sysDash"/>
          <a:round/>
          <a:headEnd type="none" w="lg" len="med"/>
          <a:tailEnd type="stealth" w="med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6</xdr:row>
      <xdr:rowOff>162151</xdr:rowOff>
    </xdr:from>
    <xdr:to>
      <xdr:col>23</xdr:col>
      <xdr:colOff>381000</xdr:colOff>
      <xdr:row>6</xdr:row>
      <xdr:rowOff>162151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28B11233-14DE-4AD0-89C0-F03B6672952B}"/>
            </a:ext>
          </a:extLst>
        </xdr:cNvPr>
        <xdr:cNvCxnSpPr/>
      </xdr:nvCxnSpPr>
      <xdr:spPr>
        <a:xfrm>
          <a:off x="10493375" y="1352776"/>
          <a:ext cx="6096000" cy="0"/>
        </a:xfrm>
        <a:prstGeom prst="straightConnector1">
          <a:avLst/>
        </a:prstGeom>
        <a:ln w="38100">
          <a:solidFill>
            <a:srgbClr val="FF0000"/>
          </a:solidFill>
          <a:headEnd type="oval" w="med" len="med"/>
          <a:tailEnd type="oval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</xdr:row>
      <xdr:rowOff>162151</xdr:rowOff>
    </xdr:from>
    <xdr:to>
      <xdr:col>23</xdr:col>
      <xdr:colOff>381000</xdr:colOff>
      <xdr:row>13</xdr:row>
      <xdr:rowOff>162151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4A3F54AE-2CB9-4C89-BC32-10CCE844C07F}"/>
            </a:ext>
          </a:extLst>
        </xdr:cNvPr>
        <xdr:cNvCxnSpPr/>
      </xdr:nvCxnSpPr>
      <xdr:spPr>
        <a:xfrm>
          <a:off x="7635875" y="3464151"/>
          <a:ext cx="8953500" cy="0"/>
        </a:xfrm>
        <a:prstGeom prst="straightConnector1">
          <a:avLst/>
        </a:prstGeom>
        <a:ln w="38100">
          <a:solidFill>
            <a:srgbClr val="FF0000"/>
          </a:solidFill>
          <a:headEnd type="oval" w="med" len="med"/>
          <a:tailEnd type="oval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22</xdr:row>
      <xdr:rowOff>162151</xdr:rowOff>
    </xdr:from>
    <xdr:to>
      <xdr:col>23</xdr:col>
      <xdr:colOff>365125</xdr:colOff>
      <xdr:row>22</xdr:row>
      <xdr:rowOff>162151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09FFD57B-D1CB-4260-96AD-3BEC5DC01229}"/>
            </a:ext>
          </a:extLst>
        </xdr:cNvPr>
        <xdr:cNvCxnSpPr/>
      </xdr:nvCxnSpPr>
      <xdr:spPr>
        <a:xfrm>
          <a:off x="10493375" y="6178776"/>
          <a:ext cx="6080125" cy="0"/>
        </a:xfrm>
        <a:prstGeom prst="straightConnector1">
          <a:avLst/>
        </a:prstGeom>
        <a:ln w="38100">
          <a:solidFill>
            <a:srgbClr val="FF0000"/>
          </a:solidFill>
          <a:headEnd type="oval" w="med" len="med"/>
          <a:tailEnd type="oval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365125</xdr:colOff>
      <xdr:row>28</xdr:row>
      <xdr:rowOff>162151</xdr:rowOff>
    </xdr:from>
    <xdr:to>
      <xdr:col>29</xdr:col>
      <xdr:colOff>0</xdr:colOff>
      <xdr:row>28</xdr:row>
      <xdr:rowOff>162151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D241EEC4-8081-45B7-BAE5-2392C8C22A84}"/>
            </a:ext>
          </a:extLst>
        </xdr:cNvPr>
        <xdr:cNvCxnSpPr/>
      </xdr:nvCxnSpPr>
      <xdr:spPr>
        <a:xfrm>
          <a:off x="16573500" y="7988526"/>
          <a:ext cx="3921125" cy="0"/>
        </a:xfrm>
        <a:prstGeom prst="straightConnector1">
          <a:avLst/>
        </a:prstGeom>
        <a:ln w="38100">
          <a:solidFill>
            <a:srgbClr val="FF0000"/>
          </a:solidFill>
          <a:headEnd type="oval" w="med" len="med"/>
          <a:tailEnd type="oval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32</xdr:row>
      <xdr:rowOff>162151</xdr:rowOff>
    </xdr:from>
    <xdr:to>
      <xdr:col>33</xdr:col>
      <xdr:colOff>0</xdr:colOff>
      <xdr:row>32</xdr:row>
      <xdr:rowOff>162151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4015D346-184D-4A04-BED1-87DB705E5231}"/>
            </a:ext>
          </a:extLst>
        </xdr:cNvPr>
        <xdr:cNvCxnSpPr/>
      </xdr:nvCxnSpPr>
      <xdr:spPr>
        <a:xfrm>
          <a:off x="20494625" y="9195026"/>
          <a:ext cx="2857500" cy="0"/>
        </a:xfrm>
        <a:prstGeom prst="straightConnector1">
          <a:avLst/>
        </a:prstGeom>
        <a:ln w="38100">
          <a:solidFill>
            <a:srgbClr val="FF0000"/>
          </a:solidFill>
          <a:headEnd type="oval" w="med" len="med"/>
          <a:tailEnd type="oval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3175</xdr:colOff>
      <xdr:row>28</xdr:row>
      <xdr:rowOff>158750</xdr:rowOff>
    </xdr:from>
    <xdr:to>
      <xdr:col>29</xdr:col>
      <xdr:colOff>3175</xdr:colOff>
      <xdr:row>32</xdr:row>
      <xdr:rowOff>127000</xdr:rowOff>
    </xdr:to>
    <xdr:cxnSp macro="">
      <xdr:nvCxnSpPr>
        <xdr:cNvPr id="28" name="직선 연결선 27">
          <a:extLst>
            <a:ext uri="{FF2B5EF4-FFF2-40B4-BE49-F238E27FC236}">
              <a16:creationId xmlns:a16="http://schemas.microsoft.com/office/drawing/2014/main" id="{1840BD29-11C3-40DA-9917-06145E08C42B}"/>
            </a:ext>
          </a:extLst>
        </xdr:cNvPr>
        <xdr:cNvCxnSpPr/>
      </xdr:nvCxnSpPr>
      <xdr:spPr>
        <a:xfrm>
          <a:off x="20497800" y="7985125"/>
          <a:ext cx="0" cy="1174750"/>
        </a:xfrm>
        <a:prstGeom prst="line">
          <a:avLst/>
        </a:prstGeom>
        <a:ln w="22225" cap="flat" cmpd="sng" algn="ctr">
          <a:solidFill>
            <a:srgbClr val="FF0000"/>
          </a:solidFill>
          <a:prstDash val="sysDash"/>
          <a:round/>
          <a:headEnd type="none" w="lg" len="med"/>
          <a:tailEnd type="stealth" w="med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381000</xdr:colOff>
      <xdr:row>13</xdr:row>
      <xdr:rowOff>162151</xdr:rowOff>
    </xdr:from>
    <xdr:to>
      <xdr:col>29</xdr:col>
      <xdr:colOff>15875</xdr:colOff>
      <xdr:row>13</xdr:row>
      <xdr:rowOff>162151</xdr:rowOff>
    </xdr:to>
    <xdr:cxnSp macro="">
      <xdr:nvCxnSpPr>
        <xdr:cNvPr id="34" name="직선 화살표 연결선 33">
          <a:extLst>
            <a:ext uri="{FF2B5EF4-FFF2-40B4-BE49-F238E27FC236}">
              <a16:creationId xmlns:a16="http://schemas.microsoft.com/office/drawing/2014/main" id="{3AEFE852-EB69-40EC-A77A-EC67A7C3AD93}"/>
            </a:ext>
          </a:extLst>
        </xdr:cNvPr>
        <xdr:cNvCxnSpPr/>
      </xdr:nvCxnSpPr>
      <xdr:spPr>
        <a:xfrm>
          <a:off x="16589375" y="3464151"/>
          <a:ext cx="3921125" cy="0"/>
        </a:xfrm>
        <a:prstGeom prst="straightConnector1">
          <a:avLst/>
        </a:prstGeom>
        <a:ln w="38100">
          <a:solidFill>
            <a:srgbClr val="FF0000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368300</xdr:colOff>
      <xdr:row>6</xdr:row>
      <xdr:rowOff>174625</xdr:rowOff>
    </xdr:from>
    <xdr:to>
      <xdr:col>23</xdr:col>
      <xdr:colOff>368300</xdr:colOff>
      <xdr:row>28</xdr:row>
      <xdr:rowOff>127000</xdr:rowOff>
    </xdr:to>
    <xdr:cxnSp macro="">
      <xdr:nvCxnSpPr>
        <xdr:cNvPr id="25" name="직선 연결선 24">
          <a:extLst>
            <a:ext uri="{FF2B5EF4-FFF2-40B4-BE49-F238E27FC236}">
              <a16:creationId xmlns:a16="http://schemas.microsoft.com/office/drawing/2014/main" id="{F7677518-2107-427F-9EAD-75A222C9BE87}"/>
            </a:ext>
          </a:extLst>
        </xdr:cNvPr>
        <xdr:cNvCxnSpPr/>
      </xdr:nvCxnSpPr>
      <xdr:spPr>
        <a:xfrm>
          <a:off x="16576675" y="1365250"/>
          <a:ext cx="0" cy="6588125"/>
        </a:xfrm>
        <a:prstGeom prst="line">
          <a:avLst/>
        </a:prstGeom>
        <a:ln w="22225" cap="flat" cmpd="sng" algn="ctr">
          <a:solidFill>
            <a:srgbClr val="FF0000"/>
          </a:solidFill>
          <a:prstDash val="sysDash"/>
          <a:round/>
          <a:headEnd type="none" w="lg" len="med"/>
          <a:tailEnd type="stealth" w="med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365125</xdr:colOff>
      <xdr:row>22</xdr:row>
      <xdr:rowOff>162151</xdr:rowOff>
    </xdr:from>
    <xdr:to>
      <xdr:col>29</xdr:col>
      <xdr:colOff>698500</xdr:colOff>
      <xdr:row>22</xdr:row>
      <xdr:rowOff>162151</xdr:rowOff>
    </xdr:to>
    <xdr:cxnSp macro="">
      <xdr:nvCxnSpPr>
        <xdr:cNvPr id="30" name="직선 화살표 연결선 29">
          <a:extLst>
            <a:ext uri="{FF2B5EF4-FFF2-40B4-BE49-F238E27FC236}">
              <a16:creationId xmlns:a16="http://schemas.microsoft.com/office/drawing/2014/main" id="{196FAF7B-F043-46B2-A24D-75474884221D}"/>
            </a:ext>
          </a:extLst>
        </xdr:cNvPr>
        <xdr:cNvCxnSpPr/>
      </xdr:nvCxnSpPr>
      <xdr:spPr>
        <a:xfrm>
          <a:off x="16573500" y="6178776"/>
          <a:ext cx="4619625" cy="0"/>
        </a:xfrm>
        <a:prstGeom prst="straightConnector1">
          <a:avLst/>
        </a:prstGeom>
        <a:ln w="38100">
          <a:solidFill>
            <a:srgbClr val="FF0000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381000</xdr:colOff>
      <xdr:row>6</xdr:row>
      <xdr:rowOff>162151</xdr:rowOff>
    </xdr:from>
    <xdr:to>
      <xdr:col>29</xdr:col>
      <xdr:colOff>15875</xdr:colOff>
      <xdr:row>6</xdr:row>
      <xdr:rowOff>162151</xdr:rowOff>
    </xdr:to>
    <xdr:cxnSp macro="">
      <xdr:nvCxnSpPr>
        <xdr:cNvPr id="35" name="직선 화살표 연결선 34">
          <a:extLst>
            <a:ext uri="{FF2B5EF4-FFF2-40B4-BE49-F238E27FC236}">
              <a16:creationId xmlns:a16="http://schemas.microsoft.com/office/drawing/2014/main" id="{89EDF983-ACF8-4EAA-BACD-8EE539EC82CF}"/>
            </a:ext>
          </a:extLst>
        </xdr:cNvPr>
        <xdr:cNvCxnSpPr/>
      </xdr:nvCxnSpPr>
      <xdr:spPr>
        <a:xfrm>
          <a:off x="16589375" y="1352776"/>
          <a:ext cx="3921125" cy="0"/>
        </a:xfrm>
        <a:prstGeom prst="straightConnector1">
          <a:avLst/>
        </a:prstGeom>
        <a:ln w="38100">
          <a:solidFill>
            <a:srgbClr val="FF0000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35</xdr:row>
      <xdr:rowOff>159883</xdr:rowOff>
    </xdr:from>
    <xdr:to>
      <xdr:col>35</xdr:col>
      <xdr:colOff>365125</xdr:colOff>
      <xdr:row>35</xdr:row>
      <xdr:rowOff>159883</xdr:rowOff>
    </xdr:to>
    <xdr:cxnSp macro="">
      <xdr:nvCxnSpPr>
        <xdr:cNvPr id="36" name="직선 화살표 연결선 35">
          <a:extLst>
            <a:ext uri="{FF2B5EF4-FFF2-40B4-BE49-F238E27FC236}">
              <a16:creationId xmlns:a16="http://schemas.microsoft.com/office/drawing/2014/main" id="{5070BAAC-2191-4F1E-8F02-A1BF52B251DC}"/>
            </a:ext>
          </a:extLst>
        </xdr:cNvPr>
        <xdr:cNvCxnSpPr/>
      </xdr:nvCxnSpPr>
      <xdr:spPr>
        <a:xfrm>
          <a:off x="9788525" y="10097633"/>
          <a:ext cx="15357475" cy="0"/>
        </a:xfrm>
        <a:prstGeom prst="straightConnector1">
          <a:avLst/>
        </a:prstGeom>
        <a:ln w="38100">
          <a:solidFill>
            <a:srgbClr val="0000FF"/>
          </a:solidFill>
          <a:headEnd type="oval" w="med" len="med"/>
          <a:tailEnd type="oval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358775</xdr:colOff>
      <xdr:row>43</xdr:row>
      <xdr:rowOff>159883</xdr:rowOff>
    </xdr:from>
    <xdr:to>
      <xdr:col>42</xdr:col>
      <xdr:colOff>381000</xdr:colOff>
      <xdr:row>43</xdr:row>
      <xdr:rowOff>159883</xdr:rowOff>
    </xdr:to>
    <xdr:cxnSp macro="">
      <xdr:nvCxnSpPr>
        <xdr:cNvPr id="39" name="직선 화살표 연결선 38">
          <a:extLst>
            <a:ext uri="{FF2B5EF4-FFF2-40B4-BE49-F238E27FC236}">
              <a16:creationId xmlns:a16="http://schemas.microsoft.com/office/drawing/2014/main" id="{3A7D9EB7-BD35-449B-A557-7D1974A3D100}"/>
            </a:ext>
          </a:extLst>
        </xdr:cNvPr>
        <xdr:cNvCxnSpPr/>
      </xdr:nvCxnSpPr>
      <xdr:spPr>
        <a:xfrm>
          <a:off x="25139650" y="12510633"/>
          <a:ext cx="5022850" cy="0"/>
        </a:xfrm>
        <a:prstGeom prst="straightConnector1">
          <a:avLst/>
        </a:prstGeom>
        <a:ln w="38100">
          <a:solidFill>
            <a:srgbClr val="0000FF"/>
          </a:solidFill>
          <a:headEnd type="oval" w="med" len="med"/>
          <a:tailEnd type="oval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368300</xdr:colOff>
      <xdr:row>35</xdr:row>
      <xdr:rowOff>142875</xdr:rowOff>
    </xdr:from>
    <xdr:to>
      <xdr:col>35</xdr:col>
      <xdr:colOff>368300</xdr:colOff>
      <xdr:row>43</xdr:row>
      <xdr:rowOff>111125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E8F7E4EE-EE0C-43C8-AFF5-F1150A0B51D5}"/>
            </a:ext>
          </a:extLst>
        </xdr:cNvPr>
        <xdr:cNvCxnSpPr/>
      </xdr:nvCxnSpPr>
      <xdr:spPr>
        <a:xfrm>
          <a:off x="25149175" y="10080625"/>
          <a:ext cx="0" cy="2381250"/>
        </a:xfrm>
        <a:prstGeom prst="line">
          <a:avLst/>
        </a:prstGeom>
        <a:ln w="22225" cap="flat" cmpd="sng" algn="ctr">
          <a:solidFill>
            <a:srgbClr val="0000FF"/>
          </a:solidFill>
          <a:prstDash val="sysDash"/>
          <a:round/>
          <a:headEnd type="none" w="lg" len="med"/>
          <a:tailEnd type="stealth" w="med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384175</xdr:colOff>
      <xdr:row>43</xdr:row>
      <xdr:rowOff>190500</xdr:rowOff>
    </xdr:from>
    <xdr:to>
      <xdr:col>42</xdr:col>
      <xdr:colOff>384175</xdr:colOff>
      <xdr:row>47</xdr:row>
      <xdr:rowOff>127000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3640A556-F4D6-4934-B4EF-9C3F422036E8}"/>
            </a:ext>
          </a:extLst>
        </xdr:cNvPr>
        <xdr:cNvCxnSpPr/>
      </xdr:nvCxnSpPr>
      <xdr:spPr>
        <a:xfrm>
          <a:off x="30165675" y="12541250"/>
          <a:ext cx="0" cy="1143000"/>
        </a:xfrm>
        <a:prstGeom prst="line">
          <a:avLst/>
        </a:prstGeom>
        <a:ln w="22225" cap="flat" cmpd="sng" algn="ctr">
          <a:solidFill>
            <a:srgbClr val="0000FF"/>
          </a:solidFill>
          <a:prstDash val="sysDash"/>
          <a:round/>
          <a:headEnd type="none" w="lg" len="med"/>
          <a:tailEnd type="stealth" w="med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374650</xdr:colOff>
      <xdr:row>47</xdr:row>
      <xdr:rowOff>159883</xdr:rowOff>
    </xdr:from>
    <xdr:to>
      <xdr:col>49</xdr:col>
      <xdr:colOff>0</xdr:colOff>
      <xdr:row>47</xdr:row>
      <xdr:rowOff>159883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69E15A5C-FE50-4C00-95D6-2E20E925130F}"/>
            </a:ext>
          </a:extLst>
        </xdr:cNvPr>
        <xdr:cNvCxnSpPr/>
      </xdr:nvCxnSpPr>
      <xdr:spPr>
        <a:xfrm>
          <a:off x="30156150" y="13717133"/>
          <a:ext cx="4625975" cy="0"/>
        </a:xfrm>
        <a:prstGeom prst="straightConnector1">
          <a:avLst/>
        </a:prstGeom>
        <a:ln w="38100">
          <a:solidFill>
            <a:srgbClr val="0000FF"/>
          </a:solidFill>
          <a:headEnd type="oval" w="med" len="med"/>
          <a:tailEnd type="oval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358775</xdr:colOff>
      <xdr:row>35</xdr:row>
      <xdr:rowOff>159883</xdr:rowOff>
    </xdr:from>
    <xdr:to>
      <xdr:col>38</xdr:col>
      <xdr:colOff>15875</xdr:colOff>
      <xdr:row>35</xdr:row>
      <xdr:rowOff>159883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DEB41090-0AB2-428F-9F95-13374C01B4DB}"/>
            </a:ext>
          </a:extLst>
        </xdr:cNvPr>
        <xdr:cNvCxnSpPr/>
      </xdr:nvCxnSpPr>
      <xdr:spPr>
        <a:xfrm>
          <a:off x="25139650" y="10097633"/>
          <a:ext cx="1800225" cy="0"/>
        </a:xfrm>
        <a:prstGeom prst="straightConnector1">
          <a:avLst/>
        </a:prstGeom>
        <a:ln w="38100">
          <a:solidFill>
            <a:srgbClr val="0000FF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12700</xdr:colOff>
      <xdr:row>50</xdr:row>
      <xdr:rowOff>171089</xdr:rowOff>
    </xdr:from>
    <xdr:to>
      <xdr:col>41</xdr:col>
      <xdr:colOff>0</xdr:colOff>
      <xdr:row>50</xdr:row>
      <xdr:rowOff>171089</xdr:rowOff>
    </xdr:to>
    <xdr:cxnSp macro="">
      <xdr:nvCxnSpPr>
        <xdr:cNvPr id="52" name="직선 화살표 연결선 51">
          <a:extLst>
            <a:ext uri="{FF2B5EF4-FFF2-40B4-BE49-F238E27FC236}">
              <a16:creationId xmlns:a16="http://schemas.microsoft.com/office/drawing/2014/main" id="{048026F2-26A2-4ADD-B67A-8F6F86C85AE8}"/>
            </a:ext>
          </a:extLst>
        </xdr:cNvPr>
        <xdr:cNvCxnSpPr/>
      </xdr:nvCxnSpPr>
      <xdr:spPr>
        <a:xfrm>
          <a:off x="11934825" y="14633214"/>
          <a:ext cx="17132300" cy="0"/>
        </a:xfrm>
        <a:prstGeom prst="straightConnector1">
          <a:avLst/>
        </a:prstGeom>
        <a:ln w="38100">
          <a:solidFill>
            <a:srgbClr val="00B050"/>
          </a:solidFill>
          <a:headEnd type="oval" w="med" len="med"/>
          <a:tailEnd type="oval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58</xdr:row>
      <xdr:rowOff>155214</xdr:rowOff>
    </xdr:from>
    <xdr:to>
      <xdr:col>52</xdr:col>
      <xdr:colOff>0</xdr:colOff>
      <xdr:row>58</xdr:row>
      <xdr:rowOff>155214</xdr:rowOff>
    </xdr:to>
    <xdr:cxnSp macro="">
      <xdr:nvCxnSpPr>
        <xdr:cNvPr id="54" name="직선 화살표 연결선 53">
          <a:extLst>
            <a:ext uri="{FF2B5EF4-FFF2-40B4-BE49-F238E27FC236}">
              <a16:creationId xmlns:a16="http://schemas.microsoft.com/office/drawing/2014/main" id="{92AFE63B-3705-4BC6-97CC-74FCFB21A4B9}"/>
            </a:ext>
          </a:extLst>
        </xdr:cNvPr>
        <xdr:cNvCxnSpPr/>
      </xdr:nvCxnSpPr>
      <xdr:spPr>
        <a:xfrm>
          <a:off x="29067125" y="17030339"/>
          <a:ext cx="7858125" cy="0"/>
        </a:xfrm>
        <a:prstGeom prst="straightConnector1">
          <a:avLst/>
        </a:prstGeom>
        <a:ln w="38100">
          <a:solidFill>
            <a:srgbClr val="00B050"/>
          </a:solidFill>
          <a:headEnd type="oval" w="med" len="med"/>
          <a:tailEnd type="oval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31750</xdr:colOff>
      <xdr:row>50</xdr:row>
      <xdr:rowOff>175758</xdr:rowOff>
    </xdr:from>
    <xdr:to>
      <xdr:col>54</xdr:col>
      <xdr:colOff>15875</xdr:colOff>
      <xdr:row>50</xdr:row>
      <xdr:rowOff>175758</xdr:rowOff>
    </xdr:to>
    <xdr:cxnSp macro="">
      <xdr:nvCxnSpPr>
        <xdr:cNvPr id="58" name="직선 화살표 연결선 57">
          <a:extLst>
            <a:ext uri="{FF2B5EF4-FFF2-40B4-BE49-F238E27FC236}">
              <a16:creationId xmlns:a16="http://schemas.microsoft.com/office/drawing/2014/main" id="{C339C278-0808-44F3-BEFE-004B31FCB29B}"/>
            </a:ext>
          </a:extLst>
        </xdr:cNvPr>
        <xdr:cNvCxnSpPr/>
      </xdr:nvCxnSpPr>
      <xdr:spPr>
        <a:xfrm>
          <a:off x="29098875" y="14637883"/>
          <a:ext cx="9271000" cy="0"/>
        </a:xfrm>
        <a:prstGeom prst="straightConnector1">
          <a:avLst/>
        </a:prstGeom>
        <a:ln w="38100">
          <a:solidFill>
            <a:srgbClr val="0000FF"/>
          </a:solidFill>
          <a:prstDash val="sysDash"/>
          <a:headEnd type="oval" w="med" len="med"/>
          <a:tailEnd type="oval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hesu\Downloads\Project_Gantt_Ch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ntt_Chart_Schedule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1EA8BA-9F87-4425-AA6B-3CC78811961B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34d58ae-91e5-44ca-852e-7e7f52ac412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6A6A6"/>
  </sheetPr>
  <dimension ref="A1:H46"/>
  <sheetViews>
    <sheetView workbookViewId="0">
      <selection activeCell="J12" sqref="J12"/>
    </sheetView>
  </sheetViews>
  <sheetFormatPr defaultColWidth="8.69140625" defaultRowHeight="14.6"/>
  <cols>
    <col min="1" max="1" width="3" customWidth="1"/>
    <col min="2" max="2" width="22" customWidth="1"/>
    <col min="3" max="7" width="16" customWidth="1"/>
    <col min="8" max="8" width="14" customWidth="1"/>
  </cols>
  <sheetData>
    <row r="1" spans="1:8" ht="25.5" customHeight="1">
      <c r="A1" s="472" t="s">
        <v>0</v>
      </c>
      <c r="B1" s="472"/>
      <c r="C1" s="472"/>
      <c r="D1" s="472"/>
      <c r="E1" s="472"/>
      <c r="F1" s="472"/>
      <c r="G1" s="472"/>
      <c r="H1" s="472"/>
    </row>
    <row r="2" spans="1:8" ht="15.45">
      <c r="B2" s="1" t="s">
        <v>1813</v>
      </c>
    </row>
    <row r="4" spans="1:8">
      <c r="B4" s="2" t="s">
        <v>1</v>
      </c>
    </row>
    <row r="5" spans="1:8" ht="15" customHeight="1">
      <c r="B5" s="3" t="s">
        <v>2</v>
      </c>
      <c r="C5" s="470" t="s">
        <v>3</v>
      </c>
      <c r="D5" s="470"/>
      <c r="E5" s="470"/>
      <c r="F5" s="470"/>
      <c r="G5" s="470"/>
      <c r="H5" s="470"/>
    </row>
    <row r="6" spans="1:8" ht="15" customHeight="1">
      <c r="B6" s="3" t="s">
        <v>4</v>
      </c>
      <c r="C6" s="470" t="s">
        <v>5</v>
      </c>
      <c r="D6" s="470"/>
      <c r="E6" s="470"/>
      <c r="F6" s="470"/>
      <c r="G6" s="470"/>
      <c r="H6" s="470"/>
    </row>
    <row r="7" spans="1:8" ht="15" customHeight="1">
      <c r="B7" s="3" t="s">
        <v>6</v>
      </c>
      <c r="C7" s="470" t="s">
        <v>7</v>
      </c>
      <c r="D7" s="470"/>
      <c r="E7" s="470"/>
      <c r="F7" s="470"/>
      <c r="G7" s="470"/>
      <c r="H7" s="470"/>
    </row>
    <row r="8" spans="1:8" ht="15" customHeight="1">
      <c r="B8" s="3" t="s">
        <v>8</v>
      </c>
      <c r="C8" s="470" t="s">
        <v>9</v>
      </c>
      <c r="D8" s="470"/>
      <c r="E8" s="470"/>
      <c r="F8" s="470"/>
      <c r="G8" s="470"/>
      <c r="H8" s="470"/>
    </row>
    <row r="9" spans="1:8" ht="15" customHeight="1">
      <c r="B9" s="3" t="s">
        <v>2</v>
      </c>
      <c r="C9" s="470" t="s">
        <v>10</v>
      </c>
      <c r="D9" s="470"/>
      <c r="E9" s="470"/>
      <c r="F9" s="470"/>
      <c r="G9" s="470"/>
      <c r="H9" s="470"/>
    </row>
    <row r="10" spans="1:8" ht="15" customHeight="1">
      <c r="B10" s="3" t="s">
        <v>11</v>
      </c>
      <c r="C10" s="470" t="s">
        <v>12</v>
      </c>
      <c r="D10" s="470"/>
      <c r="E10" s="470"/>
      <c r="F10" s="470"/>
      <c r="G10" s="470"/>
      <c r="H10" s="470"/>
    </row>
    <row r="12" spans="1:8">
      <c r="B12" s="2" t="s">
        <v>13</v>
      </c>
    </row>
    <row r="13" spans="1:8" ht="15" customHeight="1">
      <c r="B13" s="4" t="s">
        <v>14</v>
      </c>
      <c r="C13" s="471" t="s">
        <v>15</v>
      </c>
      <c r="D13" s="471"/>
      <c r="E13" s="471"/>
      <c r="F13" s="471"/>
      <c r="G13" s="471"/>
      <c r="H13" s="471"/>
    </row>
    <row r="14" spans="1:8" ht="30" customHeight="1">
      <c r="B14" s="5" t="s">
        <v>16</v>
      </c>
      <c r="C14" s="469" t="s">
        <v>17</v>
      </c>
      <c r="D14" s="469"/>
      <c r="E14" s="469"/>
      <c r="F14" s="469"/>
      <c r="G14" s="469"/>
      <c r="H14" s="469"/>
    </row>
    <row r="15" spans="1:8" ht="30" customHeight="1">
      <c r="B15" s="5" t="s">
        <v>18</v>
      </c>
      <c r="C15" s="469" t="s">
        <v>19</v>
      </c>
      <c r="D15" s="469"/>
      <c r="E15" s="469"/>
      <c r="F15" s="469"/>
      <c r="G15" s="469"/>
      <c r="H15" s="469"/>
    </row>
    <row r="16" spans="1:8" ht="30" customHeight="1">
      <c r="B16" s="6" t="s">
        <v>20</v>
      </c>
      <c r="C16" s="469" t="s">
        <v>21</v>
      </c>
      <c r="D16" s="469"/>
      <c r="E16" s="469"/>
      <c r="F16" s="469"/>
      <c r="G16" s="469"/>
      <c r="H16" s="469"/>
    </row>
    <row r="17" spans="2:8" ht="30" customHeight="1">
      <c r="B17" s="6" t="s">
        <v>22</v>
      </c>
      <c r="C17" s="469" t="s">
        <v>23</v>
      </c>
      <c r="D17" s="469"/>
      <c r="E17" s="469"/>
      <c r="F17" s="469"/>
      <c r="G17" s="469"/>
      <c r="H17" s="469"/>
    </row>
    <row r="18" spans="2:8" ht="30" customHeight="1">
      <c r="B18" s="5" t="s">
        <v>24</v>
      </c>
      <c r="C18" s="469" t="s">
        <v>25</v>
      </c>
      <c r="D18" s="469"/>
      <c r="E18" s="469"/>
      <c r="F18" s="469"/>
      <c r="G18" s="469"/>
      <c r="H18" s="469"/>
    </row>
    <row r="19" spans="2:8" ht="30" customHeight="1">
      <c r="B19" s="6" t="s">
        <v>26</v>
      </c>
      <c r="C19" s="469" t="s">
        <v>27</v>
      </c>
      <c r="D19" s="469"/>
      <c r="E19" s="469"/>
      <c r="F19" s="469"/>
      <c r="G19" s="469"/>
      <c r="H19" s="469"/>
    </row>
    <row r="20" spans="2:8" ht="30" customHeight="1">
      <c r="B20" s="5" t="s">
        <v>28</v>
      </c>
      <c r="C20" s="469" t="s">
        <v>29</v>
      </c>
      <c r="D20" s="469"/>
      <c r="E20" s="469"/>
      <c r="F20" s="469"/>
      <c r="G20" s="469"/>
      <c r="H20" s="469"/>
    </row>
    <row r="21" spans="2:8" ht="30" customHeight="1">
      <c r="B21" s="5" t="s">
        <v>30</v>
      </c>
      <c r="C21" s="469" t="s">
        <v>31</v>
      </c>
      <c r="D21" s="469"/>
      <c r="E21" s="469"/>
      <c r="F21" s="469"/>
      <c r="G21" s="469"/>
      <c r="H21" s="469"/>
    </row>
    <row r="22" spans="2:8" ht="30" customHeight="1">
      <c r="B22" s="523" t="s">
        <v>1811</v>
      </c>
      <c r="C22" s="524" t="s">
        <v>1812</v>
      </c>
      <c r="D22" s="468"/>
      <c r="E22" s="468"/>
      <c r="F22" s="468"/>
      <c r="G22" s="468"/>
      <c r="H22" s="468"/>
    </row>
    <row r="23" spans="2:8" ht="30" customHeight="1">
      <c r="B23" s="5" t="s">
        <v>32</v>
      </c>
      <c r="C23" s="469" t="s">
        <v>33</v>
      </c>
      <c r="D23" s="469"/>
      <c r="E23" s="469"/>
      <c r="F23" s="469"/>
      <c r="G23" s="469"/>
      <c r="H23" s="469"/>
    </row>
    <row r="24" spans="2:8" ht="30" customHeight="1">
      <c r="B24" s="5" t="s">
        <v>34</v>
      </c>
      <c r="C24" s="469" t="s">
        <v>35</v>
      </c>
      <c r="D24" s="469"/>
      <c r="E24" s="469"/>
      <c r="F24" s="469"/>
      <c r="G24" s="469"/>
      <c r="H24" s="469"/>
    </row>
    <row r="26" spans="2:8">
      <c r="B26" s="2" t="s">
        <v>36</v>
      </c>
    </row>
    <row r="27" spans="2:8" ht="30">
      <c r="B27" s="7" t="s">
        <v>37</v>
      </c>
      <c r="C27" s="8" t="s">
        <v>38</v>
      </c>
    </row>
    <row r="28" spans="2:8">
      <c r="B28" s="9" t="s">
        <v>37</v>
      </c>
      <c r="C28" s="8" t="s">
        <v>39</v>
      </c>
    </row>
    <row r="29" spans="2:8" ht="15">
      <c r="B29" s="10" t="s">
        <v>37</v>
      </c>
      <c r="C29" s="8" t="s">
        <v>40</v>
      </c>
    </row>
    <row r="30" spans="2:8">
      <c r="B30" s="11" t="s">
        <v>37</v>
      </c>
      <c r="C30" s="8" t="s">
        <v>41</v>
      </c>
    </row>
    <row r="32" spans="2:8" ht="15.45">
      <c r="B32" s="12" t="s">
        <v>42</v>
      </c>
    </row>
    <row r="34" spans="2:4" ht="15.9">
      <c r="B34" s="531" t="s">
        <v>1834</v>
      </c>
      <c r="C34" s="532"/>
      <c r="D34" s="532"/>
    </row>
    <row r="35" spans="2:4">
      <c r="B35" s="533" t="s">
        <v>1835</v>
      </c>
      <c r="C35" s="533" t="s">
        <v>1836</v>
      </c>
      <c r="D35" s="533" t="s">
        <v>1837</v>
      </c>
    </row>
    <row r="36" spans="2:4">
      <c r="B36" s="534" t="s">
        <v>1838</v>
      </c>
      <c r="C36" s="534" t="s">
        <v>1858</v>
      </c>
      <c r="D36" s="534" t="s">
        <v>1839</v>
      </c>
    </row>
    <row r="37" spans="2:4">
      <c r="B37" s="534" t="s">
        <v>1840</v>
      </c>
      <c r="C37" s="534" t="s">
        <v>1859</v>
      </c>
      <c r="D37" s="534" t="s">
        <v>1864</v>
      </c>
    </row>
    <row r="38" spans="2:4">
      <c r="B38" s="534" t="s">
        <v>1841</v>
      </c>
      <c r="C38" s="534" t="s">
        <v>1856</v>
      </c>
      <c r="D38" s="534" t="s">
        <v>1842</v>
      </c>
    </row>
    <row r="39" spans="2:4">
      <c r="B39" s="534" t="s">
        <v>1843</v>
      </c>
      <c r="C39" s="534" t="s">
        <v>1860</v>
      </c>
      <c r="D39" s="534" t="s">
        <v>1865</v>
      </c>
    </row>
    <row r="40" spans="2:4">
      <c r="B40" s="534" t="s">
        <v>1844</v>
      </c>
      <c r="C40" s="534" t="s">
        <v>1861</v>
      </c>
      <c r="D40" s="534" t="s">
        <v>1866</v>
      </c>
    </row>
    <row r="41" spans="2:4">
      <c r="B41" s="534" t="s">
        <v>1845</v>
      </c>
      <c r="C41" s="534" t="s">
        <v>1846</v>
      </c>
      <c r="D41" s="534" t="s">
        <v>1842</v>
      </c>
    </row>
    <row r="42" spans="2:4">
      <c r="B42" s="534" t="s">
        <v>1847</v>
      </c>
      <c r="C42" s="534" t="s">
        <v>1862</v>
      </c>
      <c r="D42" s="534" t="s">
        <v>1842</v>
      </c>
    </row>
    <row r="43" spans="2:4">
      <c r="B43" s="534" t="s">
        <v>1848</v>
      </c>
      <c r="C43" s="534" t="s">
        <v>1863</v>
      </c>
      <c r="D43" s="534" t="s">
        <v>1842</v>
      </c>
    </row>
    <row r="44" spans="2:4">
      <c r="B44" s="535" t="s">
        <v>1849</v>
      </c>
      <c r="C44" s="532" t="s">
        <v>1850</v>
      </c>
      <c r="D44" s="532"/>
    </row>
    <row r="45" spans="2:4">
      <c r="B45" s="535" t="s">
        <v>1851</v>
      </c>
      <c r="C45" s="532"/>
      <c r="D45" s="532"/>
    </row>
    <row r="46" spans="2:4">
      <c r="B46" s="535" t="s">
        <v>1857</v>
      </c>
      <c r="C46" s="532"/>
      <c r="D46" s="532"/>
    </row>
  </sheetData>
  <mergeCells count="18">
    <mergeCell ref="A1:H1"/>
    <mergeCell ref="C5:H5"/>
    <mergeCell ref="C6:H6"/>
    <mergeCell ref="C7:H7"/>
    <mergeCell ref="C8:H8"/>
    <mergeCell ref="C9:H9"/>
    <mergeCell ref="C10:H10"/>
    <mergeCell ref="C13:H13"/>
    <mergeCell ref="C14:H14"/>
    <mergeCell ref="C15:H15"/>
    <mergeCell ref="C21:H21"/>
    <mergeCell ref="C23:H23"/>
    <mergeCell ref="C24:H24"/>
    <mergeCell ref="C16:H16"/>
    <mergeCell ref="C17:H17"/>
    <mergeCell ref="C18:H18"/>
    <mergeCell ref="C19:H19"/>
    <mergeCell ref="C20:H20"/>
  </mergeCells>
  <phoneticPr fontId="84" type="noConversion"/>
  <pageMargins left="0.75" right="0.75" top="1" bottom="1" header="0.511811023622047" footer="0.511811023622047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H26"/>
  <sheetViews>
    <sheetView view="pageBreakPreview" zoomScale="60" zoomScaleNormal="100" workbookViewId="0">
      <selection activeCell="F14" sqref="F14"/>
    </sheetView>
  </sheetViews>
  <sheetFormatPr defaultColWidth="8.69140625" defaultRowHeight="14.6"/>
  <cols>
    <col min="1" max="1" width="3" customWidth="1"/>
    <col min="2" max="2" width="22" customWidth="1"/>
    <col min="3" max="3" width="20" customWidth="1"/>
    <col min="4" max="4" width="9.3828125" customWidth="1"/>
    <col min="5" max="5" width="22" customWidth="1"/>
    <col min="6" max="6" width="20" customWidth="1"/>
    <col min="7" max="7" width="6" customWidth="1"/>
    <col min="8" max="8" width="17.07421875" customWidth="1"/>
  </cols>
  <sheetData>
    <row r="1" spans="1:8" ht="25.5" customHeight="1">
      <c r="A1" s="477" t="s">
        <v>43</v>
      </c>
      <c r="B1" s="477"/>
      <c r="C1" s="477"/>
      <c r="D1" s="477"/>
      <c r="E1" s="477"/>
      <c r="F1" s="477"/>
      <c r="G1" s="477"/>
    </row>
    <row r="2" spans="1:8" ht="15.45">
      <c r="B2" s="1" t="s">
        <v>44</v>
      </c>
    </row>
    <row r="4" spans="1:8" ht="17.600000000000001">
      <c r="B4" s="13" t="s">
        <v>45</v>
      </c>
      <c r="E4" s="14" t="s">
        <v>1783</v>
      </c>
    </row>
    <row r="5" spans="1:8" ht="60">
      <c r="B5" s="15" t="s">
        <v>46</v>
      </c>
      <c r="C5" s="101" t="s">
        <v>1644</v>
      </c>
      <c r="E5" s="15" t="s">
        <v>47</v>
      </c>
      <c r="F5" s="16">
        <f>①공사개요!$C$14</f>
        <v>60</v>
      </c>
      <c r="G5" s="17" t="s">
        <v>48</v>
      </c>
    </row>
    <row r="6" spans="1:8" ht="15">
      <c r="B6" s="15" t="s">
        <v>49</v>
      </c>
      <c r="C6" s="101" t="s">
        <v>1737</v>
      </c>
      <c r="E6" s="15" t="s">
        <v>50</v>
      </c>
      <c r="F6" s="21">
        <f>⑥공사기간종합!$F$9</f>
        <v>927.4</v>
      </c>
      <c r="G6" s="17" t="s">
        <v>48</v>
      </c>
    </row>
    <row r="7" spans="1:8" ht="15">
      <c r="B7" s="15" t="s">
        <v>51</v>
      </c>
      <c r="C7" s="103" t="s">
        <v>52</v>
      </c>
      <c r="E7" s="15" t="s">
        <v>53</v>
      </c>
      <c r="F7" s="21">
        <f>⑥공사기간종합!$E$9</f>
        <v>1207.8999999999955</v>
      </c>
      <c r="G7" s="17" t="s">
        <v>48</v>
      </c>
    </row>
    <row r="8" spans="1:8" ht="15">
      <c r="B8" s="15" t="s">
        <v>54</v>
      </c>
      <c r="C8" s="18">
        <f>SUM(⑦적정성검토!C14:C16)*100</f>
        <v>29520.999999999996</v>
      </c>
      <c r="D8" s="19" t="s">
        <v>55</v>
      </c>
      <c r="E8" s="15" t="s">
        <v>56</v>
      </c>
      <c r="F8" s="16">
        <f>①공사개요!$C$15</f>
        <v>30</v>
      </c>
      <c r="G8" s="17" t="s">
        <v>48</v>
      </c>
    </row>
    <row r="9" spans="1:8" ht="24.45">
      <c r="B9" s="15" t="s">
        <v>57</v>
      </c>
      <c r="C9" s="102">
        <f>C8/100</f>
        <v>295.20999999999998</v>
      </c>
      <c r="D9" s="19" t="s">
        <v>58</v>
      </c>
      <c r="E9" s="15" t="s">
        <v>59</v>
      </c>
      <c r="F9" s="525">
        <f>⑥공사기간종합!$H$9</f>
        <v>1064.1999999999971</v>
      </c>
      <c r="G9" s="17" t="s">
        <v>48</v>
      </c>
      <c r="H9" s="544" t="s">
        <v>1854</v>
      </c>
    </row>
    <row r="10" spans="1:8" ht="30">
      <c r="B10" s="15" t="s">
        <v>60</v>
      </c>
      <c r="C10" s="104">
        <v>46357</v>
      </c>
      <c r="E10" s="20" t="s">
        <v>61</v>
      </c>
      <c r="F10" s="21">
        <f>⑥공사기간종합!$I$9</f>
        <v>34.987397260273873</v>
      </c>
      <c r="G10" s="17" t="s">
        <v>62</v>
      </c>
      <c r="H10" s="544" t="s">
        <v>1784</v>
      </c>
    </row>
    <row r="11" spans="1:8" ht="44.05" customHeight="1">
      <c r="B11" s="15" t="s">
        <v>63</v>
      </c>
      <c r="C11" s="101" t="s">
        <v>1739</v>
      </c>
      <c r="E11" s="540" t="s">
        <v>1821</v>
      </c>
      <c r="F11" s="541"/>
      <c r="G11" s="541"/>
      <c r="H11" s="541"/>
    </row>
    <row r="12" spans="1:8" ht="17.600000000000001">
      <c r="E12" s="14" t="s">
        <v>65</v>
      </c>
    </row>
    <row r="13" spans="1:8" ht="17.600000000000001">
      <c r="B13" s="13" t="s">
        <v>66</v>
      </c>
      <c r="E13" s="15" t="s">
        <v>67</v>
      </c>
      <c r="F13" s="545" t="str">
        <f>TEXT(⑦적정성검토!$G$6,"#,##0")&amp;" / "&amp;TEXT(⑦적정성검토!$G$7,"#,##0")&amp;" / "&amp;TEXT(⑦적정성검토!$G$8,"#,##0")</f>
        <v>658 / 819 / 996</v>
      </c>
      <c r="G13" s="17" t="s">
        <v>48</v>
      </c>
    </row>
    <row r="14" spans="1:8" ht="15">
      <c r="B14" s="15" t="s">
        <v>47</v>
      </c>
      <c r="C14" s="123">
        <f>부록참고!C42</f>
        <v>60</v>
      </c>
      <c r="D14" s="19" t="s">
        <v>48</v>
      </c>
      <c r="E14" s="15" t="s">
        <v>68</v>
      </c>
      <c r="F14" s="546" t="str">
        <f>TEXT(⑦적정성검토!$H$6,"+0.0%;−0.0%")&amp;" / "&amp;TEXT(⑦적정성검토!$H$7,"+0.0%;−0.0%")&amp;" / "&amp;TEXT(⑦적정성검토!$H$8,"+0.0%;−0.0%")</f>
        <v>−15.4% / +11.0% / −5.6%</v>
      </c>
      <c r="G14" s="17"/>
    </row>
    <row r="15" spans="1:8" ht="15.45">
      <c r="B15" s="15" t="s">
        <v>56</v>
      </c>
      <c r="C15" s="18">
        <v>30</v>
      </c>
      <c r="D15" s="19" t="s">
        <v>48</v>
      </c>
      <c r="E15" s="15" t="s">
        <v>69</v>
      </c>
      <c r="F15" s="22" t="str">
        <f>⑦적정성검토!$I$6&amp;" / "&amp;⑦적정성검토!$I$7&amp;" / "&amp;⑦적정성검토!$I$8</f>
        <v>적정 / 적정 / 적정</v>
      </c>
      <c r="G15" t="s">
        <v>1643</v>
      </c>
    </row>
    <row r="16" spans="1:8" ht="18" customHeight="1">
      <c r="B16" s="537" t="s">
        <v>1852</v>
      </c>
      <c r="C16" s="537"/>
      <c r="D16" s="537"/>
      <c r="E16" s="537"/>
      <c r="F16" s="537"/>
      <c r="G16" s="537"/>
      <c r="H16" s="537"/>
    </row>
    <row r="17" spans="2:8" ht="31" customHeight="1">
      <c r="B17" s="539" t="s">
        <v>1645</v>
      </c>
      <c r="C17" s="539"/>
      <c r="D17" s="539"/>
      <c r="E17" s="539"/>
      <c r="F17" s="539"/>
      <c r="G17" s="539"/>
      <c r="H17" s="539"/>
    </row>
    <row r="18" spans="2:8" ht="17.600000000000001">
      <c r="B18" s="13" t="s">
        <v>70</v>
      </c>
    </row>
    <row r="19" spans="2:8" ht="15">
      <c r="B19" s="478" t="s">
        <v>810</v>
      </c>
      <c r="C19" s="479"/>
      <c r="D19" s="475">
        <f>C9</f>
        <v>295.20999999999998</v>
      </c>
      <c r="E19" s="476"/>
      <c r="F19" s="196" t="s">
        <v>811</v>
      </c>
      <c r="G19" s="197"/>
    </row>
    <row r="20" spans="2:8" ht="15">
      <c r="B20" s="478" t="s">
        <v>812</v>
      </c>
      <c r="C20" s="474"/>
      <c r="D20" s="475">
        <v>1.56</v>
      </c>
      <c r="E20" s="476"/>
      <c r="F20" s="196" t="s">
        <v>813</v>
      </c>
      <c r="G20" s="197"/>
    </row>
    <row r="21" spans="2:8" ht="15">
      <c r="B21" s="478" t="s">
        <v>816</v>
      </c>
      <c r="C21" s="474"/>
      <c r="D21" s="475">
        <v>1</v>
      </c>
      <c r="E21" s="476"/>
      <c r="F21" s="196" t="s">
        <v>814</v>
      </c>
      <c r="G21" s="197"/>
      <c r="H21" s="544"/>
    </row>
    <row r="22" spans="2:8" ht="15">
      <c r="B22" s="478" t="s">
        <v>815</v>
      </c>
      <c r="C22" s="474"/>
      <c r="D22" s="475">
        <v>1</v>
      </c>
      <c r="E22" s="476"/>
      <c r="F22" s="196" t="s">
        <v>814</v>
      </c>
      <c r="G22" s="197"/>
    </row>
    <row r="23" spans="2:8" ht="15">
      <c r="B23" s="473"/>
      <c r="C23" s="474"/>
      <c r="D23" s="475"/>
      <c r="E23" s="476"/>
      <c r="F23" s="196"/>
      <c r="G23" s="197"/>
    </row>
    <row r="24" spans="2:8" ht="18" customHeight="1">
      <c r="B24" s="537" t="s">
        <v>1853</v>
      </c>
      <c r="C24" s="537"/>
      <c r="D24" s="537"/>
      <c r="E24" s="537"/>
      <c r="F24" s="537"/>
      <c r="G24" s="537"/>
      <c r="H24" s="537"/>
    </row>
    <row r="25" spans="2:8" ht="31" customHeight="1">
      <c r="B25" s="539" t="s">
        <v>1792</v>
      </c>
      <c r="C25" s="539"/>
      <c r="D25" s="539"/>
      <c r="E25" s="539"/>
      <c r="F25" s="539"/>
      <c r="G25" s="539"/>
      <c r="H25" s="539"/>
    </row>
    <row r="26" spans="2:8" ht="31" customHeight="1">
      <c r="B26" s="539" t="s">
        <v>1785</v>
      </c>
      <c r="C26" s="539"/>
      <c r="D26" s="539"/>
      <c r="E26" s="539"/>
      <c r="F26" s="539"/>
      <c r="G26" s="539"/>
      <c r="H26" s="539"/>
    </row>
  </sheetData>
  <mergeCells count="17">
    <mergeCell ref="B24:H24"/>
    <mergeCell ref="B25:H25"/>
    <mergeCell ref="B26:H26"/>
    <mergeCell ref="E11:H11"/>
    <mergeCell ref="A1:G1"/>
    <mergeCell ref="B19:C19"/>
    <mergeCell ref="B20:C20"/>
    <mergeCell ref="B21:C21"/>
    <mergeCell ref="B22:C22"/>
    <mergeCell ref="B16:H16"/>
    <mergeCell ref="B17:H17"/>
    <mergeCell ref="B23:C23"/>
    <mergeCell ref="D19:E19"/>
    <mergeCell ref="D20:E20"/>
    <mergeCell ref="D21:E21"/>
    <mergeCell ref="D22:E22"/>
    <mergeCell ref="D23:E23"/>
  </mergeCells>
  <phoneticPr fontId="84" type="noConversion"/>
  <dataValidations disablePrompts="1" count="1">
    <dataValidation type="list" allowBlank="1" sqref="C7" xr:uid="{00000000-0002-0000-0100-000000000000}">
      <formula1>"도로포장,도로(토공+교량),농업용수,상수도,하수도,철도(궤도),학교,청사,기타건축물,기타"</formula1>
      <formula2>0</formula2>
    </dataValidation>
  </dataValidations>
  <printOptions horizontalCentered="1"/>
  <pageMargins left="0.31496111111111108" right="0.31496111111111108" top="0.47244166666666665" bottom="0.47244166666666665" header="0.19685069444444445" footer="0.19685069444444445"/>
  <pageSetup paperSize="9" scale="82" orientation="portrait" r:id="rId1"/>
  <headerFooter>
    <oddHeader>&amp;C&amp;"맑은 고딕,굵게"&amp;11연천군 신서공공하수처리시설 증설 외 2개사업 — 적정 공사기간 산정</oddHeader>
    <oddFooter>&amp;L&amp;"맑은 고딕"&amp;8①공사개요  (동절기 미반영 기준)&amp;R&amp;"맑은 고딕"&amp;8&amp;P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O56"/>
  <sheetViews>
    <sheetView view="pageBreakPreview" topLeftCell="A14" zoomScale="90" zoomScaleNormal="115" zoomScaleSheetLayoutView="90" workbookViewId="0">
      <selection activeCell="F14" sqref="F14"/>
    </sheetView>
  </sheetViews>
  <sheetFormatPr defaultColWidth="8.69140625" defaultRowHeight="14.6"/>
  <cols>
    <col min="1" max="1" width="3" customWidth="1"/>
    <col min="2" max="3" width="9" customWidth="1"/>
    <col min="4" max="5" width="12" customWidth="1"/>
    <col min="6" max="7" width="11" customWidth="1"/>
    <col min="8" max="8" width="12" customWidth="1"/>
    <col min="9" max="9" width="11" customWidth="1"/>
    <col min="10" max="12" width="10.15234375" customWidth="1"/>
    <col min="14" max="14" width="13" hidden="1" customWidth="1"/>
  </cols>
  <sheetData>
    <row r="1" spans="1:15" ht="25.5" customHeight="1">
      <c r="A1" s="477" t="s">
        <v>72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</row>
    <row r="2" spans="1:15" ht="15.45">
      <c r="B2" s="1" t="s">
        <v>73</v>
      </c>
    </row>
    <row r="3" spans="1:15">
      <c r="B3" s="199" t="s">
        <v>1741</v>
      </c>
    </row>
    <row r="4" spans="1:15" ht="8.25" customHeight="1"/>
    <row r="5" spans="1:15" ht="15">
      <c r="B5" s="5" t="s">
        <v>74</v>
      </c>
      <c r="C5" s="25">
        <f>YEAR(①공사개요!$C$10)</f>
        <v>2026</v>
      </c>
      <c r="D5" s="5" t="s">
        <v>75</v>
      </c>
      <c r="E5" s="25">
        <f>MONTH(①공사개요!$C$10)</f>
        <v>12</v>
      </c>
    </row>
    <row r="6" spans="1:15" ht="8.25" customHeight="1"/>
    <row r="7" spans="1:15" ht="30" customHeight="1">
      <c r="B7" s="26" t="s">
        <v>76</v>
      </c>
      <c r="C7" s="27" t="s">
        <v>77</v>
      </c>
      <c r="D7" s="27" t="s">
        <v>78</v>
      </c>
      <c r="E7" s="27" t="s">
        <v>79</v>
      </c>
      <c r="F7" s="27" t="s">
        <v>1742</v>
      </c>
      <c r="G7" s="27" t="s">
        <v>80</v>
      </c>
      <c r="H7" s="27" t="s">
        <v>81</v>
      </c>
      <c r="I7" s="27" t="s">
        <v>82</v>
      </c>
      <c r="J7" s="27" t="s">
        <v>83</v>
      </c>
      <c r="K7" s="211" t="s">
        <v>824</v>
      </c>
      <c r="L7" s="211" t="s">
        <v>825</v>
      </c>
    </row>
    <row r="8" spans="1:15" ht="17.25" customHeight="1">
      <c r="B8" s="28">
        <v>1</v>
      </c>
      <c r="C8" s="28">
        <f>$C$5+INT(($E$5-1+0)/12)</f>
        <v>2026</v>
      </c>
      <c r="D8" s="28">
        <f>MOD($E$5-1+0,12)+1</f>
        <v>12</v>
      </c>
      <c r="E8" s="29">
        <f t="shared" ref="E8:E43" si="0">DAY(EOMONTH(DATE(C8,D8,1),0))</f>
        <v>31</v>
      </c>
      <c r="F8" s="30">
        <f>MAX(IFERROR(INDEX('②-1 기후비작업근거'!$F$69:$Q$69,1,D8),0),IFERROR(INDEX('②-2 기후비작업근거'!$F$72:$Q$72,1,D8),0))</f>
        <v>14.399999999999999</v>
      </c>
      <c r="G8" s="29">
        <f>IFERROR(INDEX(부록참고!$B$5:$N$14,MATCH(C8,INDEX(부록참고!$B$5:$N$14,0,1),0),D8+1),0)</f>
        <v>5</v>
      </c>
      <c r="H8" s="29">
        <f t="shared" ref="H8:H43" si="1">ROUND(F8*G8/E8,0)</f>
        <v>2</v>
      </c>
      <c r="I8" s="31">
        <f t="shared" ref="I8:I44" si="2">F8+G8-H8</f>
        <v>17.399999999999999</v>
      </c>
      <c r="J8" s="32">
        <f t="shared" ref="J8:J44" si="3">MAX(I8,8)</f>
        <v>17.399999999999999</v>
      </c>
      <c r="K8" s="28">
        <f>E8-J8</f>
        <v>13.600000000000001</v>
      </c>
      <c r="L8" s="213">
        <f>K8/E8</f>
        <v>0.4387096774193549</v>
      </c>
      <c r="N8" s="33">
        <f t="shared" ref="N8:N43" si="4">C8*100+D8</f>
        <v>202612</v>
      </c>
      <c r="O8" s="210">
        <f>(E8-J8)/E8</f>
        <v>0.4387096774193549</v>
      </c>
    </row>
    <row r="9" spans="1:15" ht="17.25" customHeight="1">
      <c r="B9" s="28">
        <v>2</v>
      </c>
      <c r="C9" s="28">
        <f>$C$5+INT(($E$5-1+1)/12)</f>
        <v>2027</v>
      </c>
      <c r="D9" s="28">
        <f>MOD($E$5-1+1,12)+1</f>
        <v>1</v>
      </c>
      <c r="E9" s="29">
        <f t="shared" si="0"/>
        <v>31</v>
      </c>
      <c r="F9" s="30">
        <f>MAX(IFERROR(INDEX('②-1 기후비작업근거'!$F$69:$Q$69,1,D9),0),IFERROR(INDEX('②-2 기후비작업근거'!$F$72:$Q$72,1,D9),0))</f>
        <v>16.7</v>
      </c>
      <c r="G9" s="29">
        <f>IFERROR(INDEX(부록참고!$B$5:$N$14,MATCH(C9,INDEX(부록참고!$B$5:$N$14,0,1),0),D9+1),0)</f>
        <v>6</v>
      </c>
      <c r="H9" s="29">
        <f t="shared" si="1"/>
        <v>3</v>
      </c>
      <c r="I9" s="31">
        <f t="shared" si="2"/>
        <v>19.7</v>
      </c>
      <c r="J9" s="32">
        <f t="shared" si="3"/>
        <v>19.7</v>
      </c>
      <c r="K9" s="28">
        <f t="shared" ref="K9:K52" si="5">E9-J9</f>
        <v>11.3</v>
      </c>
      <c r="L9" s="213">
        <f t="shared" ref="L9:L52" si="6">K9/E9</f>
        <v>0.36451612903225811</v>
      </c>
      <c r="N9" s="33">
        <f t="shared" si="4"/>
        <v>202701</v>
      </c>
      <c r="O9" s="210">
        <f t="shared" ref="O9:O20" si="7">(E9-J9)/E9</f>
        <v>0.36451612903225811</v>
      </c>
    </row>
    <row r="10" spans="1:15" ht="17.25" customHeight="1">
      <c r="B10" s="28">
        <v>3</v>
      </c>
      <c r="C10" s="28">
        <f>$C$5+INT(($E$5-1+2)/12)</f>
        <v>2027</v>
      </c>
      <c r="D10" s="28">
        <f>MOD($E$5-1+2,12)+1</f>
        <v>2</v>
      </c>
      <c r="E10" s="29">
        <f t="shared" si="0"/>
        <v>28</v>
      </c>
      <c r="F10" s="30">
        <f>MAX(IFERROR(INDEX('②-1 기후비작업근거'!$F$69:$Q$69,1,D10),0),IFERROR(INDEX('②-2 기후비작업근거'!$F$72:$Q$72,1,D10),0))</f>
        <v>9.9</v>
      </c>
      <c r="G10" s="29">
        <f>IFERROR(INDEX(부록참고!$B$5:$N$14,MATCH(C10,INDEX(부록참고!$B$5:$N$14,0,1),0),D10+1),0)</f>
        <v>7</v>
      </c>
      <c r="H10" s="29">
        <f t="shared" si="1"/>
        <v>2</v>
      </c>
      <c r="I10" s="31">
        <f t="shared" si="2"/>
        <v>14.899999999999999</v>
      </c>
      <c r="J10" s="32">
        <f t="shared" si="3"/>
        <v>14.899999999999999</v>
      </c>
      <c r="K10" s="28">
        <f t="shared" si="5"/>
        <v>13.100000000000001</v>
      </c>
      <c r="L10" s="213">
        <f t="shared" si="6"/>
        <v>0.46785714285714292</v>
      </c>
      <c r="N10" s="33">
        <f t="shared" si="4"/>
        <v>202702</v>
      </c>
      <c r="O10" s="210">
        <f t="shared" si="7"/>
        <v>0.46785714285714292</v>
      </c>
    </row>
    <row r="11" spans="1:15" ht="17.25" customHeight="1">
      <c r="B11" s="28">
        <v>4</v>
      </c>
      <c r="C11" s="28">
        <f>$C$5+INT(($E$5-1+3)/12)</f>
        <v>2027</v>
      </c>
      <c r="D11" s="28">
        <f>MOD($E$5-1+3,12)+1</f>
        <v>3</v>
      </c>
      <c r="E11" s="29">
        <f t="shared" si="0"/>
        <v>31</v>
      </c>
      <c r="F11" s="30">
        <f>MAX(IFERROR(INDEX('②-1 기후비작업근거'!$F$69:$Q$69,1,D11),0),IFERROR(INDEX('②-2 기후비작업근거'!$F$72:$Q$72,1,D11),0))</f>
        <v>7.5</v>
      </c>
      <c r="G11" s="29">
        <f>IFERROR(INDEX(부록참고!$B$5:$N$14,MATCH(C11,INDEX(부록참고!$B$5:$N$14,0,1),0),D11+1),0)</f>
        <v>5</v>
      </c>
      <c r="H11" s="29">
        <f t="shared" si="1"/>
        <v>1</v>
      </c>
      <c r="I11" s="31">
        <f t="shared" si="2"/>
        <v>11.5</v>
      </c>
      <c r="J11" s="32">
        <f t="shared" si="3"/>
        <v>11.5</v>
      </c>
      <c r="K11" s="28">
        <f t="shared" si="5"/>
        <v>19.5</v>
      </c>
      <c r="L11" s="213">
        <f t="shared" si="6"/>
        <v>0.62903225806451613</v>
      </c>
      <c r="N11" s="33">
        <f t="shared" si="4"/>
        <v>202703</v>
      </c>
      <c r="O11" s="210">
        <f t="shared" si="7"/>
        <v>0.62903225806451613</v>
      </c>
    </row>
    <row r="12" spans="1:15" ht="17.25" customHeight="1">
      <c r="B12" s="28">
        <v>5</v>
      </c>
      <c r="C12" s="28">
        <f>$C$5+INT(($E$5-1+4)/12)</f>
        <v>2027</v>
      </c>
      <c r="D12" s="28">
        <f>MOD($E$5-1+4,12)+1</f>
        <v>4</v>
      </c>
      <c r="E12" s="29">
        <f t="shared" si="0"/>
        <v>30</v>
      </c>
      <c r="F12" s="30">
        <f>MAX(IFERROR(INDEX('②-1 기후비작업근거'!$F$69:$Q$69,1,D12),0),IFERROR(INDEX('②-2 기후비작업근거'!$F$72:$Q$72,1,D12),0))</f>
        <v>7</v>
      </c>
      <c r="G12" s="29">
        <f>IFERROR(INDEX(부록참고!$B$5:$N$14,MATCH(C12,INDEX(부록참고!$B$5:$N$14,0,1),0),D12+1),0)</f>
        <v>4</v>
      </c>
      <c r="H12" s="29">
        <f t="shared" si="1"/>
        <v>1</v>
      </c>
      <c r="I12" s="31">
        <f t="shared" si="2"/>
        <v>10</v>
      </c>
      <c r="J12" s="32">
        <f t="shared" si="3"/>
        <v>10</v>
      </c>
      <c r="K12" s="28">
        <f t="shared" si="5"/>
        <v>20</v>
      </c>
      <c r="L12" s="213">
        <f t="shared" si="6"/>
        <v>0.66666666666666663</v>
      </c>
      <c r="N12" s="33">
        <f t="shared" si="4"/>
        <v>202704</v>
      </c>
      <c r="O12" s="210">
        <f t="shared" si="7"/>
        <v>0.66666666666666663</v>
      </c>
    </row>
    <row r="13" spans="1:15" ht="17.25" customHeight="1">
      <c r="B13" s="28">
        <v>6</v>
      </c>
      <c r="C13" s="28">
        <f>$C$5+INT(($E$5-1+5)/12)</f>
        <v>2027</v>
      </c>
      <c r="D13" s="28">
        <f>MOD($E$5-1+5,12)+1</f>
        <v>5</v>
      </c>
      <c r="E13" s="29">
        <f t="shared" si="0"/>
        <v>31</v>
      </c>
      <c r="F13" s="30">
        <f>MAX(IFERROR(INDEX('②-1 기후비작업근거'!$F$69:$Q$69,1,D13),0),IFERROR(INDEX('②-2 기후비작업근거'!$F$72:$Q$72,1,D13),0))</f>
        <v>6.9</v>
      </c>
      <c r="G13" s="29">
        <f>IFERROR(INDEX(부록참고!$B$5:$N$14,MATCH(C13,INDEX(부록참고!$B$5:$N$14,0,1),0),D13+1),0)</f>
        <v>7</v>
      </c>
      <c r="H13" s="29">
        <f t="shared" si="1"/>
        <v>2</v>
      </c>
      <c r="I13" s="31">
        <f t="shared" si="2"/>
        <v>11.9</v>
      </c>
      <c r="J13" s="32">
        <f t="shared" si="3"/>
        <v>11.9</v>
      </c>
      <c r="K13" s="28">
        <f t="shared" si="5"/>
        <v>19.100000000000001</v>
      </c>
      <c r="L13" s="213">
        <f t="shared" si="6"/>
        <v>0.61612903225806459</v>
      </c>
      <c r="N13" s="33">
        <f t="shared" si="4"/>
        <v>202705</v>
      </c>
      <c r="O13" s="210">
        <f t="shared" si="7"/>
        <v>0.61612903225806459</v>
      </c>
    </row>
    <row r="14" spans="1:15" ht="17.25" customHeight="1">
      <c r="B14" s="28">
        <v>7</v>
      </c>
      <c r="C14" s="28">
        <f>$C$5+INT(($E$5-1+6)/12)</f>
        <v>2027</v>
      </c>
      <c r="D14" s="28">
        <f>MOD($E$5-1+6,12)+1</f>
        <v>6</v>
      </c>
      <c r="E14" s="29">
        <f t="shared" si="0"/>
        <v>30</v>
      </c>
      <c r="F14" s="30">
        <f>MAX(IFERROR(INDEX('②-1 기후비작업근거'!$F$69:$Q$69,1,D14),0),IFERROR(INDEX('②-2 기후비작업근거'!$F$72:$Q$72,1,D14),0))</f>
        <v>6</v>
      </c>
      <c r="G14" s="29">
        <f>IFERROR(INDEX(부록참고!$B$5:$N$14,MATCH(C14,INDEX(부록참고!$B$5:$N$14,0,1),0),D14+1),0)</f>
        <v>4</v>
      </c>
      <c r="H14" s="29">
        <f t="shared" si="1"/>
        <v>1</v>
      </c>
      <c r="I14" s="31">
        <f t="shared" si="2"/>
        <v>9</v>
      </c>
      <c r="J14" s="32">
        <f t="shared" si="3"/>
        <v>9</v>
      </c>
      <c r="K14" s="28">
        <f t="shared" si="5"/>
        <v>21</v>
      </c>
      <c r="L14" s="213">
        <f t="shared" si="6"/>
        <v>0.7</v>
      </c>
      <c r="N14" s="33">
        <f t="shared" si="4"/>
        <v>202706</v>
      </c>
      <c r="O14" s="210">
        <f t="shared" si="7"/>
        <v>0.7</v>
      </c>
    </row>
    <row r="15" spans="1:15" ht="17.25" customHeight="1">
      <c r="B15" s="28">
        <v>8</v>
      </c>
      <c r="C15" s="28">
        <f>$C$5+INT(($E$5-1+7)/12)</f>
        <v>2027</v>
      </c>
      <c r="D15" s="28">
        <f>MOD($E$5-1+7,12)+1</f>
        <v>7</v>
      </c>
      <c r="E15" s="29">
        <f t="shared" si="0"/>
        <v>31</v>
      </c>
      <c r="F15" s="30">
        <f>MAX(IFERROR(INDEX('②-1 기후비작업근거'!$F$69:$Q$69,1,D15),0),IFERROR(INDEX('②-2 기후비작업근거'!$F$72:$Q$72,1,D15),0))</f>
        <v>16.3</v>
      </c>
      <c r="G15" s="29">
        <f>IFERROR(INDEX(부록참고!$B$5:$N$14,MATCH(C15,INDEX(부록참고!$B$5:$N$14,0,1),0),D15+1),0)</f>
        <v>4</v>
      </c>
      <c r="H15" s="29">
        <f t="shared" si="1"/>
        <v>2</v>
      </c>
      <c r="I15" s="31">
        <f t="shared" si="2"/>
        <v>18.3</v>
      </c>
      <c r="J15" s="32">
        <f t="shared" si="3"/>
        <v>18.3</v>
      </c>
      <c r="K15" s="28">
        <f t="shared" si="5"/>
        <v>12.7</v>
      </c>
      <c r="L15" s="213">
        <f t="shared" si="6"/>
        <v>0.4096774193548387</v>
      </c>
      <c r="N15" s="33">
        <f t="shared" si="4"/>
        <v>202707</v>
      </c>
      <c r="O15" s="210">
        <f t="shared" si="7"/>
        <v>0.4096774193548387</v>
      </c>
    </row>
    <row r="16" spans="1:15" ht="17.25" customHeight="1">
      <c r="B16" s="28">
        <v>9</v>
      </c>
      <c r="C16" s="28">
        <f>$C$5+INT(($E$5-1+8)/12)</f>
        <v>2027</v>
      </c>
      <c r="D16" s="28">
        <f>MOD($E$5-1+8,12)+1</f>
        <v>8</v>
      </c>
      <c r="E16" s="29">
        <f t="shared" si="0"/>
        <v>31</v>
      </c>
      <c r="F16" s="30">
        <f>MAX(IFERROR(INDEX('②-1 기후비작업근거'!$F$69:$Q$69,1,D16),0),IFERROR(INDEX('②-2 기후비작업근거'!$F$72:$Q$72,1,D16),0))</f>
        <v>17.900000000000002</v>
      </c>
      <c r="G16" s="29">
        <f>IFERROR(INDEX(부록참고!$B$5:$N$14,MATCH(C16,INDEX(부록참고!$B$5:$N$14,0,1),0),D16+1),0)</f>
        <v>6</v>
      </c>
      <c r="H16" s="29">
        <f t="shared" si="1"/>
        <v>3</v>
      </c>
      <c r="I16" s="31">
        <f t="shared" si="2"/>
        <v>20.900000000000002</v>
      </c>
      <c r="J16" s="32">
        <f t="shared" si="3"/>
        <v>20.900000000000002</v>
      </c>
      <c r="K16" s="28">
        <f t="shared" si="5"/>
        <v>10.099999999999998</v>
      </c>
      <c r="L16" s="213">
        <f t="shared" si="6"/>
        <v>0.32580645161290317</v>
      </c>
      <c r="N16" s="33">
        <f t="shared" si="4"/>
        <v>202708</v>
      </c>
      <c r="O16" s="210">
        <f t="shared" si="7"/>
        <v>0.32580645161290317</v>
      </c>
    </row>
    <row r="17" spans="2:15" ht="17.25" customHeight="1">
      <c r="B17" s="28">
        <v>10</v>
      </c>
      <c r="C17" s="28">
        <f>$C$5+INT(($E$5-1+9)/12)</f>
        <v>2027</v>
      </c>
      <c r="D17" s="28">
        <f>MOD($E$5-1+9,12)+1</f>
        <v>9</v>
      </c>
      <c r="E17" s="29">
        <f t="shared" si="0"/>
        <v>30</v>
      </c>
      <c r="F17" s="30">
        <f>MAX(IFERROR(INDEX('②-1 기후비작업근거'!$F$69:$Q$69,1,D17),0),IFERROR(INDEX('②-2 기후비작업근거'!$F$72:$Q$72,1,D17),0))</f>
        <v>4.8999999999999995</v>
      </c>
      <c r="G17" s="29">
        <f>IFERROR(INDEX(부록참고!$B$5:$N$14,MATCH(C17,INDEX(부록참고!$B$5:$N$14,0,1),0),D17+1),0)</f>
        <v>7</v>
      </c>
      <c r="H17" s="29">
        <f t="shared" si="1"/>
        <v>1</v>
      </c>
      <c r="I17" s="31">
        <f t="shared" si="2"/>
        <v>10.899999999999999</v>
      </c>
      <c r="J17" s="32">
        <f t="shared" si="3"/>
        <v>10.899999999999999</v>
      </c>
      <c r="K17" s="28">
        <f t="shared" si="5"/>
        <v>19.100000000000001</v>
      </c>
      <c r="L17" s="213">
        <f t="shared" si="6"/>
        <v>0.63666666666666671</v>
      </c>
      <c r="N17" s="33">
        <f t="shared" si="4"/>
        <v>202709</v>
      </c>
      <c r="O17" s="210">
        <f t="shared" si="7"/>
        <v>0.63666666666666671</v>
      </c>
    </row>
    <row r="18" spans="2:15" ht="17.25" customHeight="1">
      <c r="B18" s="28">
        <v>11</v>
      </c>
      <c r="C18" s="28">
        <f>$C$5+INT(($E$5-1+10)/12)</f>
        <v>2027</v>
      </c>
      <c r="D18" s="28">
        <f>MOD($E$5-1+10,12)+1</f>
        <v>10</v>
      </c>
      <c r="E18" s="29">
        <f t="shared" si="0"/>
        <v>31</v>
      </c>
      <c r="F18" s="30">
        <f>MAX(IFERROR(INDEX('②-1 기후비작업근거'!$F$69:$Q$69,1,D18),0),IFERROR(INDEX('②-2 기후비작업근거'!$F$72:$Q$72,1,D18),0))</f>
        <v>4.2</v>
      </c>
      <c r="G18" s="29">
        <f>IFERROR(INDEX(부록참고!$B$5:$N$14,MATCH(C18,INDEX(부록참고!$B$5:$N$14,0,1),0),D18+1),0)</f>
        <v>8</v>
      </c>
      <c r="H18" s="29">
        <f t="shared" si="1"/>
        <v>1</v>
      </c>
      <c r="I18" s="31">
        <f t="shared" si="2"/>
        <v>11.2</v>
      </c>
      <c r="J18" s="32">
        <f t="shared" si="3"/>
        <v>11.2</v>
      </c>
      <c r="K18" s="28">
        <f t="shared" si="5"/>
        <v>19.8</v>
      </c>
      <c r="L18" s="213">
        <f t="shared" si="6"/>
        <v>0.63870967741935492</v>
      </c>
      <c r="N18" s="33">
        <f t="shared" si="4"/>
        <v>202710</v>
      </c>
      <c r="O18" s="210">
        <f t="shared" si="7"/>
        <v>0.63870967741935492</v>
      </c>
    </row>
    <row r="19" spans="2:15" ht="17.25" customHeight="1">
      <c r="B19" s="28">
        <v>12</v>
      </c>
      <c r="C19" s="28">
        <f>$C$5+INT(($E$5-1+11)/12)</f>
        <v>2027</v>
      </c>
      <c r="D19" s="28">
        <f>MOD($E$5-1+11,12)+1</f>
        <v>11</v>
      </c>
      <c r="E19" s="29">
        <f t="shared" si="0"/>
        <v>30</v>
      </c>
      <c r="F19" s="30">
        <f>MAX(IFERROR(INDEX('②-1 기후비작업근거'!$F$69:$Q$69,1,D19),0),IFERROR(INDEX('②-2 기후비작업근거'!$F$72:$Q$72,1,D19),0))</f>
        <v>6.6</v>
      </c>
      <c r="G19" s="29">
        <f>IFERROR(INDEX(부록참고!$B$5:$N$14,MATCH(C19,INDEX(부록참고!$B$5:$N$14,0,1),0),D19+1),0)</f>
        <v>4</v>
      </c>
      <c r="H19" s="29">
        <f t="shared" si="1"/>
        <v>1</v>
      </c>
      <c r="I19" s="31">
        <f t="shared" si="2"/>
        <v>9.6</v>
      </c>
      <c r="J19" s="32">
        <f t="shared" si="3"/>
        <v>9.6</v>
      </c>
      <c r="K19" s="28">
        <f t="shared" si="5"/>
        <v>20.399999999999999</v>
      </c>
      <c r="L19" s="213">
        <f t="shared" si="6"/>
        <v>0.67999999999999994</v>
      </c>
      <c r="N19" s="33">
        <f t="shared" si="4"/>
        <v>202711</v>
      </c>
      <c r="O19" s="210">
        <f t="shared" si="7"/>
        <v>0.67999999999999994</v>
      </c>
    </row>
    <row r="20" spans="2:15" ht="17.25" customHeight="1">
      <c r="B20" s="28">
        <v>13</v>
      </c>
      <c r="C20" s="28">
        <f>$C$5+INT(($E$5-1+12)/12)</f>
        <v>2027</v>
      </c>
      <c r="D20" s="28">
        <f>MOD($E$5-1+12,12)+1</f>
        <v>12</v>
      </c>
      <c r="E20" s="29">
        <f>DAY(EOMONTH(DATE(C20,D20,1),0))</f>
        <v>31</v>
      </c>
      <c r="F20" s="30">
        <f>MAX(IFERROR(INDEX('②-1 기후비작업근거'!$F$69:$Q$69,1,D20),0),IFERROR(INDEX('②-2 기후비작업근거'!$F$72:$Q$72,1,D20),0))</f>
        <v>14.399999999999999</v>
      </c>
      <c r="G20" s="29">
        <f>IFERROR(INDEX(부록참고!$B$5:$N$14,MATCH(C20,INDEX(부록참고!$B$5:$N$14,0,1),0),D20+1),0)</f>
        <v>6</v>
      </c>
      <c r="H20" s="29">
        <f>ROUND(F20*G20/E20,0)</f>
        <v>3</v>
      </c>
      <c r="I20" s="31">
        <f>F20+G20-H20</f>
        <v>17.399999999999999</v>
      </c>
      <c r="J20" s="32">
        <f>MAX(I20,8)</f>
        <v>17.399999999999999</v>
      </c>
      <c r="K20" s="28">
        <f>E20-J20</f>
        <v>13.600000000000001</v>
      </c>
      <c r="L20" s="213">
        <f>K20/E20</f>
        <v>0.4387096774193549</v>
      </c>
      <c r="N20" s="33">
        <f>C20*100+D20</f>
        <v>202712</v>
      </c>
      <c r="O20" s="210">
        <f>(E20-J20)/E20</f>
        <v>0.4387096774193549</v>
      </c>
    </row>
    <row r="21" spans="2:15" ht="17.25" customHeight="1">
      <c r="B21" s="28">
        <v>14</v>
      </c>
      <c r="C21" s="28">
        <f>$C$5+INT(($E$5-1+13)/12)</f>
        <v>2028</v>
      </c>
      <c r="D21" s="28">
        <f>MOD($E$5-1+13,12)+1</f>
        <v>1</v>
      </c>
      <c r="E21" s="29">
        <f>DAY(EOMONTH(DATE(C21,D21,1),0))</f>
        <v>31</v>
      </c>
      <c r="F21" s="30">
        <f>MAX(IFERROR(INDEX('②-1 기후비작업근거'!$F$69:$Q$69,1,D21),0),IFERROR(INDEX('②-2 기후비작업근거'!$F$72:$Q$72,1,D21),0))</f>
        <v>16.7</v>
      </c>
      <c r="G21" s="29">
        <f>IFERROR(INDEX(부록참고!$B$5:$N$14,MATCH(C21,INDEX(부록참고!$B$5:$N$14,0,1),0),D21+1),0)</f>
        <v>9</v>
      </c>
      <c r="H21" s="29">
        <f>ROUND(F21*G21/E21,0)</f>
        <v>5</v>
      </c>
      <c r="I21" s="31">
        <f>F21+G21-H21</f>
        <v>20.7</v>
      </c>
      <c r="J21" s="32">
        <f>MAX(I21,8)</f>
        <v>20.7</v>
      </c>
      <c r="K21" s="28">
        <f>E21-J21</f>
        <v>10.3</v>
      </c>
      <c r="L21" s="213">
        <f>K21/E21</f>
        <v>0.33225806451612905</v>
      </c>
      <c r="N21" s="33">
        <f>C21*100+D21</f>
        <v>202801</v>
      </c>
      <c r="O21" s="210">
        <f>(E21-J21)/E21</f>
        <v>0.33225806451612905</v>
      </c>
    </row>
    <row r="22" spans="2:15" ht="17.25" customHeight="1">
      <c r="B22" s="28">
        <v>15</v>
      </c>
      <c r="C22" s="28">
        <f>$C$5+INT(($E$5-1+14)/12)</f>
        <v>2028</v>
      </c>
      <c r="D22" s="28">
        <f>MOD($E$5-1+14,12)+1</f>
        <v>2</v>
      </c>
      <c r="E22" s="29">
        <f>DAY(EOMONTH(DATE(C22,D22,1),0))</f>
        <v>29</v>
      </c>
      <c r="F22" s="30">
        <f>MAX(IFERROR(INDEX('②-1 기후비작업근거'!$F$69:$Q$69,1,D22),0),IFERROR(INDEX('②-2 기후비작업근거'!$F$72:$Q$72,1,D22),0))</f>
        <v>9.9</v>
      </c>
      <c r="G22" s="29">
        <f>IFERROR(INDEX(부록참고!$B$5:$N$14,MATCH(C22,INDEX(부록참고!$B$5:$N$14,0,1),0),D22+1),0)</f>
        <v>4</v>
      </c>
      <c r="H22" s="29">
        <f>ROUND(F22*G22/E22,0)</f>
        <v>1</v>
      </c>
      <c r="I22" s="31">
        <f>F22+G22-H22</f>
        <v>12.9</v>
      </c>
      <c r="J22" s="32">
        <f>MAX(I22,8)</f>
        <v>12.9</v>
      </c>
      <c r="K22" s="28">
        <f>E22-J22</f>
        <v>16.100000000000001</v>
      </c>
      <c r="L22" s="213">
        <f>K22/E22</f>
        <v>0.55517241379310345</v>
      </c>
      <c r="N22" s="33">
        <f>C22*100+D22</f>
        <v>202802</v>
      </c>
      <c r="O22" s="210">
        <f>(E22-J22)/E22</f>
        <v>0.55517241379310345</v>
      </c>
    </row>
    <row r="23" spans="2:15" ht="17.25" customHeight="1">
      <c r="B23" s="28">
        <v>16</v>
      </c>
      <c r="C23" s="28">
        <f>$C$5+INT(($E$5-1+15)/12)</f>
        <v>2028</v>
      </c>
      <c r="D23" s="28">
        <f>MOD($E$5-1+15,12)+1</f>
        <v>3</v>
      </c>
      <c r="E23" s="29">
        <f t="shared" si="0"/>
        <v>31</v>
      </c>
      <c r="F23" s="30">
        <f>MAX(IFERROR(INDEX('②-1 기후비작업근거'!$F$69:$Q$69,1,D23),0),IFERROR(INDEX('②-2 기후비작업근거'!$F$72:$Q$72,1,D23),0))</f>
        <v>7.5</v>
      </c>
      <c r="G23" s="29">
        <f>IFERROR(INDEX(부록참고!$B$5:$N$14,MATCH(C23,INDEX(부록참고!$B$5:$N$14,0,1),0),D23+1),0)</f>
        <v>5</v>
      </c>
      <c r="H23" s="29">
        <f t="shared" si="1"/>
        <v>1</v>
      </c>
      <c r="I23" s="31">
        <f t="shared" si="2"/>
        <v>11.5</v>
      </c>
      <c r="J23" s="32">
        <f t="shared" si="3"/>
        <v>11.5</v>
      </c>
      <c r="K23" s="28">
        <f t="shared" si="5"/>
        <v>19.5</v>
      </c>
      <c r="L23" s="213">
        <f t="shared" si="6"/>
        <v>0.62903225806451613</v>
      </c>
      <c r="N23" s="33">
        <f t="shared" si="4"/>
        <v>202803</v>
      </c>
    </row>
    <row r="24" spans="2:15" ht="17.25" customHeight="1">
      <c r="B24" s="28">
        <v>17</v>
      </c>
      <c r="C24" s="28">
        <f>$C$5+INT(($E$5-1+16)/12)</f>
        <v>2028</v>
      </c>
      <c r="D24" s="28">
        <f>MOD($E$5-1+16,12)+1</f>
        <v>4</v>
      </c>
      <c r="E24" s="29">
        <f t="shared" si="0"/>
        <v>30</v>
      </c>
      <c r="F24" s="30">
        <f>MAX(IFERROR(INDEX('②-1 기후비작업근거'!$F$69:$Q$69,1,D24),0),IFERROR(INDEX('②-2 기후비작업근거'!$F$72:$Q$72,1,D24),0))</f>
        <v>7</v>
      </c>
      <c r="G24" s="29">
        <f>IFERROR(INDEX(부록참고!$B$5:$N$14,MATCH(C24,INDEX(부록참고!$B$5:$N$14,0,1),0),D24+1),0)</f>
        <v>5</v>
      </c>
      <c r="H24" s="29">
        <f t="shared" si="1"/>
        <v>1</v>
      </c>
      <c r="I24" s="31">
        <f t="shared" si="2"/>
        <v>11</v>
      </c>
      <c r="J24" s="32">
        <f t="shared" si="3"/>
        <v>11</v>
      </c>
      <c r="K24" s="28">
        <f t="shared" si="5"/>
        <v>19</v>
      </c>
      <c r="L24" s="213">
        <f t="shared" si="6"/>
        <v>0.6333333333333333</v>
      </c>
      <c r="N24" s="33">
        <f t="shared" si="4"/>
        <v>202804</v>
      </c>
    </row>
    <row r="25" spans="2:15" ht="17.25" customHeight="1">
      <c r="B25" s="28">
        <v>18</v>
      </c>
      <c r="C25" s="28">
        <f>$C$5+INT(($E$5-1+17)/12)</f>
        <v>2028</v>
      </c>
      <c r="D25" s="28">
        <f>MOD($E$5-1+17,12)+1</f>
        <v>5</v>
      </c>
      <c r="E25" s="29">
        <f t="shared" si="0"/>
        <v>31</v>
      </c>
      <c r="F25" s="30">
        <f>MAX(IFERROR(INDEX('②-1 기후비작업근거'!$F$69:$Q$69,1,D25),0),IFERROR(INDEX('②-2 기후비작업근거'!$F$72:$Q$72,1,D25),0))</f>
        <v>6.9</v>
      </c>
      <c r="G25" s="29">
        <f>IFERROR(INDEX(부록참고!$B$5:$N$14,MATCH(C25,INDEX(부록참고!$B$5:$N$14,0,1),0),D25+1),0)</f>
        <v>6</v>
      </c>
      <c r="H25" s="29">
        <f t="shared" si="1"/>
        <v>1</v>
      </c>
      <c r="I25" s="31">
        <f t="shared" si="2"/>
        <v>11.9</v>
      </c>
      <c r="J25" s="32">
        <f t="shared" si="3"/>
        <v>11.9</v>
      </c>
      <c r="K25" s="28">
        <f t="shared" si="5"/>
        <v>19.100000000000001</v>
      </c>
      <c r="L25" s="213">
        <f t="shared" si="6"/>
        <v>0.61612903225806459</v>
      </c>
      <c r="N25" s="33">
        <f t="shared" si="4"/>
        <v>202805</v>
      </c>
    </row>
    <row r="26" spans="2:15" ht="17.25" customHeight="1">
      <c r="B26" s="28">
        <v>19</v>
      </c>
      <c r="C26" s="28">
        <f>$C$5+INT(($E$5-1+18)/12)</f>
        <v>2028</v>
      </c>
      <c r="D26" s="28">
        <f>MOD($E$5-1+18,12)+1</f>
        <v>6</v>
      </c>
      <c r="E26" s="29">
        <f t="shared" si="0"/>
        <v>30</v>
      </c>
      <c r="F26" s="30">
        <f>MAX(IFERROR(INDEX('②-1 기후비작업근거'!$F$69:$Q$69,1,D26),0),IFERROR(INDEX('②-2 기후비작업근거'!$F$72:$Q$72,1,D26),0))</f>
        <v>6</v>
      </c>
      <c r="G26" s="29">
        <f>IFERROR(INDEX(부록참고!$B$5:$N$14,MATCH(C26,INDEX(부록참고!$B$5:$N$14,0,1),0),D26+1),0)</f>
        <v>5</v>
      </c>
      <c r="H26" s="29">
        <f t="shared" si="1"/>
        <v>1</v>
      </c>
      <c r="I26" s="31">
        <f t="shared" si="2"/>
        <v>10</v>
      </c>
      <c r="J26" s="32">
        <f t="shared" si="3"/>
        <v>10</v>
      </c>
      <c r="K26" s="28">
        <f t="shared" si="5"/>
        <v>20</v>
      </c>
      <c r="L26" s="213">
        <f t="shared" si="6"/>
        <v>0.66666666666666663</v>
      </c>
      <c r="N26" s="33">
        <f t="shared" si="4"/>
        <v>202806</v>
      </c>
    </row>
    <row r="27" spans="2:15" ht="17.25" customHeight="1">
      <c r="B27" s="28">
        <v>20</v>
      </c>
      <c r="C27" s="28">
        <f>$C$5+INT(($E$5-1+19)/12)</f>
        <v>2028</v>
      </c>
      <c r="D27" s="28">
        <f>MOD($E$5-1+19,12)+1</f>
        <v>7</v>
      </c>
      <c r="E27" s="29">
        <f t="shared" si="0"/>
        <v>31</v>
      </c>
      <c r="F27" s="30">
        <f>MAX(IFERROR(INDEX('②-1 기후비작업근거'!$F$69:$Q$69,1,D27),0),IFERROR(INDEX('②-2 기후비작업근거'!$F$72:$Q$72,1,D27),0))</f>
        <v>16.3</v>
      </c>
      <c r="G27" s="29">
        <f>IFERROR(INDEX(부록참고!$B$5:$N$14,MATCH(C27,INDEX(부록참고!$B$5:$N$14,0,1),0),D27+1),0)</f>
        <v>5</v>
      </c>
      <c r="H27" s="29">
        <f t="shared" si="1"/>
        <v>3</v>
      </c>
      <c r="I27" s="31">
        <f t="shared" si="2"/>
        <v>18.3</v>
      </c>
      <c r="J27" s="32">
        <f t="shared" si="3"/>
        <v>18.3</v>
      </c>
      <c r="K27" s="28">
        <f t="shared" si="5"/>
        <v>12.7</v>
      </c>
      <c r="L27" s="213">
        <f t="shared" si="6"/>
        <v>0.4096774193548387</v>
      </c>
      <c r="N27" s="33">
        <f t="shared" si="4"/>
        <v>202807</v>
      </c>
    </row>
    <row r="28" spans="2:15" ht="17.25" customHeight="1">
      <c r="B28" s="28">
        <v>21</v>
      </c>
      <c r="C28" s="28">
        <f>$C$5+INT(($E$5-1+20)/12)</f>
        <v>2028</v>
      </c>
      <c r="D28" s="28">
        <f>MOD($E$5-1+20,12)+1</f>
        <v>8</v>
      </c>
      <c r="E28" s="29">
        <f t="shared" si="0"/>
        <v>31</v>
      </c>
      <c r="F28" s="30">
        <f>MAX(IFERROR(INDEX('②-1 기후비작업근거'!$F$69:$Q$69,1,D28),0),IFERROR(INDEX('②-2 기후비작업근거'!$F$72:$Q$72,1,D28),0))</f>
        <v>17.900000000000002</v>
      </c>
      <c r="G28" s="29">
        <f>IFERROR(INDEX(부록참고!$B$5:$N$14,MATCH(C28,INDEX(부록참고!$B$5:$N$14,0,1),0),D28+1),0)</f>
        <v>5</v>
      </c>
      <c r="H28" s="29">
        <f t="shared" si="1"/>
        <v>3</v>
      </c>
      <c r="I28" s="31">
        <f t="shared" si="2"/>
        <v>19.900000000000002</v>
      </c>
      <c r="J28" s="32">
        <f t="shared" si="3"/>
        <v>19.900000000000002</v>
      </c>
      <c r="K28" s="28">
        <f t="shared" si="5"/>
        <v>11.099999999999998</v>
      </c>
      <c r="L28" s="213">
        <f t="shared" si="6"/>
        <v>0.35806451612903217</v>
      </c>
      <c r="N28" s="33">
        <f t="shared" si="4"/>
        <v>202808</v>
      </c>
    </row>
    <row r="29" spans="2:15" ht="17.25" customHeight="1">
      <c r="B29" s="28">
        <v>22</v>
      </c>
      <c r="C29" s="28">
        <f>$C$5+INT(($E$5-1+21)/12)</f>
        <v>2028</v>
      </c>
      <c r="D29" s="28">
        <f>MOD($E$5-1+21,12)+1</f>
        <v>9</v>
      </c>
      <c r="E29" s="29">
        <f t="shared" si="0"/>
        <v>30</v>
      </c>
      <c r="F29" s="30">
        <f>MAX(IFERROR(INDEX('②-1 기후비작업근거'!$F$69:$Q$69,1,D29),0),IFERROR(INDEX('②-2 기후비작업근거'!$F$72:$Q$72,1,D29),0))</f>
        <v>4.8999999999999995</v>
      </c>
      <c r="G29" s="29">
        <f>IFERROR(INDEX(부록참고!$B$5:$N$14,MATCH(C29,INDEX(부록참고!$B$5:$N$14,0,1),0),D29+1),0)</f>
        <v>4</v>
      </c>
      <c r="H29" s="29">
        <f t="shared" si="1"/>
        <v>1</v>
      </c>
      <c r="I29" s="31">
        <f t="shared" si="2"/>
        <v>7.8999999999999986</v>
      </c>
      <c r="J29" s="32">
        <f t="shared" si="3"/>
        <v>8</v>
      </c>
      <c r="K29" s="28">
        <f t="shared" si="5"/>
        <v>22</v>
      </c>
      <c r="L29" s="213">
        <f t="shared" si="6"/>
        <v>0.73333333333333328</v>
      </c>
      <c r="N29" s="33">
        <f t="shared" si="4"/>
        <v>202809</v>
      </c>
    </row>
    <row r="30" spans="2:15" ht="17.25" customHeight="1">
      <c r="B30" s="28">
        <v>23</v>
      </c>
      <c r="C30" s="28">
        <f>$C$5+INT(($E$5-1+22)/12)</f>
        <v>2028</v>
      </c>
      <c r="D30" s="28">
        <f>MOD($E$5-1+22,12)+1</f>
        <v>10</v>
      </c>
      <c r="E30" s="29">
        <f t="shared" si="0"/>
        <v>31</v>
      </c>
      <c r="F30" s="30">
        <f>MAX(IFERROR(INDEX('②-1 기후비작업근거'!$F$69:$Q$69,1,D30),0),IFERROR(INDEX('②-2 기후비작업근거'!$F$72:$Q$72,1,D30),0))</f>
        <v>4.2</v>
      </c>
      <c r="G30" s="29">
        <f>IFERROR(INDEX(부록참고!$B$5:$N$14,MATCH(C30,INDEX(부록참고!$B$5:$N$14,0,1),0),D30+1),0)</f>
        <v>10</v>
      </c>
      <c r="H30" s="29">
        <f t="shared" si="1"/>
        <v>1</v>
      </c>
      <c r="I30" s="31">
        <f t="shared" si="2"/>
        <v>13.2</v>
      </c>
      <c r="J30" s="32">
        <f t="shared" si="3"/>
        <v>13.2</v>
      </c>
      <c r="K30" s="28">
        <f t="shared" si="5"/>
        <v>17.8</v>
      </c>
      <c r="L30" s="213">
        <f t="shared" si="6"/>
        <v>0.5741935483870968</v>
      </c>
      <c r="N30" s="33">
        <f t="shared" si="4"/>
        <v>202810</v>
      </c>
    </row>
    <row r="31" spans="2:15" ht="17.25" customHeight="1">
      <c r="B31" s="28">
        <v>24</v>
      </c>
      <c r="C31" s="28">
        <f>$C$5+INT(($E$5-1+23)/12)</f>
        <v>2028</v>
      </c>
      <c r="D31" s="28">
        <f>MOD($E$5-1+23,12)+1</f>
        <v>11</v>
      </c>
      <c r="E31" s="29">
        <f t="shared" si="0"/>
        <v>30</v>
      </c>
      <c r="F31" s="30">
        <f>MAX(IFERROR(INDEX('②-1 기후비작업근거'!$F$69:$Q$69,1,D31),0),IFERROR(INDEX('②-2 기후비작업근거'!$F$72:$Q$72,1,D31),0))</f>
        <v>6.6</v>
      </c>
      <c r="G31" s="29">
        <f>IFERROR(INDEX(부록참고!$B$5:$N$14,MATCH(C31,INDEX(부록참고!$B$5:$N$14,0,1),0),D31+1),0)</f>
        <v>4</v>
      </c>
      <c r="H31" s="29">
        <f t="shared" si="1"/>
        <v>1</v>
      </c>
      <c r="I31" s="31">
        <f t="shared" si="2"/>
        <v>9.6</v>
      </c>
      <c r="J31" s="32">
        <f t="shared" si="3"/>
        <v>9.6</v>
      </c>
      <c r="K31" s="28">
        <f t="shared" si="5"/>
        <v>20.399999999999999</v>
      </c>
      <c r="L31" s="213">
        <f t="shared" si="6"/>
        <v>0.67999999999999994</v>
      </c>
      <c r="N31" s="33">
        <f t="shared" si="4"/>
        <v>202811</v>
      </c>
    </row>
    <row r="32" spans="2:15" ht="17.25" customHeight="1">
      <c r="B32" s="28">
        <v>25</v>
      </c>
      <c r="C32" s="28">
        <f>$C$5+INT(($E$5-1+24)/12)</f>
        <v>2028</v>
      </c>
      <c r="D32" s="28">
        <f>MOD($E$5-1+24,12)+1</f>
        <v>12</v>
      </c>
      <c r="E32" s="29">
        <f>DAY(EOMONTH(DATE(C32,D32,1),0))</f>
        <v>31</v>
      </c>
      <c r="F32" s="30">
        <f>MAX(IFERROR(INDEX('②-1 기후비작업근거'!$F$69:$Q$69,1,D32),0),IFERROR(INDEX('②-2 기후비작업근거'!$F$72:$Q$72,1,D32),0))</f>
        <v>14.399999999999999</v>
      </c>
      <c r="G32" s="29">
        <f>IFERROR(INDEX(부록참고!$B$5:$N$14,MATCH(C32,INDEX(부록참고!$B$5:$N$14,0,1),0),D32+1),0)</f>
        <v>6</v>
      </c>
      <c r="H32" s="29">
        <f>ROUND(F32*G32/E32,0)</f>
        <v>3</v>
      </c>
      <c r="I32" s="31">
        <f>F32+G32-H32</f>
        <v>17.399999999999999</v>
      </c>
      <c r="J32" s="32">
        <f>MAX(I32,8)</f>
        <v>17.399999999999999</v>
      </c>
      <c r="K32" s="28">
        <f>E32-J32</f>
        <v>13.600000000000001</v>
      </c>
      <c r="L32" s="213">
        <f>K32/E32</f>
        <v>0.4387096774193549</v>
      </c>
      <c r="N32" s="33">
        <f>C32*100+D32</f>
        <v>202812</v>
      </c>
      <c r="O32" s="210">
        <f>(E32-J32)/E32</f>
        <v>0.4387096774193549</v>
      </c>
    </row>
    <row r="33" spans="2:15" ht="17.25" customHeight="1">
      <c r="B33" s="28">
        <v>26</v>
      </c>
      <c r="C33" s="28">
        <f>$C$5+INT(($E$5-1+25)/12)</f>
        <v>2029</v>
      </c>
      <c r="D33" s="28">
        <f>MOD($E$5-1+25,12)+1</f>
        <v>1</v>
      </c>
      <c r="E33" s="29">
        <f>DAY(EOMONTH(DATE(C33,D33,1),0))</f>
        <v>31</v>
      </c>
      <c r="F33" s="30">
        <f>MAX(IFERROR(INDEX('②-1 기후비작업근거'!$F$69:$Q$69,1,D33),0),IFERROR(INDEX('②-2 기후비작업근거'!$F$72:$Q$72,1,D33),0))</f>
        <v>16.7</v>
      </c>
      <c r="G33" s="29">
        <f>IFERROR(INDEX(부록참고!$B$5:$N$14,MATCH(C33,INDEX(부록참고!$B$5:$N$14,0,1),0),D33+1),0)</f>
        <v>5</v>
      </c>
      <c r="H33" s="29">
        <f>ROUND(F33*G33/E33,0)</f>
        <v>3</v>
      </c>
      <c r="I33" s="31">
        <f>F33+G33-H33</f>
        <v>18.7</v>
      </c>
      <c r="J33" s="32">
        <f>MAX(I33,8)</f>
        <v>18.7</v>
      </c>
      <c r="K33" s="28">
        <f>E33-J33</f>
        <v>12.3</v>
      </c>
      <c r="L33" s="213">
        <f>K33/E33</f>
        <v>0.39677419354838711</v>
      </c>
      <c r="N33" s="33">
        <f>C33*100+D33</f>
        <v>202901</v>
      </c>
      <c r="O33" s="210">
        <f>(E33-J33)/E33</f>
        <v>0.39677419354838711</v>
      </c>
    </row>
    <row r="34" spans="2:15" ht="17.25" customHeight="1">
      <c r="B34" s="28">
        <v>27</v>
      </c>
      <c r="C34" s="28">
        <f>$C$5+INT(($E$5-1+26)/12)</f>
        <v>2029</v>
      </c>
      <c r="D34" s="28">
        <f>MOD($E$5-1+26,12)+1</f>
        <v>2</v>
      </c>
      <c r="E34" s="29">
        <f>DAY(EOMONTH(DATE(C34,D34,1),0))</f>
        <v>28</v>
      </c>
      <c r="F34" s="30">
        <f>MAX(IFERROR(INDEX('②-1 기후비작업근거'!$F$69:$Q$69,1,D34),0),IFERROR(INDEX('②-2 기후비작업근거'!$F$72:$Q$72,1,D34),0))</f>
        <v>9.9</v>
      </c>
      <c r="G34" s="29">
        <f>IFERROR(INDEX(부록참고!$B$5:$N$14,MATCH(C34,INDEX(부록참고!$B$5:$N$14,0,1),0),D34+1),0)</f>
        <v>7</v>
      </c>
      <c r="H34" s="29">
        <f>ROUND(F34*G34/E34,0)</f>
        <v>2</v>
      </c>
      <c r="I34" s="31">
        <f>F34+G34-H34</f>
        <v>14.899999999999999</v>
      </c>
      <c r="J34" s="32">
        <f>MAX(I34,8)</f>
        <v>14.899999999999999</v>
      </c>
      <c r="K34" s="28">
        <f>E34-J34</f>
        <v>13.100000000000001</v>
      </c>
      <c r="L34" s="213">
        <f>K34/E34</f>
        <v>0.46785714285714292</v>
      </c>
      <c r="N34" s="33">
        <f>C34*100+D34</f>
        <v>202902</v>
      </c>
      <c r="O34" s="210">
        <f>(E34-J34)/E34</f>
        <v>0.46785714285714292</v>
      </c>
    </row>
    <row r="35" spans="2:15" ht="17.25" customHeight="1">
      <c r="B35" s="28">
        <v>28</v>
      </c>
      <c r="C35" s="28">
        <f>$C$5+INT(($E$5-1+27)/12)</f>
        <v>2029</v>
      </c>
      <c r="D35" s="28">
        <f>MOD($E$5-1+27,12)+1</f>
        <v>3</v>
      </c>
      <c r="E35" s="29">
        <f t="shared" si="0"/>
        <v>31</v>
      </c>
      <c r="F35" s="30">
        <f>MAX(IFERROR(INDEX('②-1 기후비작업근거'!$F$69:$Q$69,1,D35),0),IFERROR(INDEX('②-2 기후비작업근거'!$F$72:$Q$72,1,D35),0))</f>
        <v>7.5</v>
      </c>
      <c r="G35" s="29">
        <f>IFERROR(INDEX(부록참고!$B$5:$N$14,MATCH(C35,INDEX(부록참고!$B$5:$N$14,0,1),0),D35+1),0)</f>
        <v>5</v>
      </c>
      <c r="H35" s="29">
        <f t="shared" si="1"/>
        <v>1</v>
      </c>
      <c r="I35" s="31">
        <f t="shared" si="2"/>
        <v>11.5</v>
      </c>
      <c r="J35" s="32">
        <f t="shared" si="3"/>
        <v>11.5</v>
      </c>
      <c r="K35" s="28">
        <f t="shared" si="5"/>
        <v>19.5</v>
      </c>
      <c r="L35" s="213">
        <f t="shared" si="6"/>
        <v>0.62903225806451613</v>
      </c>
      <c r="N35" s="33">
        <f t="shared" si="4"/>
        <v>202903</v>
      </c>
    </row>
    <row r="36" spans="2:15" ht="17.25" customHeight="1">
      <c r="B36" s="28">
        <v>29</v>
      </c>
      <c r="C36" s="28">
        <f>$C$5+INT(($E$5-1+28)/12)</f>
        <v>2029</v>
      </c>
      <c r="D36" s="28">
        <f>MOD($E$5-1+28,12)+1</f>
        <v>4</v>
      </c>
      <c r="E36" s="29">
        <f t="shared" si="0"/>
        <v>30</v>
      </c>
      <c r="F36" s="30">
        <f>MAX(IFERROR(INDEX('②-1 기후비작업근거'!$F$69:$Q$69,1,D36),0),IFERROR(INDEX('②-2 기후비작업근거'!$F$72:$Q$72,1,D36),0))</f>
        <v>7</v>
      </c>
      <c r="G36" s="29">
        <f>IFERROR(INDEX(부록참고!$B$5:$N$14,MATCH(C36,INDEX(부록참고!$B$5:$N$14,0,1),0),D36+1),0)</f>
        <v>5</v>
      </c>
      <c r="H36" s="29">
        <f t="shared" si="1"/>
        <v>1</v>
      </c>
      <c r="I36" s="31">
        <f t="shared" si="2"/>
        <v>11</v>
      </c>
      <c r="J36" s="32">
        <f t="shared" si="3"/>
        <v>11</v>
      </c>
      <c r="K36" s="28">
        <f t="shared" si="5"/>
        <v>19</v>
      </c>
      <c r="L36" s="213">
        <f t="shared" si="6"/>
        <v>0.6333333333333333</v>
      </c>
      <c r="N36" s="33">
        <f t="shared" si="4"/>
        <v>202904</v>
      </c>
    </row>
    <row r="37" spans="2:15" ht="17.25" customHeight="1">
      <c r="B37" s="28">
        <v>30</v>
      </c>
      <c r="C37" s="28">
        <f>$C$5+INT(($E$5-1+29)/12)</f>
        <v>2029</v>
      </c>
      <c r="D37" s="28">
        <f>MOD($E$5-1+29,12)+1</f>
        <v>5</v>
      </c>
      <c r="E37" s="29">
        <f t="shared" si="0"/>
        <v>31</v>
      </c>
      <c r="F37" s="30">
        <f>MAX(IFERROR(INDEX('②-1 기후비작업근거'!$F$69:$Q$69,1,D37),0),IFERROR(INDEX('②-2 기후비작업근거'!$F$72:$Q$72,1,D37),0))</f>
        <v>6.9</v>
      </c>
      <c r="G37" s="29">
        <f>IFERROR(INDEX(부록참고!$B$5:$N$14,MATCH(C37,INDEX(부록참고!$B$5:$N$14,0,1),0),D37+1),0)</f>
        <v>7</v>
      </c>
      <c r="H37" s="29">
        <f t="shared" si="1"/>
        <v>2</v>
      </c>
      <c r="I37" s="31">
        <f t="shared" si="2"/>
        <v>11.9</v>
      </c>
      <c r="J37" s="32">
        <f t="shared" si="3"/>
        <v>11.9</v>
      </c>
      <c r="K37" s="28">
        <f t="shared" si="5"/>
        <v>19.100000000000001</v>
      </c>
      <c r="L37" s="213">
        <f t="shared" si="6"/>
        <v>0.61612903225806459</v>
      </c>
      <c r="N37" s="33">
        <f t="shared" si="4"/>
        <v>202905</v>
      </c>
    </row>
    <row r="38" spans="2:15" ht="17.25" customHeight="1">
      <c r="B38" s="28">
        <v>31</v>
      </c>
      <c r="C38" s="28">
        <f>$C$5+INT(($E$5-1+30)/12)</f>
        <v>2029</v>
      </c>
      <c r="D38" s="28">
        <f>MOD($E$5-1+30,12)+1</f>
        <v>6</v>
      </c>
      <c r="E38" s="29">
        <f t="shared" si="0"/>
        <v>30</v>
      </c>
      <c r="F38" s="30">
        <f>MAX(IFERROR(INDEX('②-1 기후비작업근거'!$F$69:$Q$69,1,D38),0),IFERROR(INDEX('②-2 기후비작업근거'!$F$72:$Q$72,1,D38),0))</f>
        <v>6</v>
      </c>
      <c r="G38" s="29">
        <f>IFERROR(INDEX(부록참고!$B$5:$N$14,MATCH(C38,INDEX(부록참고!$B$5:$N$14,0,1),0),D38+1),0)</f>
        <v>5</v>
      </c>
      <c r="H38" s="29">
        <f t="shared" si="1"/>
        <v>1</v>
      </c>
      <c r="I38" s="31">
        <f t="shared" si="2"/>
        <v>10</v>
      </c>
      <c r="J38" s="32">
        <f t="shared" si="3"/>
        <v>10</v>
      </c>
      <c r="K38" s="28">
        <f t="shared" si="5"/>
        <v>20</v>
      </c>
      <c r="L38" s="213">
        <f t="shared" si="6"/>
        <v>0.66666666666666663</v>
      </c>
      <c r="N38" s="33">
        <f t="shared" si="4"/>
        <v>202906</v>
      </c>
    </row>
    <row r="39" spans="2:15" ht="17.25" customHeight="1">
      <c r="B39" s="28">
        <v>32</v>
      </c>
      <c r="C39" s="28">
        <f>$C$5+INT(($E$5-1+31)/12)</f>
        <v>2029</v>
      </c>
      <c r="D39" s="28">
        <f>MOD($E$5-1+31,12)+1</f>
        <v>7</v>
      </c>
      <c r="E39" s="29">
        <f t="shared" si="0"/>
        <v>31</v>
      </c>
      <c r="F39" s="30">
        <f>MAX(IFERROR(INDEX('②-1 기후비작업근거'!$F$69:$Q$69,1,D39),0),IFERROR(INDEX('②-2 기후비작업근거'!$F$72:$Q$72,1,D39),0))</f>
        <v>16.3</v>
      </c>
      <c r="G39" s="29">
        <f>IFERROR(INDEX(부록참고!$B$5:$N$14,MATCH(C39,INDEX(부록참고!$B$5:$N$14,0,1),0),D39+1),0)</f>
        <v>5</v>
      </c>
      <c r="H39" s="29">
        <f t="shared" si="1"/>
        <v>3</v>
      </c>
      <c r="I39" s="31">
        <f t="shared" si="2"/>
        <v>18.3</v>
      </c>
      <c r="J39" s="32">
        <f t="shared" si="3"/>
        <v>18.3</v>
      </c>
      <c r="K39" s="28">
        <f t="shared" si="5"/>
        <v>12.7</v>
      </c>
      <c r="L39" s="213">
        <f t="shared" si="6"/>
        <v>0.4096774193548387</v>
      </c>
      <c r="N39" s="33">
        <f t="shared" si="4"/>
        <v>202907</v>
      </c>
    </row>
    <row r="40" spans="2:15" ht="17.25" customHeight="1">
      <c r="B40" s="28">
        <v>33</v>
      </c>
      <c r="C40" s="28">
        <f>$C$5+INT(($E$5-1+32)/12)</f>
        <v>2029</v>
      </c>
      <c r="D40" s="28">
        <f>MOD($E$5-1+32,12)+1</f>
        <v>8</v>
      </c>
      <c r="E40" s="29">
        <f t="shared" si="0"/>
        <v>31</v>
      </c>
      <c r="F40" s="30">
        <f>MAX(IFERROR(INDEX('②-1 기후비작업근거'!$F$69:$Q$69,1,D40),0),IFERROR(INDEX('②-2 기후비작업근거'!$F$72:$Q$72,1,D40),0))</f>
        <v>17.900000000000002</v>
      </c>
      <c r="G40" s="29">
        <f>IFERROR(INDEX(부록참고!$B$5:$N$14,MATCH(C40,INDEX(부록참고!$B$5:$N$14,0,1),0),D40+1),0)</f>
        <v>5</v>
      </c>
      <c r="H40" s="29">
        <f t="shared" si="1"/>
        <v>3</v>
      </c>
      <c r="I40" s="31">
        <f t="shared" si="2"/>
        <v>19.900000000000002</v>
      </c>
      <c r="J40" s="32">
        <f t="shared" si="3"/>
        <v>19.900000000000002</v>
      </c>
      <c r="K40" s="28">
        <f t="shared" si="5"/>
        <v>11.099999999999998</v>
      </c>
      <c r="L40" s="213">
        <f t="shared" si="6"/>
        <v>0.35806451612903217</v>
      </c>
      <c r="N40" s="33">
        <f t="shared" si="4"/>
        <v>202908</v>
      </c>
    </row>
    <row r="41" spans="2:15" ht="17.25" customHeight="1">
      <c r="B41" s="28">
        <v>34</v>
      </c>
      <c r="C41" s="28">
        <f>$C$5+INT(($E$5-1+33)/12)</f>
        <v>2029</v>
      </c>
      <c r="D41" s="28">
        <f>MOD($E$5-1+33,12)+1</f>
        <v>9</v>
      </c>
      <c r="E41" s="29">
        <f t="shared" si="0"/>
        <v>30</v>
      </c>
      <c r="F41" s="30">
        <f>MAX(IFERROR(INDEX('②-1 기후비작업근거'!$F$69:$Q$69,1,D41),0),IFERROR(INDEX('②-2 기후비작업근거'!$F$72:$Q$72,1,D41),0))</f>
        <v>4.8999999999999995</v>
      </c>
      <c r="G41" s="29">
        <f>IFERROR(INDEX(부록참고!$B$5:$N$14,MATCH(C41,INDEX(부록참고!$B$5:$N$14,0,1),0),D41+1),0)</f>
        <v>8</v>
      </c>
      <c r="H41" s="29">
        <f t="shared" si="1"/>
        <v>1</v>
      </c>
      <c r="I41" s="31">
        <f t="shared" si="2"/>
        <v>11.899999999999999</v>
      </c>
      <c r="J41" s="32">
        <f t="shared" si="3"/>
        <v>11.899999999999999</v>
      </c>
      <c r="K41" s="28">
        <f t="shared" si="5"/>
        <v>18.100000000000001</v>
      </c>
      <c r="L41" s="213">
        <f t="shared" si="6"/>
        <v>0.60333333333333339</v>
      </c>
      <c r="N41" s="33">
        <f t="shared" si="4"/>
        <v>202909</v>
      </c>
    </row>
    <row r="42" spans="2:15" ht="17.25" customHeight="1">
      <c r="B42" s="28">
        <v>35</v>
      </c>
      <c r="C42" s="28">
        <f>$C$5+INT(($E$5-1+34)/12)</f>
        <v>2029</v>
      </c>
      <c r="D42" s="28">
        <f>MOD($E$5-1+34,12)+1</f>
        <v>10</v>
      </c>
      <c r="E42" s="29">
        <f t="shared" si="0"/>
        <v>31</v>
      </c>
      <c r="F42" s="30">
        <f>MAX(IFERROR(INDEX('②-1 기후비작업근거'!$F$69:$Q$69,1,D42),0),IFERROR(INDEX('②-2 기후비작업근거'!$F$72:$Q$72,1,D42),0))</f>
        <v>4.2</v>
      </c>
      <c r="G42" s="29">
        <f>IFERROR(INDEX(부록참고!$B$5:$N$14,MATCH(C42,INDEX(부록참고!$B$5:$N$14,0,1),0),D42+1),0)</f>
        <v>6</v>
      </c>
      <c r="H42" s="29">
        <f t="shared" si="1"/>
        <v>1</v>
      </c>
      <c r="I42" s="31">
        <f t="shared" si="2"/>
        <v>9.1999999999999993</v>
      </c>
      <c r="J42" s="32">
        <f t="shared" si="3"/>
        <v>9.1999999999999993</v>
      </c>
      <c r="K42" s="28">
        <f t="shared" si="5"/>
        <v>21.8</v>
      </c>
      <c r="L42" s="213">
        <f t="shared" si="6"/>
        <v>0.70322580645161292</v>
      </c>
      <c r="N42" s="33">
        <f t="shared" si="4"/>
        <v>202910</v>
      </c>
    </row>
    <row r="43" spans="2:15" ht="17.25" customHeight="1">
      <c r="B43" s="28">
        <v>36</v>
      </c>
      <c r="C43" s="28">
        <f>$C$5+INT(($E$5-1+35)/12)</f>
        <v>2029</v>
      </c>
      <c r="D43" s="28">
        <f>MOD($E$5-1+35,12)+1</f>
        <v>11</v>
      </c>
      <c r="E43" s="29">
        <f t="shared" si="0"/>
        <v>30</v>
      </c>
      <c r="F43" s="30">
        <f>MAX(IFERROR(INDEX('②-1 기후비작업근거'!$F$69:$Q$69,1,D43),0),IFERROR(INDEX('②-2 기후비작업근거'!$F$72:$Q$72,1,D43),0))</f>
        <v>6.6</v>
      </c>
      <c r="G43" s="29">
        <f>IFERROR(INDEX(부록참고!$B$5:$N$14,MATCH(C43,INDEX(부록참고!$B$5:$N$14,0,1),0),D43+1),0)</f>
        <v>4</v>
      </c>
      <c r="H43" s="29">
        <f t="shared" si="1"/>
        <v>1</v>
      </c>
      <c r="I43" s="31">
        <f t="shared" si="2"/>
        <v>9.6</v>
      </c>
      <c r="J43" s="32">
        <f t="shared" si="3"/>
        <v>9.6</v>
      </c>
      <c r="K43" s="28">
        <f t="shared" si="5"/>
        <v>20.399999999999999</v>
      </c>
      <c r="L43" s="213">
        <f t="shared" si="6"/>
        <v>0.67999999999999994</v>
      </c>
      <c r="N43" s="33">
        <f t="shared" si="4"/>
        <v>202911</v>
      </c>
    </row>
    <row r="44" spans="2:15" ht="17.25" customHeight="1">
      <c r="B44" s="28">
        <v>37</v>
      </c>
      <c r="C44" s="28">
        <f>$C$5+INT(($E$5-1+36)/12)</f>
        <v>2029</v>
      </c>
      <c r="D44" s="28">
        <f>MOD($E$5-1+36,12)+1</f>
        <v>12</v>
      </c>
      <c r="E44" s="29">
        <f>DAY(EOMONTH(DATE(C44,D44,1),0))</f>
        <v>31</v>
      </c>
      <c r="F44" s="30">
        <f>MAX(IFERROR(INDEX('②-1 기후비작업근거'!$F$69:$Q$69,1,D44),0),IFERROR(INDEX('②-2 기후비작업근거'!$F$72:$Q$72,1,D44),0))</f>
        <v>14.399999999999999</v>
      </c>
      <c r="G44" s="29">
        <f>IFERROR(INDEX(부록참고!$B$5:$N$14,MATCH(C44,INDEX(부록참고!$B$5:$N$14,0,1),0),D44+1),0)</f>
        <v>6</v>
      </c>
      <c r="H44" s="29">
        <f>ROUND(F44*G44/E44,0)</f>
        <v>3</v>
      </c>
      <c r="I44" s="31">
        <f>F44+G44-H44</f>
        <v>17.399999999999999</v>
      </c>
      <c r="J44" s="32">
        <f>MAX(I44,8)</f>
        <v>17.399999999999999</v>
      </c>
      <c r="K44" s="28">
        <f>E44-J44</f>
        <v>13.600000000000001</v>
      </c>
      <c r="L44" s="213">
        <f>K44/E44</f>
        <v>0.4387096774193549</v>
      </c>
      <c r="N44" s="33">
        <f>C44*100+D44</f>
        <v>202912</v>
      </c>
      <c r="O44" s="210">
        <f>(E44-J44)/E44</f>
        <v>0.4387096774193549</v>
      </c>
    </row>
    <row r="45" spans="2:15" ht="17.25" customHeight="1">
      <c r="B45" s="28">
        <v>38</v>
      </c>
      <c r="C45" s="28">
        <f>$C$5+INT(($E$5-1+37)/12)</f>
        <v>2030</v>
      </c>
      <c r="D45" s="28">
        <f>MOD($E$5-1+37,12)+1</f>
        <v>1</v>
      </c>
      <c r="E45" s="29">
        <f>DAY(EOMONTH(DATE(C45,D45,1),0))</f>
        <v>31</v>
      </c>
      <c r="F45" s="30">
        <f>MAX(IFERROR(INDEX('②-1 기후비작업근거'!$F$69:$Q$69,1,D45),0),IFERROR(INDEX('②-2 기후비작업근거'!$F$72:$Q$72,1,D45),0))</f>
        <v>16.7</v>
      </c>
      <c r="G45" s="29">
        <f>IFERROR(INDEX(부록참고!$B$5:$N$14,MATCH(C45,INDEX(부록참고!$B$5:$N$14,0,1),0),D45+1),0)</f>
        <v>5</v>
      </c>
      <c r="H45" s="29">
        <f>ROUND(F45*G45/E45,0)</f>
        <v>3</v>
      </c>
      <c r="I45" s="31">
        <f>F45+G45-H45</f>
        <v>18.7</v>
      </c>
      <c r="J45" s="32">
        <f>MAX(I45,8)</f>
        <v>18.7</v>
      </c>
      <c r="K45" s="28">
        <f>E45-J45</f>
        <v>12.3</v>
      </c>
      <c r="L45" s="213">
        <f>K45/E45</f>
        <v>0.39677419354838711</v>
      </c>
      <c r="N45" s="33">
        <f>C45*100+D45</f>
        <v>203001</v>
      </c>
      <c r="O45" s="210">
        <f>(E45-J45)/E45</f>
        <v>0.39677419354838711</v>
      </c>
    </row>
    <row r="46" spans="2:15" ht="17.25" customHeight="1">
      <c r="B46" s="28">
        <v>39</v>
      </c>
      <c r="C46" s="28">
        <f>$C$5+INT(($E$5-1+38)/12)</f>
        <v>2030</v>
      </c>
      <c r="D46" s="28">
        <f>MOD($E$5-1+38,12)+1</f>
        <v>2</v>
      </c>
      <c r="E46" s="29">
        <f>DAY(EOMONTH(DATE(C46,D46,1),0))</f>
        <v>28</v>
      </c>
      <c r="F46" s="30">
        <f>MAX(IFERROR(INDEX('②-1 기후비작업근거'!$F$69:$Q$69,1,D46),0),IFERROR(INDEX('②-2 기후비작업근거'!$F$72:$Q$72,1,D46),0))</f>
        <v>9.9</v>
      </c>
      <c r="G46" s="29">
        <f>IFERROR(INDEX(부록참고!$B$5:$N$14,MATCH(C46,INDEX(부록참고!$B$5:$N$14,0,1),0),D46+1),0)</f>
        <v>7</v>
      </c>
      <c r="H46" s="29">
        <f>ROUND(F46*G46/E46,0)</f>
        <v>2</v>
      </c>
      <c r="I46" s="31">
        <f>F46+G46-H46</f>
        <v>14.899999999999999</v>
      </c>
      <c r="J46" s="32">
        <f>MAX(I46,8)</f>
        <v>14.899999999999999</v>
      </c>
      <c r="K46" s="28">
        <f>E46-J46</f>
        <v>13.100000000000001</v>
      </c>
      <c r="L46" s="213">
        <f>K46/E46</f>
        <v>0.46785714285714292</v>
      </c>
      <c r="N46" s="33">
        <f>C46*100+D46</f>
        <v>203002</v>
      </c>
      <c r="O46" s="210">
        <f>(E46-J46)/E46</f>
        <v>0.46785714285714292</v>
      </c>
    </row>
    <row r="47" spans="2:15" ht="17.25" customHeight="1">
      <c r="B47" s="28">
        <v>40</v>
      </c>
      <c r="C47" s="28">
        <v>2030</v>
      </c>
      <c r="D47" s="28">
        <v>3</v>
      </c>
      <c r="E47" s="29">
        <f t="shared" ref="E44:E52" si="8">DAY(EOMONTH(DATE(C47,D47,1),0))</f>
        <v>31</v>
      </c>
      <c r="F47" s="30">
        <f>MAX(IFERROR(INDEX('②-1 기후비작업근거'!$F$69:$Q$69,1,D47),0),IFERROR(INDEX('②-2 기후비작업근거'!$F$72:$Q$72,1,D47),0))</f>
        <v>7.5</v>
      </c>
      <c r="G47" s="29">
        <f>IFERROR(INDEX(부록참고!$B$5:$N$14,MATCH(C47,INDEX(부록참고!$B$5:$N$14,0,1),0),D47+1),0)</f>
        <v>6</v>
      </c>
      <c r="H47" s="29">
        <f t="shared" ref="H47:H52" si="9">ROUND(F47*G47/E47,0)</f>
        <v>1</v>
      </c>
      <c r="I47" s="31">
        <f t="shared" ref="I47:I52" si="10">F47+G47-H47</f>
        <v>12.5</v>
      </c>
      <c r="J47" s="32">
        <f t="shared" ref="J47:J52" si="11">MAX(I47,8)</f>
        <v>12.5</v>
      </c>
      <c r="K47" s="28">
        <f t="shared" si="5"/>
        <v>18.5</v>
      </c>
      <c r="L47" s="213">
        <f t="shared" si="6"/>
        <v>0.59677419354838712</v>
      </c>
      <c r="N47" s="33">
        <f t="shared" ref="N44:N52" si="12">C47*100+D47</f>
        <v>203003</v>
      </c>
    </row>
    <row r="48" spans="2:15" ht="17.25" customHeight="1">
      <c r="B48" s="28">
        <v>41</v>
      </c>
      <c r="C48" s="28">
        <v>2030</v>
      </c>
      <c r="D48" s="28">
        <v>4</v>
      </c>
      <c r="E48" s="29">
        <f t="shared" si="8"/>
        <v>30</v>
      </c>
      <c r="F48" s="30">
        <f>MAX(IFERROR(INDEX('②-1 기후비작업근거'!$F$69:$Q$69,1,D48),0),IFERROR(INDEX('②-2 기후비작업근거'!$F$72:$Q$72,1,D48),0))</f>
        <v>7</v>
      </c>
      <c r="G48" s="29">
        <f>IFERROR(INDEX(부록참고!$B$5:$N$14,MATCH(C48,INDEX(부록참고!$B$5:$N$14,0,1),0),D48+1),0)</f>
        <v>4</v>
      </c>
      <c r="H48" s="29">
        <f t="shared" si="9"/>
        <v>1</v>
      </c>
      <c r="I48" s="31">
        <f t="shared" si="10"/>
        <v>10</v>
      </c>
      <c r="J48" s="32">
        <f t="shared" si="11"/>
        <v>10</v>
      </c>
      <c r="K48" s="28">
        <f t="shared" si="5"/>
        <v>20</v>
      </c>
      <c r="L48" s="213">
        <f t="shared" si="6"/>
        <v>0.66666666666666663</v>
      </c>
      <c r="N48" s="33">
        <f t="shared" si="12"/>
        <v>203004</v>
      </c>
    </row>
    <row r="49" spans="2:14" ht="17.25" customHeight="1">
      <c r="B49" s="28">
        <v>42</v>
      </c>
      <c r="C49" s="28">
        <v>2030</v>
      </c>
      <c r="D49" s="28">
        <v>5</v>
      </c>
      <c r="E49" s="29">
        <f t="shared" si="8"/>
        <v>31</v>
      </c>
      <c r="F49" s="30">
        <f>MAX(IFERROR(INDEX('②-1 기후비작업근거'!$F$69:$Q$69,1,D49),0),IFERROR(INDEX('②-2 기후비작업근거'!$F$72:$Q$72,1,D49),0))</f>
        <v>6.9</v>
      </c>
      <c r="G49" s="29">
        <f>IFERROR(INDEX(부록참고!$B$5:$N$14,MATCH(C49,INDEX(부록참고!$B$5:$N$14,0,1),0),D49+1),0)</f>
        <v>6</v>
      </c>
      <c r="H49" s="29">
        <f t="shared" si="9"/>
        <v>1</v>
      </c>
      <c r="I49" s="31">
        <f t="shared" si="10"/>
        <v>11.9</v>
      </c>
      <c r="J49" s="32">
        <f t="shared" si="11"/>
        <v>11.9</v>
      </c>
      <c r="K49" s="28">
        <f t="shared" si="5"/>
        <v>19.100000000000001</v>
      </c>
      <c r="L49" s="213">
        <f t="shared" si="6"/>
        <v>0.61612903225806459</v>
      </c>
      <c r="N49" s="33">
        <f t="shared" si="12"/>
        <v>203005</v>
      </c>
    </row>
    <row r="50" spans="2:14" ht="17.25" customHeight="1">
      <c r="B50" s="28">
        <v>43</v>
      </c>
      <c r="C50" s="28">
        <v>2030</v>
      </c>
      <c r="D50" s="28">
        <v>6</v>
      </c>
      <c r="E50" s="29">
        <f t="shared" si="8"/>
        <v>30</v>
      </c>
      <c r="F50" s="30">
        <f>MAX(IFERROR(INDEX('②-1 기후비작업근거'!$F$69:$Q$69,1,D50),0),IFERROR(INDEX('②-2 기후비작업근거'!$F$72:$Q$72,1,D50),0))</f>
        <v>6</v>
      </c>
      <c r="G50" s="29">
        <f>IFERROR(INDEX(부록참고!$B$5:$N$14,MATCH(C50,INDEX(부록참고!$B$5:$N$14,0,1),0),D50+1),0)</f>
        <v>6</v>
      </c>
      <c r="H50" s="29">
        <f t="shared" si="9"/>
        <v>1</v>
      </c>
      <c r="I50" s="31">
        <f t="shared" si="10"/>
        <v>11</v>
      </c>
      <c r="J50" s="32">
        <f t="shared" si="11"/>
        <v>11</v>
      </c>
      <c r="K50" s="28">
        <f t="shared" si="5"/>
        <v>19</v>
      </c>
      <c r="L50" s="213">
        <f t="shared" si="6"/>
        <v>0.6333333333333333</v>
      </c>
      <c r="N50" s="33">
        <f t="shared" si="12"/>
        <v>203006</v>
      </c>
    </row>
    <row r="51" spans="2:14" ht="17.25" customHeight="1">
      <c r="B51" s="28">
        <v>44</v>
      </c>
      <c r="C51" s="28">
        <v>2030</v>
      </c>
      <c r="D51" s="28">
        <v>7</v>
      </c>
      <c r="E51" s="29">
        <f t="shared" si="8"/>
        <v>31</v>
      </c>
      <c r="F51" s="30">
        <f>MAX(IFERROR(INDEX('②-1 기후비작업근거'!$F$69:$Q$69,1,D51),0),IFERROR(INDEX('②-2 기후비작업근거'!$F$72:$Q$72,1,D51),0))</f>
        <v>16.3</v>
      </c>
      <c r="G51" s="29">
        <f>IFERROR(INDEX(부록참고!$B$5:$N$14,MATCH(C51,INDEX(부록참고!$B$5:$N$14,0,1),0),D51+1),0)</f>
        <v>4</v>
      </c>
      <c r="H51" s="29">
        <f t="shared" si="9"/>
        <v>2</v>
      </c>
      <c r="I51" s="31">
        <f t="shared" si="10"/>
        <v>18.3</v>
      </c>
      <c r="J51" s="32">
        <f t="shared" si="11"/>
        <v>18.3</v>
      </c>
      <c r="K51" s="28">
        <f t="shared" si="5"/>
        <v>12.7</v>
      </c>
      <c r="L51" s="213">
        <f t="shared" si="6"/>
        <v>0.4096774193548387</v>
      </c>
      <c r="N51" s="33">
        <f t="shared" si="12"/>
        <v>203007</v>
      </c>
    </row>
    <row r="52" spans="2:14" ht="17.25" customHeight="1">
      <c r="B52" s="28">
        <v>45</v>
      </c>
      <c r="C52" s="28">
        <v>2030</v>
      </c>
      <c r="D52" s="28">
        <v>8</v>
      </c>
      <c r="E52" s="29">
        <f t="shared" si="8"/>
        <v>31</v>
      </c>
      <c r="F52" s="30">
        <f>MAX(IFERROR(INDEX('②-1 기후비작업근거'!$F$69:$Q$69,1,D52),0),IFERROR(INDEX('②-2 기후비작업근거'!$F$72:$Q$72,1,D52),0))</f>
        <v>17.900000000000002</v>
      </c>
      <c r="G52" s="29">
        <f>IFERROR(INDEX(부록참고!$B$5:$N$14,MATCH(C52,INDEX(부록참고!$B$5:$N$14,0,1),0),D52+1),0)</f>
        <v>5</v>
      </c>
      <c r="H52" s="29">
        <f t="shared" si="9"/>
        <v>3</v>
      </c>
      <c r="I52" s="31">
        <f t="shared" si="10"/>
        <v>19.900000000000002</v>
      </c>
      <c r="J52" s="32">
        <f t="shared" si="11"/>
        <v>19.900000000000002</v>
      </c>
      <c r="K52" s="28">
        <f t="shared" si="5"/>
        <v>11.099999999999998</v>
      </c>
      <c r="L52" s="213">
        <f t="shared" si="6"/>
        <v>0.35806451612903217</v>
      </c>
      <c r="N52" s="33">
        <f t="shared" si="12"/>
        <v>203008</v>
      </c>
    </row>
    <row r="53" spans="2:14" ht="17.25" customHeight="1">
      <c r="B53" s="480" t="s">
        <v>826</v>
      </c>
      <c r="C53" s="481"/>
      <c r="D53" s="481"/>
      <c r="E53" s="481"/>
      <c r="F53" s="481"/>
      <c r="G53" s="481"/>
      <c r="H53" s="481"/>
      <c r="I53" s="481"/>
      <c r="J53" s="481"/>
      <c r="K53" s="481"/>
      <c r="L53" s="212">
        <f>AVERAGE(L8:L52)</f>
        <v>0.54193624309197175</v>
      </c>
    </row>
    <row r="54" spans="2:14">
      <c r="B54" s="23" t="s">
        <v>84</v>
      </c>
    </row>
    <row r="55" spans="2:14" ht="15.45">
      <c r="B55" s="1" t="s">
        <v>85</v>
      </c>
      <c r="F55" s="34">
        <f>SUM(J8:J19)</f>
        <v>165.29999999999998</v>
      </c>
      <c r="G55" s="35" t="s">
        <v>86</v>
      </c>
    </row>
    <row r="56" spans="2:14" ht="18" customHeight="1">
      <c r="B56" s="538" t="s">
        <v>1855</v>
      </c>
      <c r="C56" s="538"/>
      <c r="D56" s="538"/>
      <c r="E56" s="538"/>
      <c r="F56" s="538"/>
      <c r="G56" s="538"/>
      <c r="H56" s="538"/>
      <c r="I56" s="538"/>
      <c r="J56" s="538"/>
      <c r="K56" s="538"/>
      <c r="L56" s="538"/>
    </row>
  </sheetData>
  <mergeCells count="3">
    <mergeCell ref="B56:L56"/>
    <mergeCell ref="B53:K53"/>
    <mergeCell ref="A1:L1"/>
  </mergeCells>
  <phoneticPr fontId="84" type="noConversion"/>
  <printOptions horizontalCentered="1"/>
  <pageMargins left="0.31496111111111108" right="0.31496111111111108" top="0.47244166666666665" bottom="0.47244166666666665" header="0.19685069444444445" footer="0.19685069444444445"/>
  <pageSetup paperSize="9" scale="78" orientation="landscape" r:id="rId1"/>
  <headerFooter>
    <oddHeader>&amp;C&amp;"맑은 고딕,굵게"&amp;11연천군 신서공공하수처리시설 증설 외 2개사업 — 적정 공사기간 산정</oddHeader>
    <oddFooter>&amp;L&amp;"맑은 고딕"&amp;8②비작업일수  (동절기 미반영 기준)&amp;R&amp;"맑은 고딕"&amp;8&amp;P / &amp;N</oddFooter>
  </headerFooter>
  <rowBreaks count="1" manualBreakCount="1">
    <brk id="37" max="1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W74"/>
  <sheetViews>
    <sheetView view="pageBreakPreview" zoomScale="80" zoomScaleNormal="85" zoomScaleSheetLayoutView="80" workbookViewId="0">
      <selection activeCell="F55" sqref="F55"/>
    </sheetView>
  </sheetViews>
  <sheetFormatPr defaultColWidth="8.69140625" defaultRowHeight="14.6"/>
  <cols>
    <col min="1" max="1" width="3" customWidth="1"/>
    <col min="2" max="2" width="25.84375" customWidth="1"/>
    <col min="3" max="3" width="13" customWidth="1"/>
    <col min="4" max="4" width="30" customWidth="1"/>
    <col min="5" max="5" width="22" customWidth="1"/>
    <col min="6" max="17" width="6.53515625" customWidth="1"/>
    <col min="18" max="19" width="8" customWidth="1"/>
    <col min="20" max="20" width="7" customWidth="1"/>
  </cols>
  <sheetData>
    <row r="1" spans="1:18" ht="25.5" customHeight="1">
      <c r="A1" s="490" t="s">
        <v>766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  <c r="R1" s="490"/>
    </row>
    <row r="2" spans="1:18" ht="15.45">
      <c r="B2" s="1" t="s">
        <v>87</v>
      </c>
    </row>
    <row r="3" spans="1:18" ht="15">
      <c r="B3" s="24" t="s">
        <v>88</v>
      </c>
    </row>
    <row r="4" spans="1:18" ht="8.25" customHeight="1"/>
    <row r="5" spans="1:18">
      <c r="B5" s="36" t="s">
        <v>89</v>
      </c>
    </row>
    <row r="6" spans="1:18" ht="20.149999999999999" customHeight="1">
      <c r="B6" s="5" t="s">
        <v>90</v>
      </c>
      <c r="C6" s="105" t="str">
        <f>①공사개요!$C$11</f>
        <v>철원</v>
      </c>
      <c r="D6" s="5" t="s">
        <v>92</v>
      </c>
      <c r="E6" s="106" t="str">
        <f>①공사개요!$C$6</f>
        <v>연천군</v>
      </c>
    </row>
    <row r="7" spans="1:18" ht="25.5" customHeight="1">
      <c r="B7" s="5" t="s">
        <v>93</v>
      </c>
      <c r="C7" s="105" t="s">
        <v>1738</v>
      </c>
      <c r="D7" s="5" t="s">
        <v>94</v>
      </c>
      <c r="E7" s="198" t="s">
        <v>805</v>
      </c>
    </row>
    <row r="8" spans="1:18">
      <c r="B8" s="37" t="s">
        <v>95</v>
      </c>
    </row>
    <row r="10" spans="1:18" ht="17.149999999999999" hidden="1">
      <c r="B10" s="36" t="s">
        <v>96</v>
      </c>
    </row>
    <row r="11" spans="1:18" ht="26.9" hidden="1" customHeight="1">
      <c r="B11" s="38" t="s">
        <v>97</v>
      </c>
      <c r="C11" s="491" t="s">
        <v>98</v>
      </c>
      <c r="D11" s="491"/>
      <c r="E11" s="491" t="s">
        <v>99</v>
      </c>
      <c r="F11" s="491"/>
    </row>
    <row r="12" spans="1:18" ht="37.4" hidden="1" customHeight="1">
      <c r="B12" s="39" t="s">
        <v>100</v>
      </c>
      <c r="C12" s="489" t="s">
        <v>101</v>
      </c>
      <c r="D12" s="489"/>
      <c r="E12" s="486" t="s">
        <v>102</v>
      </c>
      <c r="F12" s="486"/>
    </row>
    <row r="13" spans="1:18" ht="47.15" hidden="1" customHeight="1">
      <c r="B13" s="39" t="s">
        <v>103</v>
      </c>
      <c r="C13" s="489" t="s">
        <v>104</v>
      </c>
      <c r="D13" s="489"/>
      <c r="E13" s="486" t="s">
        <v>105</v>
      </c>
      <c r="F13" s="486"/>
    </row>
    <row r="14" spans="1:18" ht="37.4" hidden="1" customHeight="1">
      <c r="B14" s="39" t="s">
        <v>106</v>
      </c>
      <c r="C14" s="489" t="s">
        <v>107</v>
      </c>
      <c r="D14" s="489"/>
      <c r="E14" s="486" t="s">
        <v>108</v>
      </c>
      <c r="F14" s="486"/>
    </row>
    <row r="15" spans="1:18" ht="25.4" hidden="1" customHeight="1">
      <c r="B15" s="39" t="s">
        <v>109</v>
      </c>
      <c r="C15" s="489" t="s">
        <v>110</v>
      </c>
      <c r="D15" s="489"/>
      <c r="E15" s="486" t="s">
        <v>111</v>
      </c>
      <c r="F15" s="486"/>
    </row>
    <row r="16" spans="1:18" ht="25.4" hidden="1" customHeight="1">
      <c r="B16" s="39" t="s">
        <v>112</v>
      </c>
      <c r="C16" s="485" t="s">
        <v>113</v>
      </c>
      <c r="D16" s="485"/>
      <c r="E16" s="486" t="s">
        <v>114</v>
      </c>
      <c r="F16" s="486"/>
    </row>
    <row r="17" spans="2:23" ht="25.4" hidden="1" customHeight="1">
      <c r="B17" s="39" t="s">
        <v>115</v>
      </c>
      <c r="C17" s="485" t="s">
        <v>116</v>
      </c>
      <c r="D17" s="485"/>
      <c r="E17" s="487" t="s">
        <v>117</v>
      </c>
      <c r="F17" s="487"/>
    </row>
    <row r="18" spans="2:23" ht="26.9" customHeight="1"/>
    <row r="19" spans="2:23" ht="37.4" customHeight="1"/>
    <row r="20" spans="2:23" ht="47.15" customHeight="1"/>
    <row r="21" spans="2:23" ht="37.4" customHeight="1"/>
    <row r="22" spans="2:23" ht="25.4" customHeight="1">
      <c r="W22">
        <f>1250/60</f>
        <v>20.833333333333332</v>
      </c>
    </row>
    <row r="23" spans="2:23" ht="25.4" customHeight="1">
      <c r="W23">
        <f>2*2*3.14/4*2</f>
        <v>6.28</v>
      </c>
    </row>
    <row r="24" spans="2:23" ht="25.4" customHeight="1">
      <c r="W24">
        <f>W22/W23</f>
        <v>3.317409766454352</v>
      </c>
    </row>
    <row r="26" spans="2:23" ht="17.149999999999999" hidden="1">
      <c r="B26" s="36" t="s">
        <v>118</v>
      </c>
    </row>
    <row r="27" spans="2:23" ht="24" hidden="1" customHeight="1">
      <c r="B27" s="488" t="s">
        <v>119</v>
      </c>
      <c r="C27" s="488"/>
      <c r="D27" s="488"/>
      <c r="E27" s="488"/>
      <c r="F27" s="43" t="s">
        <v>120</v>
      </c>
      <c r="G27" s="43" t="s">
        <v>121</v>
      </c>
      <c r="H27" s="43" t="s">
        <v>122</v>
      </c>
      <c r="I27" s="43" t="s">
        <v>123</v>
      </c>
      <c r="J27" s="43" t="s">
        <v>124</v>
      </c>
      <c r="K27" s="43" t="s">
        <v>125</v>
      </c>
      <c r="L27" s="43" t="s">
        <v>126</v>
      </c>
      <c r="M27" s="43" t="s">
        <v>127</v>
      </c>
      <c r="N27" s="43" t="s">
        <v>128</v>
      </c>
      <c r="O27" s="43" t="s">
        <v>129</v>
      </c>
      <c r="P27" s="43" t="s">
        <v>130</v>
      </c>
      <c r="Q27" s="43" t="s">
        <v>131</v>
      </c>
      <c r="R27" s="43" t="s">
        <v>132</v>
      </c>
      <c r="S27" s="43" t="s">
        <v>133</v>
      </c>
    </row>
    <row r="28" spans="2:23" ht="15" hidden="1" customHeight="1">
      <c r="B28" s="483" t="s">
        <v>134</v>
      </c>
      <c r="C28" s="483"/>
      <c r="D28" s="483"/>
      <c r="E28" s="483"/>
      <c r="F28" s="44"/>
      <c r="G28" s="44"/>
      <c r="H28" s="44"/>
      <c r="I28" s="44"/>
      <c r="J28" s="44"/>
      <c r="K28" s="44"/>
      <c r="L28" s="44" t="s">
        <v>135</v>
      </c>
      <c r="M28" s="44"/>
      <c r="N28" s="44"/>
      <c r="O28" s="44" t="s">
        <v>135</v>
      </c>
      <c r="P28" s="44"/>
      <c r="Q28" s="44"/>
      <c r="R28" s="44"/>
      <c r="S28" s="44" t="s">
        <v>135</v>
      </c>
    </row>
    <row r="29" spans="2:23" ht="15" hidden="1" customHeight="1">
      <c r="B29" s="483" t="s">
        <v>136</v>
      </c>
      <c r="C29" s="483"/>
      <c r="D29" s="483"/>
      <c r="E29" s="483"/>
      <c r="F29" s="44" t="s">
        <v>135</v>
      </c>
      <c r="G29" s="44"/>
      <c r="H29" s="44"/>
      <c r="I29" s="44"/>
      <c r="J29" s="44"/>
      <c r="K29" s="44"/>
      <c r="L29" s="44" t="s">
        <v>135</v>
      </c>
      <c r="M29" s="44"/>
      <c r="N29" s="44"/>
      <c r="O29" s="44"/>
      <c r="P29" s="44" t="s">
        <v>135</v>
      </c>
      <c r="Q29" s="44"/>
      <c r="R29" s="44" t="s">
        <v>135</v>
      </c>
      <c r="S29" s="44" t="s">
        <v>135</v>
      </c>
    </row>
    <row r="30" spans="2:23" ht="15" hidden="1" customHeight="1">
      <c r="B30" s="483" t="s">
        <v>137</v>
      </c>
      <c r="C30" s="483"/>
      <c r="D30" s="483"/>
      <c r="E30" s="483"/>
      <c r="F30" s="44" t="s">
        <v>135</v>
      </c>
      <c r="G30" s="44"/>
      <c r="H30" s="44"/>
      <c r="I30" s="44"/>
      <c r="J30" s="44"/>
      <c r="K30" s="44"/>
      <c r="L30" s="44" t="s">
        <v>135</v>
      </c>
      <c r="M30" s="44"/>
      <c r="N30" s="44"/>
      <c r="O30" s="44"/>
      <c r="P30" s="44" t="s">
        <v>135</v>
      </c>
      <c r="Q30" s="44"/>
      <c r="R30" s="44"/>
      <c r="S30" s="44" t="s">
        <v>135</v>
      </c>
    </row>
    <row r="31" spans="2:23" ht="15" hidden="1" customHeight="1">
      <c r="B31" s="483" t="s">
        <v>138</v>
      </c>
      <c r="C31" s="483"/>
      <c r="D31" s="483"/>
      <c r="E31" s="483"/>
      <c r="F31" s="44" t="s">
        <v>135</v>
      </c>
      <c r="G31" s="44"/>
      <c r="H31" s="44"/>
      <c r="I31" s="44"/>
      <c r="J31" s="44"/>
      <c r="K31" s="44"/>
      <c r="L31" s="44" t="s">
        <v>135</v>
      </c>
      <c r="M31" s="44"/>
      <c r="N31" s="44"/>
      <c r="O31" s="44"/>
      <c r="P31" s="44" t="s">
        <v>135</v>
      </c>
      <c r="Q31" s="44"/>
      <c r="R31" s="44"/>
      <c r="S31" s="44" t="s">
        <v>135</v>
      </c>
    </row>
    <row r="32" spans="2:23" ht="15" hidden="1" customHeight="1">
      <c r="B32" s="484" t="s">
        <v>52</v>
      </c>
      <c r="C32" s="484"/>
      <c r="D32" s="484"/>
      <c r="E32" s="484"/>
      <c r="F32" s="108" t="s">
        <v>135</v>
      </c>
      <c r="G32" s="108"/>
      <c r="H32" s="108"/>
      <c r="I32" s="108"/>
      <c r="J32" s="108"/>
      <c r="K32" s="108"/>
      <c r="L32" s="108" t="s">
        <v>135</v>
      </c>
      <c r="M32" s="108"/>
      <c r="N32" s="108"/>
      <c r="O32" s="108"/>
      <c r="P32" s="108" t="s">
        <v>135</v>
      </c>
      <c r="Q32" s="108"/>
      <c r="R32" s="108"/>
      <c r="S32" s="108" t="s">
        <v>135</v>
      </c>
    </row>
    <row r="33" spans="2:19" ht="15" hidden="1" customHeight="1">
      <c r="B33" s="483" t="s">
        <v>139</v>
      </c>
      <c r="C33" s="483"/>
      <c r="D33" s="483"/>
      <c r="E33" s="483"/>
      <c r="F33" s="44" t="s">
        <v>135</v>
      </c>
      <c r="G33" s="44"/>
      <c r="H33" s="44"/>
      <c r="I33" s="44"/>
      <c r="J33" s="44"/>
      <c r="K33" s="44"/>
      <c r="L33" s="44" t="s">
        <v>135</v>
      </c>
      <c r="M33" s="44"/>
      <c r="N33" s="44"/>
      <c r="O33" s="44"/>
      <c r="P33" s="44" t="s">
        <v>135</v>
      </c>
      <c r="Q33" s="44"/>
      <c r="R33" s="44" t="s">
        <v>135</v>
      </c>
      <c r="S33" s="44" t="s">
        <v>135</v>
      </c>
    </row>
    <row r="34" spans="2:19" ht="15" hidden="1" customHeight="1">
      <c r="B34" s="483" t="s">
        <v>140</v>
      </c>
      <c r="C34" s="483"/>
      <c r="D34" s="483"/>
      <c r="E34" s="483"/>
      <c r="F34" s="44" t="s">
        <v>135</v>
      </c>
      <c r="G34" s="44"/>
      <c r="H34" s="44"/>
      <c r="I34" s="44"/>
      <c r="J34" s="44"/>
      <c r="K34" s="44"/>
      <c r="L34" s="44" t="s">
        <v>135</v>
      </c>
      <c r="M34" s="44"/>
      <c r="N34" s="44"/>
      <c r="O34" s="44" t="s">
        <v>135</v>
      </c>
      <c r="P34" s="44"/>
      <c r="Q34" s="44"/>
      <c r="R34" s="44" t="s">
        <v>135</v>
      </c>
      <c r="S34" s="44" t="s">
        <v>135</v>
      </c>
    </row>
    <row r="35" spans="2:19" ht="15" hidden="1" customHeight="1">
      <c r="B35" s="483" t="s">
        <v>141</v>
      </c>
      <c r="C35" s="483"/>
      <c r="D35" s="483"/>
      <c r="E35" s="483"/>
      <c r="F35" s="44" t="s">
        <v>135</v>
      </c>
      <c r="G35" s="44"/>
      <c r="H35" s="44"/>
      <c r="I35" s="44"/>
      <c r="J35" s="44"/>
      <c r="K35" s="44"/>
      <c r="L35" s="44" t="s">
        <v>135</v>
      </c>
      <c r="M35" s="44"/>
      <c r="N35" s="44"/>
      <c r="O35" s="44" t="s">
        <v>135</v>
      </c>
      <c r="P35" s="44"/>
      <c r="Q35" s="44"/>
      <c r="R35" s="44" t="s">
        <v>135</v>
      </c>
      <c r="S35" s="44" t="s">
        <v>135</v>
      </c>
    </row>
    <row r="36" spans="2:19" ht="15" hidden="1" customHeight="1">
      <c r="B36" s="483" t="s">
        <v>142</v>
      </c>
      <c r="C36" s="483"/>
      <c r="D36" s="483"/>
      <c r="E36" s="483"/>
      <c r="F36" s="44" t="s">
        <v>135</v>
      </c>
      <c r="G36" s="44"/>
      <c r="H36" s="44"/>
      <c r="I36" s="44"/>
      <c r="J36" s="44"/>
      <c r="K36" s="44"/>
      <c r="L36" s="44" t="s">
        <v>135</v>
      </c>
      <c r="M36" s="44"/>
      <c r="N36" s="44"/>
      <c r="O36" s="44" t="s">
        <v>135</v>
      </c>
      <c r="P36" s="44"/>
      <c r="Q36" s="44"/>
      <c r="R36" s="44" t="s">
        <v>135</v>
      </c>
      <c r="S36" s="44" t="s">
        <v>135</v>
      </c>
    </row>
    <row r="37" spans="2:19" ht="15" hidden="1" customHeight="1">
      <c r="B37" s="483" t="s">
        <v>143</v>
      </c>
      <c r="C37" s="483"/>
      <c r="D37" s="483"/>
      <c r="E37" s="483"/>
      <c r="F37" s="44" t="s">
        <v>135</v>
      </c>
      <c r="G37" s="44"/>
      <c r="H37" s="44"/>
      <c r="I37" s="44"/>
      <c r="J37" s="44"/>
      <c r="K37" s="44"/>
      <c r="L37" s="44" t="s">
        <v>135</v>
      </c>
      <c r="M37" s="44"/>
      <c r="N37" s="44"/>
      <c r="O37" s="44" t="s">
        <v>135</v>
      </c>
      <c r="P37" s="44"/>
      <c r="Q37" s="44"/>
      <c r="R37" s="44" t="s">
        <v>135</v>
      </c>
      <c r="S37" s="44" t="s">
        <v>135</v>
      </c>
    </row>
    <row r="38" spans="2:19" hidden="1">
      <c r="B38" s="23" t="s">
        <v>144</v>
      </c>
    </row>
    <row r="39" spans="2:19">
      <c r="B39" s="36"/>
    </row>
    <row r="40" spans="2:19" ht="24" customHeight="1"/>
    <row r="41" spans="2:19" ht="15" customHeight="1"/>
    <row r="42" spans="2:19" ht="15" hidden="1" customHeight="1"/>
    <row r="43" spans="2:19" ht="15" hidden="1" customHeight="1"/>
    <row r="44" spans="2:19" ht="15" hidden="1" customHeight="1"/>
    <row r="45" spans="2:19" ht="15" hidden="1" customHeight="1"/>
    <row r="46" spans="2:19" ht="15" hidden="1" customHeight="1"/>
    <row r="47" spans="2:19" ht="15" hidden="1" customHeight="1"/>
    <row r="48" spans="2:19" ht="15" hidden="1" customHeight="1"/>
    <row r="49" spans="2:20" ht="15" hidden="1" customHeight="1"/>
    <row r="50" spans="2:20" ht="15" hidden="1" customHeight="1"/>
    <row r="51" spans="2:20" hidden="1">
      <c r="B51" s="23"/>
    </row>
    <row r="53" spans="2:20" ht="17.149999999999999">
      <c r="B53" s="36" t="s">
        <v>767</v>
      </c>
    </row>
    <row r="54" spans="2:20" ht="25.5" customHeight="1">
      <c r="B54" s="45" t="s">
        <v>145</v>
      </c>
      <c r="C54" s="45" t="s">
        <v>146</v>
      </c>
      <c r="D54" s="45" t="s">
        <v>147</v>
      </c>
      <c r="E54" s="45" t="s">
        <v>148</v>
      </c>
      <c r="F54" s="46" t="s">
        <v>149</v>
      </c>
      <c r="G54" s="46" t="s">
        <v>150</v>
      </c>
      <c r="H54" s="46" t="s">
        <v>151</v>
      </c>
      <c r="I54" s="46" t="s">
        <v>152</v>
      </c>
      <c r="J54" s="46" t="s">
        <v>153</v>
      </c>
      <c r="K54" s="46" t="s">
        <v>154</v>
      </c>
      <c r="L54" s="46" t="s">
        <v>155</v>
      </c>
      <c r="M54" s="46" t="s">
        <v>156</v>
      </c>
      <c r="N54" s="46" t="s">
        <v>157</v>
      </c>
      <c r="O54" s="46" t="s">
        <v>158</v>
      </c>
      <c r="P54" s="46" t="s">
        <v>159</v>
      </c>
      <c r="Q54" s="46" t="s">
        <v>160</v>
      </c>
      <c r="R54" s="45" t="s">
        <v>161</v>
      </c>
      <c r="S54" s="45" t="s">
        <v>162</v>
      </c>
      <c r="T54" s="45" t="s">
        <v>163</v>
      </c>
    </row>
    <row r="55" spans="2:20" ht="15">
      <c r="B55" s="47" t="str">
        <f>IF('②-1 기후비작업근거'!$C$7="자동",$T55,$S55)</f>
        <v>Y</v>
      </c>
      <c r="C55" s="48" t="s">
        <v>164</v>
      </c>
      <c r="D55" s="40" t="s">
        <v>165</v>
      </c>
      <c r="E55" s="42" t="s">
        <v>166</v>
      </c>
      <c r="F55" s="49">
        <f>IFERROR(INDEX(부록3DB!$J$7:$U$1241,MATCH('②-1 기후비작업근거'!$C$6&amp;"|"&amp;1,부록3DB!$I$7:$I$1241,0),1),0)</f>
        <v>0</v>
      </c>
      <c r="G55" s="49">
        <f>IFERROR(INDEX(부록3DB!$J$7:$U$1241,MATCH('②-1 기후비작업근거'!$C$6&amp;"|"&amp;1,부록3DB!$I$7:$I$1241,0),2),0)</f>
        <v>0</v>
      </c>
      <c r="H55" s="49">
        <f>IFERROR(INDEX(부록3DB!$J$7:$U$1241,MATCH('②-1 기후비작업근거'!$C$6&amp;"|"&amp;1,부록3DB!$I$7:$I$1241,0),3),0)</f>
        <v>0</v>
      </c>
      <c r="I55" s="49">
        <f>IFERROR(INDEX(부록3DB!$J$7:$U$1241,MATCH('②-1 기후비작업근거'!$C$6&amp;"|"&amp;1,부록3DB!$I$7:$I$1241,0),4),0)</f>
        <v>0</v>
      </c>
      <c r="J55" s="49">
        <f>IFERROR(INDEX(부록3DB!$J$7:$U$1241,MATCH('②-1 기후비작업근거'!$C$6&amp;"|"&amp;1,부록3DB!$I$7:$I$1241,0),5),0)</f>
        <v>0</v>
      </c>
      <c r="K55" s="49">
        <f>IFERROR(INDEX(부록3DB!$J$7:$U$1241,MATCH('②-1 기후비작업근거'!$C$6&amp;"|"&amp;1,부록3DB!$I$7:$I$1241,0),6),0)</f>
        <v>0</v>
      </c>
      <c r="L55" s="49">
        <f>IFERROR(INDEX(부록3DB!$J$7:$U$1241,MATCH('②-1 기후비작업근거'!$C$6&amp;"|"&amp;1,부록3DB!$I$7:$I$1241,0),7),0)</f>
        <v>5.7</v>
      </c>
      <c r="M55" s="49">
        <f>IFERROR(INDEX(부록3DB!$J$7:$U$1241,MATCH('②-1 기후비작업근거'!$C$6&amp;"|"&amp;1,부록3DB!$I$7:$I$1241,0),8),0)</f>
        <v>9.1999999999999993</v>
      </c>
      <c r="N55" s="49">
        <f>IFERROR(INDEX(부록3DB!$J$7:$U$1241,MATCH('②-1 기후비작업근거'!$C$6&amp;"|"&amp;1,부록3DB!$I$7:$I$1241,0),9),0)</f>
        <v>0.1</v>
      </c>
      <c r="O55" s="49">
        <f>IFERROR(INDEX(부록3DB!$J$7:$U$1241,MATCH('②-1 기후비작업근거'!$C$6&amp;"|"&amp;1,부록3DB!$I$7:$I$1241,0),10),0)</f>
        <v>0</v>
      </c>
      <c r="P55" s="49">
        <f>IFERROR(INDEX(부록3DB!$J$7:$U$1241,MATCH('②-1 기후비작업근거'!$C$6&amp;"|"&amp;1,부록3DB!$I$7:$I$1241,0),11),0)</f>
        <v>0</v>
      </c>
      <c r="Q55" s="49">
        <f>IFERROR(INDEX(부록3DB!$J$7:$U$1241,MATCH('②-1 기후비작업근거'!$C$6&amp;"|"&amp;1,부록3DB!$I$7:$I$1241,0),12),0)</f>
        <v>0</v>
      </c>
      <c r="R55" s="50">
        <f t="shared" ref="R55:R69" si="0">SUM(F55:Q55)</f>
        <v>14.999999999999998</v>
      </c>
      <c r="S55" s="51" t="s">
        <v>135</v>
      </c>
      <c r="T55" s="52" t="str">
        <f>IFERROR(IF(INDEX('②-1 기후비작업근거'!$F$28:$S$37,MATCH(①공사개요!$C$7,'②-1 기후비작업근거'!$B$28:$B$37,0),1)="Y","Y",""),"")</f>
        <v>Y</v>
      </c>
    </row>
    <row r="56" spans="2:20" ht="15">
      <c r="B56" s="47" t="str">
        <f>IF('②-1 기후비작업근거'!$C$7="자동",$T56,$S56)</f>
        <v/>
      </c>
      <c r="C56" s="48" t="s">
        <v>164</v>
      </c>
      <c r="D56" s="40" t="s">
        <v>167</v>
      </c>
      <c r="E56" s="42" t="s">
        <v>168</v>
      </c>
      <c r="F56" s="49">
        <f>IFERROR(INDEX(부록3DB!$J$7:$U$1241,MATCH('②-1 기후비작업근거'!$C$6&amp;"|"&amp;2,부록3DB!$I$7:$I$1241,0),1),0)</f>
        <v>0</v>
      </c>
      <c r="G56" s="49">
        <f>IFERROR(INDEX(부록3DB!$J$7:$U$1241,MATCH('②-1 기후비작업근거'!$C$6&amp;"|"&amp;2,부록3DB!$I$7:$I$1241,0),2),0)</f>
        <v>0</v>
      </c>
      <c r="H56" s="49">
        <f>IFERROR(INDEX(부록3DB!$J$7:$U$1241,MATCH('②-1 기후비작업근거'!$C$6&amp;"|"&amp;2,부록3DB!$I$7:$I$1241,0),3),0)</f>
        <v>0</v>
      </c>
      <c r="I56" s="49">
        <f>IFERROR(INDEX(부록3DB!$J$7:$U$1241,MATCH('②-1 기후비작업근거'!$C$6&amp;"|"&amp;2,부록3DB!$I$7:$I$1241,0),4),0)</f>
        <v>0</v>
      </c>
      <c r="J56" s="49">
        <f>IFERROR(INDEX(부록3DB!$J$7:$U$1241,MATCH('②-1 기후비작업근거'!$C$6&amp;"|"&amp;2,부록3DB!$I$7:$I$1241,0),5),0)</f>
        <v>0</v>
      </c>
      <c r="K56" s="49">
        <f>IFERROR(INDEX(부록3DB!$J$7:$U$1241,MATCH('②-1 기후비작업근거'!$C$6&amp;"|"&amp;2,부록3DB!$I$7:$I$1241,0),6),0)</f>
        <v>0</v>
      </c>
      <c r="L56" s="49">
        <f>IFERROR(INDEX(부록3DB!$J$7:$U$1241,MATCH('②-1 기후비작업근거'!$C$6&amp;"|"&amp;2,부록3DB!$I$7:$I$1241,0),7),0)</f>
        <v>0.9</v>
      </c>
      <c r="M56" s="49">
        <f>IFERROR(INDEX(부록3DB!$J$7:$U$1241,MATCH('②-1 기후비작업근거'!$C$6&amp;"|"&amp;2,부록3DB!$I$7:$I$1241,0),8),0)</f>
        <v>1.8</v>
      </c>
      <c r="N56" s="49">
        <f>IFERROR(INDEX(부록3DB!$J$7:$U$1241,MATCH('②-1 기후비작업근거'!$C$6&amp;"|"&amp;2,부록3DB!$I$7:$I$1241,0),9),0)</f>
        <v>0</v>
      </c>
      <c r="O56" s="49">
        <f>IFERROR(INDEX(부록3DB!$J$7:$U$1241,MATCH('②-1 기후비작업근거'!$C$6&amp;"|"&amp;2,부록3DB!$I$7:$I$1241,0),10),0)</f>
        <v>0</v>
      </c>
      <c r="P56" s="49">
        <f>IFERROR(INDEX(부록3DB!$J$7:$U$1241,MATCH('②-1 기후비작업근거'!$C$6&amp;"|"&amp;2,부록3DB!$I$7:$I$1241,0),11),0)</f>
        <v>0</v>
      </c>
      <c r="Q56" s="49">
        <f>IFERROR(INDEX(부록3DB!$J$7:$U$1241,MATCH('②-1 기후비작업근거'!$C$6&amp;"|"&amp;2,부록3DB!$I$7:$I$1241,0),12),0)</f>
        <v>0</v>
      </c>
      <c r="R56" s="50">
        <f t="shared" si="0"/>
        <v>2.7</v>
      </c>
      <c r="S56" s="51"/>
      <c r="T56" s="52" t="str">
        <f>IFERROR(IF(INDEX('②-1 기후비작업근거'!$F$28:$S$37,MATCH(①공사개요!$C$7,'②-1 기후비작업근거'!$B$28:$B$37,0),2)="Y","Y",""),"")</f>
        <v/>
      </c>
    </row>
    <row r="57" spans="2:20" ht="15">
      <c r="B57" s="47" t="str">
        <f>IF('②-1 기후비작업근거'!$C$7="자동",$T57,$S57)</f>
        <v/>
      </c>
      <c r="C57" s="48" t="s">
        <v>164</v>
      </c>
      <c r="D57" s="40" t="s">
        <v>169</v>
      </c>
      <c r="E57" s="42" t="s">
        <v>170</v>
      </c>
      <c r="F57" s="49">
        <f>IFERROR(INDEX(부록3DB!$J$7:$U$1241,MATCH('②-1 기후비작업근거'!$C$6&amp;"|"&amp;3,부록3DB!$I$7:$I$1241,0),1),0)</f>
        <v>0</v>
      </c>
      <c r="G57" s="49">
        <f>IFERROR(INDEX(부록3DB!$J$7:$U$1241,MATCH('②-1 기후비작업근거'!$C$6&amp;"|"&amp;3,부록3DB!$I$7:$I$1241,0),2),0)</f>
        <v>0</v>
      </c>
      <c r="H57" s="49">
        <f>IFERROR(INDEX(부록3DB!$J$7:$U$1241,MATCH('②-1 기후비작업근거'!$C$6&amp;"|"&amp;3,부록3DB!$I$7:$I$1241,0),3),0)</f>
        <v>0</v>
      </c>
      <c r="I57" s="49">
        <f>IFERROR(INDEX(부록3DB!$J$7:$U$1241,MATCH('②-1 기후비작업근거'!$C$6&amp;"|"&amp;3,부록3DB!$I$7:$I$1241,0),4),0)</f>
        <v>0</v>
      </c>
      <c r="J57" s="49">
        <f>IFERROR(INDEX(부록3DB!$J$7:$U$1241,MATCH('②-1 기후비작업근거'!$C$6&amp;"|"&amp;3,부록3DB!$I$7:$I$1241,0),5),0)</f>
        <v>0</v>
      </c>
      <c r="K57" s="49">
        <f>IFERROR(INDEX(부록3DB!$J$7:$U$1241,MATCH('②-1 기후비작업근거'!$C$6&amp;"|"&amp;3,부록3DB!$I$7:$I$1241,0),6),0)</f>
        <v>0.7</v>
      </c>
      <c r="L57" s="49">
        <f>IFERROR(INDEX(부록3DB!$J$7:$U$1241,MATCH('②-1 기후비작업근거'!$C$6&amp;"|"&amp;3,부록3DB!$I$7:$I$1241,0),7),0)</f>
        <v>3.7</v>
      </c>
      <c r="M57" s="49">
        <f>IFERROR(INDEX(부록3DB!$J$7:$U$1241,MATCH('②-1 기후비작업근거'!$C$6&amp;"|"&amp;3,부록3DB!$I$7:$I$1241,0),8),0)</f>
        <v>6</v>
      </c>
      <c r="N57" s="49">
        <f>IFERROR(INDEX(부록3DB!$J$7:$U$1241,MATCH('②-1 기후비작업근거'!$C$6&amp;"|"&amp;3,부록3DB!$I$7:$I$1241,0),9),0)</f>
        <v>0.1</v>
      </c>
      <c r="O57" s="49">
        <f>IFERROR(INDEX(부록3DB!$J$7:$U$1241,MATCH('②-1 기후비작업근거'!$C$6&amp;"|"&amp;3,부록3DB!$I$7:$I$1241,0),10),0)</f>
        <v>0</v>
      </c>
      <c r="P57" s="49">
        <f>IFERROR(INDEX(부록3DB!$J$7:$U$1241,MATCH('②-1 기후비작업근거'!$C$6&amp;"|"&amp;3,부록3DB!$I$7:$I$1241,0),11),0)</f>
        <v>0</v>
      </c>
      <c r="Q57" s="49">
        <f>IFERROR(INDEX(부록3DB!$J$7:$U$1241,MATCH('②-1 기후비작업근거'!$C$6&amp;"|"&amp;3,부록3DB!$I$7:$I$1241,0),12),0)</f>
        <v>0</v>
      </c>
      <c r="R57" s="50">
        <f t="shared" si="0"/>
        <v>10.5</v>
      </c>
      <c r="S57" s="51"/>
      <c r="T57" s="52" t="str">
        <f>IFERROR(IF(INDEX('②-1 기후비작업근거'!$F$28:$S$37,MATCH(①공사개요!$C$7,'②-1 기후비작업근거'!$B$28:$B$37,0),3)="Y","Y",""),"")</f>
        <v/>
      </c>
    </row>
    <row r="58" spans="2:20" ht="15">
      <c r="B58" s="47" t="str">
        <f>IF('②-1 기후비작업근거'!$C$7="자동",$T58,$S58)</f>
        <v/>
      </c>
      <c r="C58" s="48" t="s">
        <v>164</v>
      </c>
      <c r="D58" s="40" t="s">
        <v>171</v>
      </c>
      <c r="E58" s="42" t="s">
        <v>172</v>
      </c>
      <c r="F58" s="49">
        <f>IFERROR(INDEX(부록3DB!$J$7:$U$1241,MATCH('②-1 기후비작업근거'!$C$6&amp;"|"&amp;4,부록3DB!$I$7:$I$1241,0),1),0)</f>
        <v>0</v>
      </c>
      <c r="G58" s="49">
        <f>IFERROR(INDEX(부록3DB!$J$7:$U$1241,MATCH('②-1 기후비작업근거'!$C$6&amp;"|"&amp;4,부록3DB!$I$7:$I$1241,0),2),0)</f>
        <v>0</v>
      </c>
      <c r="H58" s="49">
        <f>IFERROR(INDEX(부록3DB!$J$7:$U$1241,MATCH('②-1 기후비작업근거'!$C$6&amp;"|"&amp;4,부록3DB!$I$7:$I$1241,0),3),0)</f>
        <v>0</v>
      </c>
      <c r="I58" s="49">
        <f>IFERROR(INDEX(부록3DB!$J$7:$U$1241,MATCH('②-1 기후비작업근거'!$C$6&amp;"|"&amp;4,부록3DB!$I$7:$I$1241,0),4),0)</f>
        <v>0</v>
      </c>
      <c r="J58" s="49">
        <f>IFERROR(INDEX(부록3DB!$J$7:$U$1241,MATCH('②-1 기후비작업근거'!$C$6&amp;"|"&amp;4,부록3DB!$I$7:$I$1241,0),5),0)</f>
        <v>0</v>
      </c>
      <c r="K58" s="49">
        <f>IFERROR(INDEX(부록3DB!$J$7:$U$1241,MATCH('②-1 기후비작업근거'!$C$6&amp;"|"&amp;4,부록3DB!$I$7:$I$1241,0),6),0)</f>
        <v>0.1</v>
      </c>
      <c r="L58" s="49">
        <f>IFERROR(INDEX(부록3DB!$J$7:$U$1241,MATCH('②-1 기후비작업근거'!$C$6&amp;"|"&amp;4,부록3DB!$I$7:$I$1241,0),7),0)</f>
        <v>0.9</v>
      </c>
      <c r="M58" s="49">
        <f>IFERROR(INDEX(부록3DB!$J$7:$U$1241,MATCH('②-1 기후비작업근거'!$C$6&amp;"|"&amp;4,부록3DB!$I$7:$I$1241,0),8),0)</f>
        <v>0.8</v>
      </c>
      <c r="N58" s="49">
        <f>IFERROR(INDEX(부록3DB!$J$7:$U$1241,MATCH('②-1 기후비작업근거'!$C$6&amp;"|"&amp;4,부록3DB!$I$7:$I$1241,0),9),0)</f>
        <v>0</v>
      </c>
      <c r="O58" s="49">
        <f>IFERROR(INDEX(부록3DB!$J$7:$U$1241,MATCH('②-1 기후비작업근거'!$C$6&amp;"|"&amp;4,부록3DB!$I$7:$I$1241,0),10),0)</f>
        <v>0</v>
      </c>
      <c r="P58" s="49">
        <f>IFERROR(INDEX(부록3DB!$J$7:$U$1241,MATCH('②-1 기후비작업근거'!$C$6&amp;"|"&amp;4,부록3DB!$I$7:$I$1241,0),11),0)</f>
        <v>0</v>
      </c>
      <c r="Q58" s="49">
        <f>IFERROR(INDEX(부록3DB!$J$7:$U$1241,MATCH('②-1 기후비작업근거'!$C$6&amp;"|"&amp;4,부록3DB!$I$7:$I$1241,0),12),0)</f>
        <v>0</v>
      </c>
      <c r="R58" s="50">
        <f t="shared" si="0"/>
        <v>1.8</v>
      </c>
      <c r="S58" s="51"/>
      <c r="T58" s="52" t="str">
        <f>IFERROR(IF(INDEX('②-1 기후비작업근거'!$F$28:$S$37,MATCH(①공사개요!$C$7,'②-1 기후비작업근거'!$B$28:$B$37,0),4)="Y","Y",""),"")</f>
        <v/>
      </c>
    </row>
    <row r="59" spans="2:20" ht="15">
      <c r="B59" s="47" t="str">
        <f>IF('②-1 기후비작업근거'!$C$7="자동",$T59,$S59)</f>
        <v>Y</v>
      </c>
      <c r="C59" s="53" t="s">
        <v>173</v>
      </c>
      <c r="D59" s="40" t="s">
        <v>174</v>
      </c>
      <c r="E59" s="42" t="s">
        <v>175</v>
      </c>
      <c r="F59" s="49">
        <f>IFERROR(INDEX(부록3DB!$J$7:$U$1241,MATCH('②-1 기후비작업근거'!$C$6&amp;"|"&amp;5,부록3DB!$I$7:$I$1241,0),1),0)</f>
        <v>9.9</v>
      </c>
      <c r="G59" s="49">
        <f>IFERROR(INDEX(부록3DB!$J$7:$U$1241,MATCH('②-1 기후비작업근거'!$C$6&amp;"|"&amp;5,부록3DB!$I$7:$I$1241,0),2),0)</f>
        <v>4.4000000000000004</v>
      </c>
      <c r="H59" s="49">
        <f>IFERROR(INDEX(부록3DB!$J$7:$U$1241,MATCH('②-1 기후비작업근거'!$C$6&amp;"|"&amp;5,부록3DB!$I$7:$I$1241,0),3),0)</f>
        <v>0.2</v>
      </c>
      <c r="I59" s="49">
        <f>IFERROR(INDEX(부록3DB!$J$7:$U$1241,MATCH('②-1 기후비작업근거'!$C$6&amp;"|"&amp;5,부록3DB!$I$7:$I$1241,0),4),0)</f>
        <v>0</v>
      </c>
      <c r="J59" s="49">
        <f>IFERROR(INDEX(부록3DB!$J$7:$U$1241,MATCH('②-1 기후비작업근거'!$C$6&amp;"|"&amp;5,부록3DB!$I$7:$I$1241,0),5),0)</f>
        <v>0</v>
      </c>
      <c r="K59" s="49">
        <f>IFERROR(INDEX(부록3DB!$J$7:$U$1241,MATCH('②-1 기후비작업근거'!$C$6&amp;"|"&amp;5,부록3DB!$I$7:$I$1241,0),6),0)</f>
        <v>0</v>
      </c>
      <c r="L59" s="49">
        <f>IFERROR(INDEX(부록3DB!$J$7:$U$1241,MATCH('②-1 기후비작업근거'!$C$6&amp;"|"&amp;5,부록3DB!$I$7:$I$1241,0),7),0)</f>
        <v>0</v>
      </c>
      <c r="M59" s="49">
        <f>IFERROR(INDEX(부록3DB!$J$7:$U$1241,MATCH('②-1 기후비작업근거'!$C$6&amp;"|"&amp;5,부록3DB!$I$7:$I$1241,0),8),0)</f>
        <v>0</v>
      </c>
      <c r="N59" s="49">
        <f>IFERROR(INDEX(부록3DB!$J$7:$U$1241,MATCH('②-1 기후비작업근거'!$C$6&amp;"|"&amp;5,부록3DB!$I$7:$I$1241,0),9),0)</f>
        <v>0</v>
      </c>
      <c r="O59" s="49">
        <f>IFERROR(INDEX(부록3DB!$J$7:$U$1241,MATCH('②-1 기후비작업근거'!$C$6&amp;"|"&amp;5,부록3DB!$I$7:$I$1241,0),10),0)</f>
        <v>0</v>
      </c>
      <c r="P59" s="49">
        <f>IFERROR(INDEX(부록3DB!$J$7:$U$1241,MATCH('②-1 기후비작업근거'!$C$6&amp;"|"&amp;5,부록3DB!$I$7:$I$1241,0),11),0)</f>
        <v>0.5</v>
      </c>
      <c r="Q59" s="49">
        <f>IFERROR(INDEX(부록3DB!$J$7:$U$1241,MATCH('②-1 기후비작업근거'!$C$6&amp;"|"&amp;5,부록3DB!$I$7:$I$1241,0),12),0)</f>
        <v>8.3000000000000007</v>
      </c>
      <c r="R59" s="50">
        <f t="shared" si="0"/>
        <v>23.3</v>
      </c>
      <c r="S59" s="51" t="s">
        <v>135</v>
      </c>
      <c r="T59" s="52" t="str">
        <f>IFERROR(IF(INDEX('②-1 기후비작업근거'!$F$28:$S$37,MATCH(①공사개요!$C$7,'②-1 기후비작업근거'!$B$28:$B$37,0),1)="Y","Y",""),"")</f>
        <v>Y</v>
      </c>
    </row>
    <row r="60" spans="2:20" ht="15">
      <c r="B60" s="47" t="str">
        <f>IF('②-1 기후비작업근거'!$C$7="자동",$T60,$S60)</f>
        <v>Y</v>
      </c>
      <c r="C60" s="53" t="s">
        <v>173</v>
      </c>
      <c r="D60" s="40" t="s">
        <v>176</v>
      </c>
      <c r="E60" s="42" t="s">
        <v>177</v>
      </c>
      <c r="F60" s="49">
        <f>IFERROR(INDEX(부록3DB!$J$7:$U$1241,MATCH('②-1 기후비작업근거'!$C$6&amp;"|"&amp;6,부록3DB!$I$7:$I$1241,0),1),0)</f>
        <v>0.1</v>
      </c>
      <c r="G60" s="49">
        <f>IFERROR(INDEX(부록3DB!$J$7:$U$1241,MATCH('②-1 기후비작업근거'!$C$6&amp;"|"&amp;6,부록3DB!$I$7:$I$1241,0),2),0)</f>
        <v>0</v>
      </c>
      <c r="H60" s="49">
        <f>IFERROR(INDEX(부록3DB!$J$7:$U$1241,MATCH('②-1 기후비작업근거'!$C$6&amp;"|"&amp;6,부록3DB!$I$7:$I$1241,0),3),0)</f>
        <v>0</v>
      </c>
      <c r="I60" s="49">
        <f>IFERROR(INDEX(부록3DB!$J$7:$U$1241,MATCH('②-1 기후비작업근거'!$C$6&amp;"|"&amp;6,부록3DB!$I$7:$I$1241,0),4),0)</f>
        <v>0</v>
      </c>
      <c r="J60" s="49">
        <f>IFERROR(INDEX(부록3DB!$J$7:$U$1241,MATCH('②-1 기후비작업근거'!$C$6&amp;"|"&amp;6,부록3DB!$I$7:$I$1241,0),5),0)</f>
        <v>0</v>
      </c>
      <c r="K60" s="49">
        <f>IFERROR(INDEX(부록3DB!$J$7:$U$1241,MATCH('②-1 기후비작업근거'!$C$6&amp;"|"&amp;6,부록3DB!$I$7:$I$1241,0),6),0)</f>
        <v>0</v>
      </c>
      <c r="L60" s="49">
        <f>IFERROR(INDEX(부록3DB!$J$7:$U$1241,MATCH('②-1 기후비작업근거'!$C$6&amp;"|"&amp;6,부록3DB!$I$7:$I$1241,0),7),0)</f>
        <v>0</v>
      </c>
      <c r="M60" s="49">
        <f>IFERROR(INDEX(부록3DB!$J$7:$U$1241,MATCH('②-1 기후비작업근거'!$C$6&amp;"|"&amp;6,부록3DB!$I$7:$I$1241,0),8),0)</f>
        <v>0</v>
      </c>
      <c r="N60" s="49">
        <f>IFERROR(INDEX(부록3DB!$J$7:$U$1241,MATCH('②-1 기후비작업근거'!$C$6&amp;"|"&amp;6,부록3DB!$I$7:$I$1241,0),9),0)</f>
        <v>0</v>
      </c>
      <c r="O60" s="49">
        <f>IFERROR(INDEX(부록3DB!$J$7:$U$1241,MATCH('②-1 기후비작업근거'!$C$6&amp;"|"&amp;6,부록3DB!$I$7:$I$1241,0),10),0)</f>
        <v>0</v>
      </c>
      <c r="P60" s="49">
        <f>IFERROR(INDEX(부록3DB!$J$7:$U$1241,MATCH('②-1 기후비작업근거'!$C$6&amp;"|"&amp;6,부록3DB!$I$7:$I$1241,0),11),0)</f>
        <v>0</v>
      </c>
      <c r="Q60" s="49">
        <f>IFERROR(INDEX(부록3DB!$J$7:$U$1241,MATCH('②-1 기후비작업근거'!$C$6&amp;"|"&amp;6,부록3DB!$I$7:$I$1241,0),12),0)</f>
        <v>0</v>
      </c>
      <c r="R60" s="50">
        <f t="shared" si="0"/>
        <v>0.1</v>
      </c>
      <c r="S60" s="51" t="s">
        <v>135</v>
      </c>
      <c r="T60" s="52" t="str">
        <f>IFERROR(IF(INDEX('②-1 기후비작업근거'!$F$28:$S$37,MATCH(①공사개요!$C$7,'②-1 기후비작업근거'!$B$28:$B$37,0),1)="Y","Y",""),"")</f>
        <v>Y</v>
      </c>
    </row>
    <row r="61" spans="2:20" ht="15">
      <c r="B61" s="47">
        <f>IF('②-1 기후비작업근거'!$C$7="자동",$T61,$S61)</f>
        <v>0</v>
      </c>
      <c r="C61" s="53" t="s">
        <v>173</v>
      </c>
      <c r="D61" s="40" t="s">
        <v>178</v>
      </c>
      <c r="E61" s="42" t="s">
        <v>179</v>
      </c>
      <c r="F61" s="49">
        <f>IFERROR(INDEX(부록3DB!$J$7:$U$1241,MATCH('②-1 기후비작업근거'!$C$6&amp;"|"&amp;7,부록3DB!$I$7:$I$1241,0),1),0)</f>
        <v>10</v>
      </c>
      <c r="G61" s="49">
        <f>IFERROR(INDEX(부록3DB!$J$7:$U$1241,MATCH('②-1 기후비작업근거'!$C$6&amp;"|"&amp;7,부록3DB!$I$7:$I$1241,0),2),0)</f>
        <v>4.4000000000000004</v>
      </c>
      <c r="H61" s="49">
        <f>IFERROR(INDEX(부록3DB!$J$7:$U$1241,MATCH('②-1 기후비작업근거'!$C$6&amp;"|"&amp;7,부록3DB!$I$7:$I$1241,0),3),0)</f>
        <v>0.2</v>
      </c>
      <c r="I61" s="49">
        <f>IFERROR(INDEX(부록3DB!$J$7:$U$1241,MATCH('②-1 기후비작업근거'!$C$6&amp;"|"&amp;7,부록3DB!$I$7:$I$1241,0),4),0)</f>
        <v>0</v>
      </c>
      <c r="J61" s="49">
        <f>IFERROR(INDEX(부록3DB!$J$7:$U$1241,MATCH('②-1 기후비작업근거'!$C$6&amp;"|"&amp;7,부록3DB!$I$7:$I$1241,0),5),0)</f>
        <v>0</v>
      </c>
      <c r="K61" s="49">
        <f>IFERROR(INDEX(부록3DB!$J$7:$U$1241,MATCH('②-1 기후비작업근거'!$C$6&amp;"|"&amp;7,부록3DB!$I$7:$I$1241,0),6),0)</f>
        <v>0</v>
      </c>
      <c r="L61" s="49">
        <f>IFERROR(INDEX(부록3DB!$J$7:$U$1241,MATCH('②-1 기후비작업근거'!$C$6&amp;"|"&amp;7,부록3DB!$I$7:$I$1241,0),7),0)</f>
        <v>0</v>
      </c>
      <c r="M61" s="49">
        <f>IFERROR(INDEX(부록3DB!$J$7:$U$1241,MATCH('②-1 기후비작업근거'!$C$6&amp;"|"&amp;7,부록3DB!$I$7:$I$1241,0),8),0)</f>
        <v>0</v>
      </c>
      <c r="N61" s="49">
        <f>IFERROR(INDEX(부록3DB!$J$7:$U$1241,MATCH('②-1 기후비작업근거'!$C$6&amp;"|"&amp;7,부록3DB!$I$7:$I$1241,0),9),0)</f>
        <v>0</v>
      </c>
      <c r="O61" s="49">
        <f>IFERROR(INDEX(부록3DB!$J$7:$U$1241,MATCH('②-1 기후비작업근거'!$C$6&amp;"|"&amp;7,부록3DB!$I$7:$I$1241,0),10),0)</f>
        <v>0</v>
      </c>
      <c r="P61" s="49">
        <f>IFERROR(INDEX(부록3DB!$J$7:$U$1241,MATCH('②-1 기후비작업근거'!$C$6&amp;"|"&amp;7,부록3DB!$I$7:$I$1241,0),11),0)</f>
        <v>0.5</v>
      </c>
      <c r="Q61" s="49">
        <f>IFERROR(INDEX(부록3DB!$J$7:$U$1241,MATCH('②-1 기후비작업근거'!$C$6&amp;"|"&amp;7,부록3DB!$I$7:$I$1241,0),12),0)</f>
        <v>8.3000000000000007</v>
      </c>
      <c r="R61" s="50">
        <f t="shared" si="0"/>
        <v>23.4</v>
      </c>
      <c r="S61" s="51"/>
      <c r="T61" s="52"/>
    </row>
    <row r="62" spans="2:20" ht="15">
      <c r="B62" s="47" t="str">
        <f>IF('②-1 기후비작업근거'!$C$7="자동",$T62,$S62)</f>
        <v/>
      </c>
      <c r="C62" s="53" t="s">
        <v>173</v>
      </c>
      <c r="D62" s="40" t="s">
        <v>180</v>
      </c>
      <c r="E62" s="42" t="s">
        <v>181</v>
      </c>
      <c r="F62" s="49">
        <f>IFERROR(INDEX(부록3DB!$J$7:$U$1241,MATCH('②-1 기후비작업근거'!$C$6&amp;"|"&amp;8,부록3DB!$I$7:$I$1241,0),1),0)</f>
        <v>14.3</v>
      </c>
      <c r="G62" s="49">
        <f>IFERROR(INDEX(부록3DB!$J$7:$U$1241,MATCH('②-1 기후비작업근거'!$C$6&amp;"|"&amp;8,부록3DB!$I$7:$I$1241,0),2),0)</f>
        <v>6</v>
      </c>
      <c r="H62" s="49">
        <f>IFERROR(INDEX(부록3DB!$J$7:$U$1241,MATCH('②-1 기후비작업근거'!$C$6&amp;"|"&amp;8,부록3DB!$I$7:$I$1241,0),3),0)</f>
        <v>0.1</v>
      </c>
      <c r="I62" s="49">
        <f>IFERROR(INDEX(부록3DB!$J$7:$U$1241,MATCH('②-1 기후비작업근거'!$C$6&amp;"|"&amp;8,부록3DB!$I$7:$I$1241,0),4),0)</f>
        <v>0</v>
      </c>
      <c r="J62" s="49">
        <f>IFERROR(INDEX(부록3DB!$J$7:$U$1241,MATCH('②-1 기후비작업근거'!$C$6&amp;"|"&amp;8,부록3DB!$I$7:$I$1241,0),5),0)</f>
        <v>0</v>
      </c>
      <c r="K62" s="49">
        <f>IFERROR(INDEX(부록3DB!$J$7:$U$1241,MATCH('②-1 기후비작업근거'!$C$6&amp;"|"&amp;8,부록3DB!$I$7:$I$1241,0),6),0)</f>
        <v>0</v>
      </c>
      <c r="L62" s="49">
        <f>IFERROR(INDEX(부록3DB!$J$7:$U$1241,MATCH('②-1 기후비작업근거'!$C$6&amp;"|"&amp;8,부록3DB!$I$7:$I$1241,0),7),0)</f>
        <v>0</v>
      </c>
      <c r="M62" s="49">
        <f>IFERROR(INDEX(부록3DB!$J$7:$U$1241,MATCH('②-1 기후비작업근거'!$C$6&amp;"|"&amp;8,부록3DB!$I$7:$I$1241,0),8),0)</f>
        <v>0</v>
      </c>
      <c r="N62" s="49">
        <f>IFERROR(INDEX(부록3DB!$J$7:$U$1241,MATCH('②-1 기후비작업근거'!$C$6&amp;"|"&amp;8,부록3DB!$I$7:$I$1241,0),9),0)</f>
        <v>0</v>
      </c>
      <c r="O62" s="49">
        <f>IFERROR(INDEX(부록3DB!$J$7:$U$1241,MATCH('②-1 기후비작업근거'!$C$6&amp;"|"&amp;8,부록3DB!$I$7:$I$1241,0),10),0)</f>
        <v>0</v>
      </c>
      <c r="P62" s="49">
        <f>IFERROR(INDEX(부록3DB!$J$7:$U$1241,MATCH('②-1 기후비작업근거'!$C$6&amp;"|"&amp;8,부록3DB!$I$7:$I$1241,0),11),0)</f>
        <v>0</v>
      </c>
      <c r="Q62" s="49">
        <f>IFERROR(INDEX(부록3DB!$J$7:$U$1241,MATCH('②-1 기후비작업근거'!$C$6&amp;"|"&amp;8,부록3DB!$I$7:$I$1241,0),12),0)</f>
        <v>8.6999999999999993</v>
      </c>
      <c r="R62" s="50">
        <f t="shared" si="0"/>
        <v>29.1</v>
      </c>
      <c r="S62" s="51"/>
      <c r="T62" s="52" t="str">
        <f>IFERROR(IF(INDEX('②-1 기후비작업근거'!$F$28:$S$37,MATCH(①공사개요!$C$7,'②-1 기후비작업근거'!$B$28:$B$37,0),8)="Y","Y",""),"")</f>
        <v/>
      </c>
    </row>
    <row r="63" spans="2:20" ht="15">
      <c r="B63" s="47" t="str">
        <f>IF('②-1 기후비작업근거'!$C$7="자동",$T63,$S63)</f>
        <v>Y</v>
      </c>
      <c r="C63" s="54" t="s">
        <v>182</v>
      </c>
      <c r="D63" s="40" t="s">
        <v>183</v>
      </c>
      <c r="E63" s="42" t="s">
        <v>184</v>
      </c>
      <c r="F63" s="49">
        <f>IFERROR(INDEX(부록3DB!$J$7:$U$1241,MATCH('②-1 기후비작업근거'!$C$6&amp;"|"&amp;9,부록3DB!$I$7:$I$1241,0),1),0)</f>
        <v>1.1000000000000001</v>
      </c>
      <c r="G63" s="49">
        <f>IFERROR(INDEX(부록3DB!$J$7:$U$1241,MATCH('②-1 기후비작업근거'!$C$6&amp;"|"&amp;9,부록3DB!$I$7:$I$1241,0),2),0)</f>
        <v>2</v>
      </c>
      <c r="H63" s="49">
        <f>IFERROR(INDEX(부록3DB!$J$7:$U$1241,MATCH('②-1 기후비작업근거'!$C$6&amp;"|"&amp;9,부록3DB!$I$7:$I$1241,0),3),0)</f>
        <v>2.6</v>
      </c>
      <c r="I63" s="49">
        <f>IFERROR(INDEX(부록3DB!$J$7:$U$1241,MATCH('②-1 기후비작업근거'!$C$6&amp;"|"&amp;9,부록3DB!$I$7:$I$1241,0),4),0)</f>
        <v>4.3</v>
      </c>
      <c r="J63" s="49">
        <f>IFERROR(INDEX(부록3DB!$J$7:$U$1241,MATCH('②-1 기후비작업근거'!$C$6&amp;"|"&amp;9,부록3DB!$I$7:$I$1241,0),5),0)</f>
        <v>5.5</v>
      </c>
      <c r="K63" s="49">
        <f>IFERROR(INDEX(부록3DB!$J$7:$U$1241,MATCH('②-1 기후비작업근거'!$C$6&amp;"|"&amp;9,부록3DB!$I$7:$I$1241,0),6),0)</f>
        <v>5.7</v>
      </c>
      <c r="L63" s="49">
        <f>IFERROR(INDEX(부록3DB!$J$7:$U$1241,MATCH('②-1 기후비작업근거'!$C$6&amp;"|"&amp;9,부록3DB!$I$7:$I$1241,0),7),0)</f>
        <v>10.4</v>
      </c>
      <c r="M63" s="49">
        <f>IFERROR(INDEX(부록3DB!$J$7:$U$1241,MATCH('②-1 기후비작업근거'!$C$6&amp;"|"&amp;9,부록3DB!$I$7:$I$1241,0),8),0)</f>
        <v>8.4</v>
      </c>
      <c r="N63" s="49">
        <f>IFERROR(INDEX(부록3DB!$J$7:$U$1241,MATCH('②-1 기후비작업근거'!$C$6&amp;"|"&amp;9,부록3DB!$I$7:$I$1241,0),9),0)</f>
        <v>4.5</v>
      </c>
      <c r="O63" s="49">
        <f>IFERROR(INDEX(부록3DB!$J$7:$U$1241,MATCH('②-1 기후비작업근거'!$C$6&amp;"|"&amp;9,부록3DB!$I$7:$I$1241,0),10),0)</f>
        <v>3.6</v>
      </c>
      <c r="P63" s="49">
        <f>IFERROR(INDEX(부록3DB!$J$7:$U$1241,MATCH('②-1 기후비작업근거'!$C$6&amp;"|"&amp;9,부록3DB!$I$7:$I$1241,0),11),0)</f>
        <v>4.3</v>
      </c>
      <c r="Q63" s="49">
        <f>IFERROR(INDEX(부록3DB!$J$7:$U$1241,MATCH('②-1 기후비작업근거'!$C$6&amp;"|"&amp;9,부록3DB!$I$7:$I$1241,0),12),0)</f>
        <v>1.7</v>
      </c>
      <c r="R63" s="50">
        <f t="shared" si="0"/>
        <v>54.1</v>
      </c>
      <c r="S63" s="51" t="s">
        <v>135</v>
      </c>
      <c r="T63" s="52" t="str">
        <f>IFERROR(IF(INDEX('②-1 기후비작업근거'!$F$28:$S$37,MATCH(①공사개요!$C$7,'②-1 기후비작업근거'!$B$28:$B$37,0),1)="Y","Y",""),"")</f>
        <v>Y</v>
      </c>
    </row>
    <row r="64" spans="2:20" ht="15">
      <c r="B64" s="47" t="str">
        <f>IF('②-1 기후비작업근거'!$C$7="자동",$T64,$S64)</f>
        <v/>
      </c>
      <c r="C64" s="54" t="s">
        <v>182</v>
      </c>
      <c r="D64" s="40" t="s">
        <v>185</v>
      </c>
      <c r="E64" s="42" t="s">
        <v>186</v>
      </c>
      <c r="F64" s="49">
        <f>IFERROR(INDEX(부록3DB!$J$7:$U$1241,MATCH('②-1 기후비작업근거'!$C$6&amp;"|"&amp;10,부록3DB!$I$7:$I$1241,0),1),0)</f>
        <v>0.6</v>
      </c>
      <c r="G64" s="49">
        <f>IFERROR(INDEX(부록3DB!$J$7:$U$1241,MATCH('②-1 기후비작업근거'!$C$6&amp;"|"&amp;10,부록3DB!$I$7:$I$1241,0),2),0)</f>
        <v>1.3</v>
      </c>
      <c r="H64" s="49">
        <f>IFERROR(INDEX(부록3DB!$J$7:$U$1241,MATCH('②-1 기후비작업근거'!$C$6&amp;"|"&amp;10,부록3DB!$I$7:$I$1241,0),3),0)</f>
        <v>2</v>
      </c>
      <c r="I64" s="49">
        <f>IFERROR(INDEX(부록3DB!$J$7:$U$1241,MATCH('②-1 기후비작업근거'!$C$6&amp;"|"&amp;10,부록3DB!$I$7:$I$1241,0),4),0)</f>
        <v>3.5</v>
      </c>
      <c r="J64" s="49">
        <f>IFERROR(INDEX(부록3DB!$J$7:$U$1241,MATCH('②-1 기후비작업근거'!$C$6&amp;"|"&amp;10,부록3DB!$I$7:$I$1241,0),5),0)</f>
        <v>4.9000000000000004</v>
      </c>
      <c r="K64" s="49">
        <f>IFERROR(INDEX(부록3DB!$J$7:$U$1241,MATCH('②-1 기후비작업근거'!$C$6&amp;"|"&amp;10,부록3DB!$I$7:$I$1241,0),6),0)</f>
        <v>4.7</v>
      </c>
      <c r="L64" s="49">
        <f>IFERROR(INDEX(부록3DB!$J$7:$U$1241,MATCH('②-1 기후비작업근거'!$C$6&amp;"|"&amp;10,부록3DB!$I$7:$I$1241,0),7),0)</f>
        <v>9.1</v>
      </c>
      <c r="M64" s="49">
        <f>IFERROR(INDEX(부록3DB!$J$7:$U$1241,MATCH('②-1 기후비작업근거'!$C$6&amp;"|"&amp;10,부록3DB!$I$7:$I$1241,0),8),0)</f>
        <v>7.6</v>
      </c>
      <c r="N64" s="49">
        <f>IFERROR(INDEX(부록3DB!$J$7:$U$1241,MATCH('②-1 기후비작업근거'!$C$6&amp;"|"&amp;10,부록3DB!$I$7:$I$1241,0),9),0)</f>
        <v>4.0999999999999996</v>
      </c>
      <c r="O64" s="49">
        <f>IFERROR(INDEX(부록3DB!$J$7:$U$1241,MATCH('②-1 기후비작업근거'!$C$6&amp;"|"&amp;10,부록3DB!$I$7:$I$1241,0),10),0)</f>
        <v>2.9</v>
      </c>
      <c r="P64" s="49">
        <f>IFERROR(INDEX(부록3DB!$J$7:$U$1241,MATCH('②-1 기후비작업근거'!$C$6&amp;"|"&amp;10,부록3DB!$I$7:$I$1241,0),11),0)</f>
        <v>3.1</v>
      </c>
      <c r="Q64" s="49">
        <f>IFERROR(INDEX(부록3DB!$J$7:$U$1241,MATCH('②-1 기후비작업근거'!$C$6&amp;"|"&amp;10,부록3DB!$I$7:$I$1241,0),12),0)</f>
        <v>1</v>
      </c>
      <c r="R64" s="50">
        <f t="shared" si="0"/>
        <v>44.800000000000004</v>
      </c>
      <c r="S64" s="51"/>
      <c r="T64" s="52" t="str">
        <f>IFERROR(IF(INDEX('②-1 기후비작업근거'!$F$28:$S$37,MATCH(①공사개요!$C$7,'②-1 기후비작업근거'!$B$28:$B$37,0),10)="Y","Y",""),"")</f>
        <v/>
      </c>
    </row>
    <row r="65" spans="2:20" ht="15">
      <c r="B65" s="47">
        <f>IF('②-1 기후비작업근거'!$C$7="자동",$T65,$S65)</f>
        <v>0</v>
      </c>
      <c r="C65" s="54" t="s">
        <v>182</v>
      </c>
      <c r="D65" s="40" t="s">
        <v>187</v>
      </c>
      <c r="E65" s="42" t="s">
        <v>188</v>
      </c>
      <c r="F65" s="49">
        <f>IFERROR(INDEX(부록3DB!$J$7:$U$1241,MATCH('②-1 기후비작업근거'!$C$6&amp;"|"&amp;11,부록3DB!$I$7:$I$1241,0),1),0)</f>
        <v>0.3</v>
      </c>
      <c r="G65" s="49">
        <f>IFERROR(INDEX(부록3DB!$J$7:$U$1241,MATCH('②-1 기후비작업근거'!$C$6&amp;"|"&amp;11,부록3DB!$I$7:$I$1241,0),2),0)</f>
        <v>1</v>
      </c>
      <c r="H65" s="49">
        <f>IFERROR(INDEX(부록3DB!$J$7:$U$1241,MATCH('②-1 기후비작업근거'!$C$6&amp;"|"&amp;11,부록3DB!$I$7:$I$1241,0),3),0)</f>
        <v>1</v>
      </c>
      <c r="I65" s="49">
        <f>IFERROR(INDEX(부록3DB!$J$7:$U$1241,MATCH('②-1 기후비작업근거'!$C$6&amp;"|"&amp;11,부록3DB!$I$7:$I$1241,0),4),0)</f>
        <v>2.2999999999999998</v>
      </c>
      <c r="J65" s="49">
        <f>IFERROR(INDEX(부록3DB!$J$7:$U$1241,MATCH('②-1 기후비작업근거'!$C$6&amp;"|"&amp;11,부록3DB!$I$7:$I$1241,0),5),0)</f>
        <v>3.4</v>
      </c>
      <c r="K65" s="49">
        <f>IFERROR(INDEX(부록3DB!$J$7:$U$1241,MATCH('②-1 기후비작업근거'!$C$6&amp;"|"&amp;11,부록3DB!$I$7:$I$1241,0),6),0)</f>
        <v>3.6</v>
      </c>
      <c r="L65" s="49">
        <f>IFERROR(INDEX(부록3DB!$J$7:$U$1241,MATCH('②-1 기후비작업근거'!$C$6&amp;"|"&amp;11,부록3DB!$I$7:$I$1241,0),7),0)</f>
        <v>7.1</v>
      </c>
      <c r="M65" s="49">
        <f>IFERROR(INDEX(부록3DB!$J$7:$U$1241,MATCH('②-1 기후비작업근거'!$C$6&amp;"|"&amp;11,부록3DB!$I$7:$I$1241,0),8),0)</f>
        <v>6.1</v>
      </c>
      <c r="N65" s="49">
        <f>IFERROR(INDEX(부록3DB!$J$7:$U$1241,MATCH('②-1 기후비작업근거'!$C$6&amp;"|"&amp;11,부록3DB!$I$7:$I$1241,0),9),0)</f>
        <v>2.8</v>
      </c>
      <c r="O65" s="49">
        <f>IFERROR(INDEX(부록3DB!$J$7:$U$1241,MATCH('②-1 기후비작업근거'!$C$6&amp;"|"&amp;11,부록3DB!$I$7:$I$1241,0),10),0)</f>
        <v>2</v>
      </c>
      <c r="P65" s="49">
        <f>IFERROR(INDEX(부록3DB!$J$7:$U$1241,MATCH('②-1 기후비작업근거'!$C$6&amp;"|"&amp;11,부록3DB!$I$7:$I$1241,0),11),0)</f>
        <v>1.9</v>
      </c>
      <c r="Q65" s="49">
        <f>IFERROR(INDEX(부록3DB!$J$7:$U$1241,MATCH('②-1 기후비작업근거'!$C$6&amp;"|"&amp;11,부록3DB!$I$7:$I$1241,0),12),0)</f>
        <v>0.6</v>
      </c>
      <c r="R65" s="50">
        <f t="shared" si="0"/>
        <v>32.099999999999994</v>
      </c>
      <c r="S65" s="51"/>
      <c r="T65" s="52"/>
    </row>
    <row r="66" spans="2:20" ht="15">
      <c r="B66" s="47" t="str">
        <f>IF('②-1 기후비작업근거'!$C$7="자동",$T66,$S66)</f>
        <v/>
      </c>
      <c r="C66" s="54" t="s">
        <v>182</v>
      </c>
      <c r="D66" s="40" t="s">
        <v>189</v>
      </c>
      <c r="E66" s="42" t="s">
        <v>190</v>
      </c>
      <c r="F66" s="49">
        <f>IFERROR(INDEX(부록3DB!$J$7:$U$1241,MATCH('②-1 기후비작업근거'!$C$6&amp;"|"&amp;12,부록3DB!$I$7:$I$1241,0),1),0)</f>
        <v>0.3</v>
      </c>
      <c r="G66" s="49">
        <f>IFERROR(INDEX(부록3DB!$J$7:$U$1241,MATCH('②-1 기후비작업근거'!$C$6&amp;"|"&amp;12,부록3DB!$I$7:$I$1241,0),2),0)</f>
        <v>0.1</v>
      </c>
      <c r="H66" s="49">
        <f>IFERROR(INDEX(부록3DB!$J$7:$U$1241,MATCH('②-1 기후비작업근거'!$C$6&amp;"|"&amp;12,부록3DB!$I$7:$I$1241,0),3),0)</f>
        <v>0.4</v>
      </c>
      <c r="I66" s="49">
        <f>IFERROR(INDEX(부록3DB!$J$7:$U$1241,MATCH('②-1 기후비작업근거'!$C$6&amp;"|"&amp;12,부록3DB!$I$7:$I$1241,0),4),0)</f>
        <v>0.9</v>
      </c>
      <c r="J66" s="49">
        <f>IFERROR(INDEX(부록3DB!$J$7:$U$1241,MATCH('②-1 기후비작업근거'!$C$6&amp;"|"&amp;12,부록3DB!$I$7:$I$1241,0),5),0)</f>
        <v>2.1</v>
      </c>
      <c r="K66" s="49">
        <f>IFERROR(INDEX(부록3DB!$J$7:$U$1241,MATCH('②-1 기후비작업근거'!$C$6&amp;"|"&amp;12,부록3DB!$I$7:$I$1241,0),6),0)</f>
        <v>1.6</v>
      </c>
      <c r="L66" s="49">
        <f>IFERROR(INDEX(부록3DB!$J$7:$U$1241,MATCH('②-1 기후비작업근거'!$C$6&amp;"|"&amp;12,부록3DB!$I$7:$I$1241,0),7),0)</f>
        <v>5.4</v>
      </c>
      <c r="M66" s="49">
        <f>IFERROR(INDEX(부록3DB!$J$7:$U$1241,MATCH('②-1 기후비작업근거'!$C$6&amp;"|"&amp;12,부록3DB!$I$7:$I$1241,0),8),0)</f>
        <v>4.7</v>
      </c>
      <c r="N66" s="49">
        <f>IFERROR(INDEX(부록3DB!$J$7:$U$1241,MATCH('②-1 기후비작업근거'!$C$6&amp;"|"&amp;12,부록3DB!$I$7:$I$1241,0),9),0)</f>
        <v>1.9</v>
      </c>
      <c r="O66" s="49">
        <f>IFERROR(INDEX(부록3DB!$J$7:$U$1241,MATCH('②-1 기후비작업근거'!$C$6&amp;"|"&amp;12,부록3DB!$I$7:$I$1241,0),10),0)</f>
        <v>1</v>
      </c>
      <c r="P66" s="49">
        <f>IFERROR(INDEX(부록3DB!$J$7:$U$1241,MATCH('②-1 기후비작업근거'!$C$6&amp;"|"&amp;12,부록3DB!$I$7:$I$1241,0),11),0)</f>
        <v>0.8</v>
      </c>
      <c r="Q66" s="49">
        <f>IFERROR(INDEX(부록3DB!$J$7:$U$1241,MATCH('②-1 기후비작업근거'!$C$6&amp;"|"&amp;12,부록3DB!$I$7:$I$1241,0),12),0)</f>
        <v>0.3</v>
      </c>
      <c r="R66" s="50">
        <f t="shared" si="0"/>
        <v>19.5</v>
      </c>
      <c r="S66" s="51"/>
      <c r="T66" s="52" t="str">
        <f>IFERROR(IF(INDEX('②-1 기후비작업근거'!$F$28:$S$37,MATCH(①공사개요!$C$7,'②-1 기후비작업근거'!$B$28:$B$37,0),12)="Y","Y",""),"")</f>
        <v/>
      </c>
    </row>
    <row r="67" spans="2:20" ht="15">
      <c r="B67" s="47" t="str">
        <f>IF('②-1 기후비작업근거'!$C$7="자동",$T67,$S67)</f>
        <v>Y</v>
      </c>
      <c r="C67" s="55" t="s">
        <v>191</v>
      </c>
      <c r="D67" s="40" t="s">
        <v>192</v>
      </c>
      <c r="E67" s="42" t="s">
        <v>193</v>
      </c>
      <c r="F67" s="49">
        <f>IFERROR(INDEX(부록3DB!$J$7:$U$1241,MATCH('②-1 기후비작업근거'!$C$6&amp;"|"&amp;13,부록3DB!$I$7:$I$1241,0),1),0)</f>
        <v>0.1</v>
      </c>
      <c r="G67" s="49">
        <f>IFERROR(INDEX(부록3DB!$J$7:$U$1241,MATCH('②-1 기후비작업근거'!$C$6&amp;"|"&amp;13,부록3DB!$I$7:$I$1241,0),2),0)</f>
        <v>0</v>
      </c>
      <c r="H67" s="49">
        <f>IFERROR(INDEX(부록3DB!$J$7:$U$1241,MATCH('②-1 기후비작업근거'!$C$6&amp;"|"&amp;13,부록3DB!$I$7:$I$1241,0),3),0)</f>
        <v>0.2</v>
      </c>
      <c r="I67" s="49">
        <f>IFERROR(INDEX(부록3DB!$J$7:$U$1241,MATCH('②-1 기후비작업근거'!$C$6&amp;"|"&amp;13,부록3DB!$I$7:$I$1241,0),4),0)</f>
        <v>0.2</v>
      </c>
      <c r="J67" s="49">
        <f>IFERROR(INDEX(부록3DB!$J$7:$U$1241,MATCH('②-1 기후비작업근거'!$C$6&amp;"|"&amp;13,부록3DB!$I$7:$I$1241,0),5),0)</f>
        <v>0.4</v>
      </c>
      <c r="K67" s="49">
        <f>IFERROR(INDEX(부록3DB!$J$7:$U$1241,MATCH('②-1 기후비작업근거'!$C$6&amp;"|"&amp;13,부록3DB!$I$7:$I$1241,0),6),0)</f>
        <v>0.3</v>
      </c>
      <c r="L67" s="49">
        <f>IFERROR(INDEX(부록3DB!$J$7:$U$1241,MATCH('②-1 기후비작업근거'!$C$6&amp;"|"&amp;13,부록3DB!$I$7:$I$1241,0),7),0)</f>
        <v>0.2</v>
      </c>
      <c r="M67" s="49">
        <f>IFERROR(INDEX(부록3DB!$J$7:$U$1241,MATCH('②-1 기후비작업근거'!$C$6&amp;"|"&amp;13,부록3DB!$I$7:$I$1241,0),8),0)</f>
        <v>0.3</v>
      </c>
      <c r="N67" s="49">
        <f>IFERROR(INDEX(부록3DB!$J$7:$U$1241,MATCH('②-1 기후비작업근거'!$C$6&amp;"|"&amp;13,부록3DB!$I$7:$I$1241,0),9),0)</f>
        <v>0.3</v>
      </c>
      <c r="O67" s="49">
        <f>IFERROR(INDEX(부록3DB!$J$7:$U$1241,MATCH('②-1 기후비작업근거'!$C$6&amp;"|"&amp;13,부록3DB!$I$7:$I$1241,0),10),0)</f>
        <v>0.1</v>
      </c>
      <c r="P67" s="49">
        <f>IFERROR(INDEX(부록3DB!$J$7:$U$1241,MATCH('②-1 기후비작업근거'!$C$6&amp;"|"&amp;13,부록3DB!$I$7:$I$1241,0),11),0)</f>
        <v>0.3</v>
      </c>
      <c r="Q67" s="49">
        <f>IFERROR(INDEX(부록3DB!$J$7:$U$1241,MATCH('②-1 기후비작업근거'!$C$6&amp;"|"&amp;13,부록3DB!$I$7:$I$1241,0),12),0)</f>
        <v>0.2</v>
      </c>
      <c r="R67" s="50">
        <f t="shared" si="0"/>
        <v>2.6</v>
      </c>
      <c r="S67" s="51" t="s">
        <v>135</v>
      </c>
      <c r="T67" s="52" t="str">
        <f>IFERROR(IF(INDEX('②-1 기후비작업근거'!$F$28:$S$37,MATCH(①공사개요!$C$7,'②-1 기후비작업근거'!$B$28:$B$37,0),1)="Y","Y",""),"")</f>
        <v>Y</v>
      </c>
    </row>
    <row r="68" spans="2:20" ht="20.6">
      <c r="B68" s="47" t="str">
        <f>IF('②-1 기후비작업근거'!$C$7="자동",$T68,$S68)</f>
        <v>Y</v>
      </c>
      <c r="C68" s="56" t="s">
        <v>194</v>
      </c>
      <c r="D68" s="41" t="s">
        <v>195</v>
      </c>
      <c r="E68" s="57" t="str">
        <f>"PM2.5 나쁨일수 (환경부 · "&amp;①공사개요!$C$6&amp;" 인근 측정소 · 수동입력 확인)"</f>
        <v>PM2.5 나쁨일수 (환경부 · 연천군 인근 측정소 · 수동입력 확인)</v>
      </c>
      <c r="F68" s="459">
        <v>3.5</v>
      </c>
      <c r="G68" s="459">
        <v>3.5</v>
      </c>
      <c r="H68" s="459">
        <v>4.5</v>
      </c>
      <c r="I68" s="459">
        <v>2.5</v>
      </c>
      <c r="J68" s="459">
        <v>1</v>
      </c>
      <c r="K68" s="459">
        <v>0</v>
      </c>
      <c r="L68" s="459">
        <v>0</v>
      </c>
      <c r="M68" s="459">
        <v>0</v>
      </c>
      <c r="N68" s="459">
        <v>0</v>
      </c>
      <c r="O68" s="459">
        <v>0.5</v>
      </c>
      <c r="P68" s="459">
        <v>1.5</v>
      </c>
      <c r="Q68" s="459">
        <v>2</v>
      </c>
      <c r="R68" s="50">
        <f t="shared" si="0"/>
        <v>19</v>
      </c>
      <c r="S68" s="51" t="s">
        <v>135</v>
      </c>
      <c r="T68" s="52" t="str">
        <f>IFERROR(IF(INDEX('②-1 기후비작업근거'!$F$28:$S$37,MATCH(①공사개요!$C$7,'②-1 기후비작업근거'!$B$28:$B$37,0),14)="Y","Y",""),"")</f>
        <v>Y</v>
      </c>
    </row>
    <row r="69" spans="2:20" ht="15">
      <c r="B69" s="482" t="s">
        <v>196</v>
      </c>
      <c r="C69" s="482"/>
      <c r="D69" s="482"/>
      <c r="E69" s="482"/>
      <c r="F69" s="58">
        <f t="shared" ref="F69:Q69" si="1">SUMIF($B$55:$B$68,"Y",F55:F68)</f>
        <v>14.7</v>
      </c>
      <c r="G69" s="58">
        <f t="shared" si="1"/>
        <v>9.9</v>
      </c>
      <c r="H69" s="58">
        <f t="shared" si="1"/>
        <v>7.5</v>
      </c>
      <c r="I69" s="58">
        <f t="shared" si="1"/>
        <v>7</v>
      </c>
      <c r="J69" s="58">
        <f t="shared" si="1"/>
        <v>6.9</v>
      </c>
      <c r="K69" s="58">
        <f t="shared" si="1"/>
        <v>6</v>
      </c>
      <c r="L69" s="58">
        <f t="shared" si="1"/>
        <v>16.3</v>
      </c>
      <c r="M69" s="58">
        <f t="shared" si="1"/>
        <v>17.900000000000002</v>
      </c>
      <c r="N69" s="58">
        <f t="shared" si="1"/>
        <v>4.8999999999999995</v>
      </c>
      <c r="O69" s="58">
        <f t="shared" si="1"/>
        <v>4.2</v>
      </c>
      <c r="P69" s="58">
        <f t="shared" si="1"/>
        <v>6.6</v>
      </c>
      <c r="Q69" s="58">
        <f t="shared" si="1"/>
        <v>12.2</v>
      </c>
      <c r="R69" s="59">
        <f t="shared" si="0"/>
        <v>114.10000000000001</v>
      </c>
    </row>
    <row r="70" spans="2:20">
      <c r="B70" t="s">
        <v>1740</v>
      </c>
    </row>
    <row r="71" spans="2:20">
      <c r="B71" s="23" t="s">
        <v>197</v>
      </c>
    </row>
    <row r="72" spans="2:20">
      <c r="B72" s="60" t="s">
        <v>198</v>
      </c>
    </row>
    <row r="73" spans="2:20">
      <c r="B73" s="23" t="s">
        <v>199</v>
      </c>
    </row>
    <row r="74" spans="2:20">
      <c r="B74" s="23" t="s">
        <v>200</v>
      </c>
    </row>
  </sheetData>
  <mergeCells count="27">
    <mergeCell ref="A1:R1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B27:E27"/>
    <mergeCell ref="B28:E28"/>
    <mergeCell ref="B29:E29"/>
    <mergeCell ref="B30:E30"/>
    <mergeCell ref="B31:E31"/>
    <mergeCell ref="B32:E32"/>
    <mergeCell ref="B69:E69"/>
    <mergeCell ref="B33:E33"/>
    <mergeCell ref="B34:E34"/>
    <mergeCell ref="B35:E35"/>
    <mergeCell ref="B36:E36"/>
    <mergeCell ref="B37:E37"/>
  </mergeCells>
  <phoneticPr fontId="84" type="noConversion"/>
  <dataValidations count="2">
    <dataValidation type="list" sqref="C7" xr:uid="{00000000-0002-0000-0300-000001000000}">
      <formula1>"자동,수동"</formula1>
      <formula2>0</formula2>
    </dataValidation>
    <dataValidation type="list" allowBlank="1" sqref="S55:S68" xr:uid="{00000000-0002-0000-0300-000002000000}">
      <formula1>"Y,"</formula1>
      <formula2>0</formula2>
    </dataValidation>
  </dataValidations>
  <printOptions horizontalCentered="1"/>
  <pageMargins left="0.31496111111111108" right="0.31496111111111108" top="0.47244166666666665" bottom="0.47244166666666665" header="0.19685069444444445" footer="0.19685069444444445"/>
  <pageSetup paperSize="9" scale="60" fitToHeight="2" orientation="landscape" r:id="rId1"/>
  <headerFooter>
    <oddHeader>&amp;C&amp;"맑은 고딕,굵게"&amp;11연천군 신서공공하수처리시설 증설 외 2개사업 — 적정 공사기간 산정</oddHeader>
    <oddFooter>&amp;L&amp;"맑은 고딕"&amp;8②-1 기후비작업근거  (동절기 미반영 기준)&amp;R&amp;"맑은 고딕"&amp;8&amp;P /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부록3DB!$A$7:$A$101</xm:f>
          </x14:formula1>
          <x14:formula2>
            <xm:f>0</xm:f>
          </x14:formula2>
          <xm:sqref>C6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3C47-AC6B-49BD-B4BF-C3F388173E55}">
  <sheetPr>
    <tabColor rgb="FF2E75B6"/>
  </sheetPr>
  <dimension ref="A1:T77"/>
  <sheetViews>
    <sheetView view="pageBreakPreview" topLeftCell="A34" zoomScale="80" zoomScaleNormal="70" zoomScaleSheetLayoutView="80" workbookViewId="0">
      <selection activeCell="Z76" sqref="Z76"/>
    </sheetView>
  </sheetViews>
  <sheetFormatPr defaultColWidth="8.69140625" defaultRowHeight="14.6"/>
  <cols>
    <col min="1" max="1" width="3" customWidth="1"/>
    <col min="2" max="2" width="25.84375" customWidth="1"/>
    <col min="3" max="3" width="13" customWidth="1"/>
    <col min="4" max="4" width="30" customWidth="1"/>
    <col min="5" max="5" width="22" customWidth="1"/>
    <col min="6" max="17" width="6.53515625" customWidth="1"/>
    <col min="18" max="19" width="8" customWidth="1"/>
    <col min="20" max="20" width="7" customWidth="1"/>
  </cols>
  <sheetData>
    <row r="1" spans="1:18" ht="25.5" customHeight="1">
      <c r="A1" s="490" t="s">
        <v>817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  <c r="R1" s="490"/>
    </row>
    <row r="2" spans="1:18" ht="15.45">
      <c r="B2" s="1" t="s">
        <v>87</v>
      </c>
    </row>
    <row r="3" spans="1:18" ht="15">
      <c r="B3" s="24" t="s">
        <v>88</v>
      </c>
    </row>
    <row r="5" spans="1:18">
      <c r="B5" s="36" t="s">
        <v>89</v>
      </c>
    </row>
    <row r="6" spans="1:18" ht="25.5" customHeight="1">
      <c r="B6" s="5" t="s">
        <v>90</v>
      </c>
      <c r="C6" s="105" t="str">
        <f>①공사개요!$C$11</f>
        <v>철원</v>
      </c>
      <c r="D6" s="5" t="s">
        <v>92</v>
      </c>
      <c r="E6" s="106" t="str">
        <f>①공사개요!$C$6</f>
        <v>연천군</v>
      </c>
    </row>
    <row r="7" spans="1:18" ht="25.5" customHeight="1">
      <c r="B7" s="5" t="s">
        <v>93</v>
      </c>
      <c r="C7" s="105" t="s">
        <v>763</v>
      </c>
      <c r="D7" s="5" t="s">
        <v>94</v>
      </c>
      <c r="E7" s="107" t="s">
        <v>818</v>
      </c>
    </row>
    <row r="8" spans="1:18">
      <c r="B8" s="37" t="s">
        <v>95</v>
      </c>
    </row>
    <row r="10" spans="1:18" ht="17.149999999999999" hidden="1">
      <c r="B10" s="36" t="s">
        <v>96</v>
      </c>
    </row>
    <row r="11" spans="1:18" ht="26.9" hidden="1" customHeight="1">
      <c r="B11" s="38" t="s">
        <v>97</v>
      </c>
      <c r="C11" s="491" t="s">
        <v>98</v>
      </c>
      <c r="D11" s="491"/>
      <c r="E11" s="491" t="s">
        <v>99</v>
      </c>
      <c r="F11" s="491"/>
    </row>
    <row r="12" spans="1:18" ht="37.4" hidden="1" customHeight="1">
      <c r="B12" s="39" t="s">
        <v>100</v>
      </c>
      <c r="C12" s="489" t="s">
        <v>101</v>
      </c>
      <c r="D12" s="489"/>
      <c r="E12" s="486" t="s">
        <v>102</v>
      </c>
      <c r="F12" s="486"/>
    </row>
    <row r="13" spans="1:18" ht="47.15" hidden="1" customHeight="1">
      <c r="B13" s="39" t="s">
        <v>103</v>
      </c>
      <c r="C13" s="489" t="s">
        <v>104</v>
      </c>
      <c r="D13" s="489"/>
      <c r="E13" s="486" t="s">
        <v>105</v>
      </c>
      <c r="F13" s="486"/>
    </row>
    <row r="14" spans="1:18" ht="37.4" hidden="1" customHeight="1">
      <c r="B14" s="39" t="s">
        <v>106</v>
      </c>
      <c r="C14" s="489" t="s">
        <v>107</v>
      </c>
      <c r="D14" s="489"/>
      <c r="E14" s="486" t="s">
        <v>108</v>
      </c>
      <c r="F14" s="486"/>
    </row>
    <row r="15" spans="1:18" ht="25.4" hidden="1" customHeight="1">
      <c r="B15" s="39" t="s">
        <v>109</v>
      </c>
      <c r="C15" s="489" t="s">
        <v>110</v>
      </c>
      <c r="D15" s="489"/>
      <c r="E15" s="486" t="s">
        <v>111</v>
      </c>
      <c r="F15" s="486"/>
    </row>
    <row r="16" spans="1:18" ht="25.4" hidden="1" customHeight="1">
      <c r="B16" s="39" t="s">
        <v>112</v>
      </c>
      <c r="C16" s="485" t="s">
        <v>113</v>
      </c>
      <c r="D16" s="485"/>
      <c r="E16" s="486" t="s">
        <v>114</v>
      </c>
      <c r="F16" s="486"/>
    </row>
    <row r="17" spans="2:19" ht="25.4" hidden="1" customHeight="1">
      <c r="B17" s="39" t="s">
        <v>115</v>
      </c>
      <c r="C17" s="485" t="s">
        <v>116</v>
      </c>
      <c r="D17" s="485"/>
      <c r="E17" s="487" t="s">
        <v>117</v>
      </c>
      <c r="F17" s="487"/>
    </row>
    <row r="18" spans="2:19" hidden="1"/>
    <row r="19" spans="2:19" ht="17.149999999999999" hidden="1">
      <c r="B19" s="36" t="s">
        <v>118</v>
      </c>
    </row>
    <row r="20" spans="2:19" ht="24" hidden="1" customHeight="1">
      <c r="B20" s="488" t="s">
        <v>119</v>
      </c>
      <c r="C20" s="488"/>
      <c r="D20" s="488"/>
      <c r="E20" s="488"/>
      <c r="F20" s="43" t="s">
        <v>120</v>
      </c>
      <c r="G20" s="43" t="s">
        <v>121</v>
      </c>
      <c r="H20" s="43" t="s">
        <v>122</v>
      </c>
      <c r="I20" s="43" t="s">
        <v>123</v>
      </c>
      <c r="J20" s="43" t="s">
        <v>124</v>
      </c>
      <c r="K20" s="43" t="s">
        <v>125</v>
      </c>
      <c r="L20" s="43" t="s">
        <v>126</v>
      </c>
      <c r="M20" s="43" t="s">
        <v>127</v>
      </c>
      <c r="N20" s="43" t="s">
        <v>128</v>
      </c>
      <c r="O20" s="43" t="s">
        <v>129</v>
      </c>
      <c r="P20" s="43" t="s">
        <v>130</v>
      </c>
      <c r="Q20" s="43" t="s">
        <v>131</v>
      </c>
      <c r="R20" s="43" t="s">
        <v>132</v>
      </c>
      <c r="S20" s="43" t="s">
        <v>133</v>
      </c>
    </row>
    <row r="21" spans="2:19" ht="15" hidden="1" customHeight="1">
      <c r="B21" s="483" t="s">
        <v>134</v>
      </c>
      <c r="C21" s="483"/>
      <c r="D21" s="483"/>
      <c r="E21" s="483"/>
      <c r="F21" s="44"/>
      <c r="G21" s="44"/>
      <c r="H21" s="44"/>
      <c r="I21" s="44"/>
      <c r="J21" s="44"/>
      <c r="K21" s="44"/>
      <c r="L21" s="44" t="s">
        <v>135</v>
      </c>
      <c r="M21" s="44"/>
      <c r="N21" s="44"/>
      <c r="O21" s="44" t="s">
        <v>135</v>
      </c>
      <c r="P21" s="44"/>
      <c r="Q21" s="44"/>
      <c r="R21" s="44"/>
      <c r="S21" s="44" t="s">
        <v>135</v>
      </c>
    </row>
    <row r="22" spans="2:19" ht="15" hidden="1" customHeight="1">
      <c r="B22" s="483" t="s">
        <v>136</v>
      </c>
      <c r="C22" s="483"/>
      <c r="D22" s="483"/>
      <c r="E22" s="483"/>
      <c r="F22" s="44" t="s">
        <v>135</v>
      </c>
      <c r="G22" s="44"/>
      <c r="H22" s="44"/>
      <c r="I22" s="44"/>
      <c r="J22" s="44"/>
      <c r="K22" s="44"/>
      <c r="L22" s="44" t="s">
        <v>135</v>
      </c>
      <c r="M22" s="44"/>
      <c r="N22" s="44"/>
      <c r="O22" s="44"/>
      <c r="P22" s="44" t="s">
        <v>135</v>
      </c>
      <c r="Q22" s="44"/>
      <c r="R22" s="44" t="s">
        <v>135</v>
      </c>
      <c r="S22" s="44" t="s">
        <v>135</v>
      </c>
    </row>
    <row r="23" spans="2:19" ht="15" hidden="1" customHeight="1">
      <c r="B23" s="483" t="s">
        <v>137</v>
      </c>
      <c r="C23" s="483"/>
      <c r="D23" s="483"/>
      <c r="E23" s="483"/>
      <c r="F23" s="44" t="s">
        <v>135</v>
      </c>
      <c r="G23" s="44"/>
      <c r="H23" s="44"/>
      <c r="I23" s="44"/>
      <c r="J23" s="44"/>
      <c r="K23" s="44"/>
      <c r="L23" s="44" t="s">
        <v>135</v>
      </c>
      <c r="M23" s="44"/>
      <c r="N23" s="44"/>
      <c r="O23" s="44"/>
      <c r="P23" s="44" t="s">
        <v>135</v>
      </c>
      <c r="Q23" s="44"/>
      <c r="R23" s="44"/>
      <c r="S23" s="44" t="s">
        <v>135</v>
      </c>
    </row>
    <row r="24" spans="2:19" ht="15" hidden="1" customHeight="1">
      <c r="B24" s="483" t="s">
        <v>138</v>
      </c>
      <c r="C24" s="483"/>
      <c r="D24" s="483"/>
      <c r="E24" s="483"/>
      <c r="F24" s="44" t="s">
        <v>135</v>
      </c>
      <c r="G24" s="44"/>
      <c r="H24" s="44"/>
      <c r="I24" s="44"/>
      <c r="J24" s="44"/>
      <c r="K24" s="44"/>
      <c r="L24" s="44" t="s">
        <v>135</v>
      </c>
      <c r="M24" s="44"/>
      <c r="N24" s="44"/>
      <c r="O24" s="44"/>
      <c r="P24" s="44" t="s">
        <v>135</v>
      </c>
      <c r="Q24" s="44"/>
      <c r="R24" s="44"/>
      <c r="S24" s="44" t="s">
        <v>135</v>
      </c>
    </row>
    <row r="25" spans="2:19" ht="15" hidden="1" customHeight="1">
      <c r="B25" s="484" t="s">
        <v>52</v>
      </c>
      <c r="C25" s="484"/>
      <c r="D25" s="484"/>
      <c r="E25" s="484"/>
      <c r="F25" s="108" t="s">
        <v>135</v>
      </c>
      <c r="G25" s="108"/>
      <c r="H25" s="108"/>
      <c r="I25" s="108"/>
      <c r="J25" s="108"/>
      <c r="K25" s="108"/>
      <c r="L25" s="108" t="s">
        <v>135</v>
      </c>
      <c r="M25" s="108"/>
      <c r="N25" s="108"/>
      <c r="O25" s="108"/>
      <c r="P25" s="108" t="s">
        <v>135</v>
      </c>
      <c r="Q25" s="108"/>
      <c r="R25" s="108"/>
      <c r="S25" s="108" t="s">
        <v>135</v>
      </c>
    </row>
    <row r="26" spans="2:19" ht="15" hidden="1" customHeight="1">
      <c r="B26" s="483" t="s">
        <v>139</v>
      </c>
      <c r="C26" s="483"/>
      <c r="D26" s="483"/>
      <c r="E26" s="483"/>
      <c r="F26" s="44" t="s">
        <v>135</v>
      </c>
      <c r="G26" s="44"/>
      <c r="H26" s="44"/>
      <c r="I26" s="44"/>
      <c r="J26" s="44"/>
      <c r="K26" s="44"/>
      <c r="L26" s="44" t="s">
        <v>135</v>
      </c>
      <c r="M26" s="44"/>
      <c r="N26" s="44"/>
      <c r="O26" s="44"/>
      <c r="P26" s="44" t="s">
        <v>135</v>
      </c>
      <c r="Q26" s="44"/>
      <c r="R26" s="44" t="s">
        <v>135</v>
      </c>
      <c r="S26" s="44" t="s">
        <v>135</v>
      </c>
    </row>
    <row r="27" spans="2:19" ht="15" hidden="1" customHeight="1">
      <c r="B27" s="483" t="s">
        <v>140</v>
      </c>
      <c r="C27" s="483"/>
      <c r="D27" s="483"/>
      <c r="E27" s="483"/>
      <c r="F27" s="44" t="s">
        <v>135</v>
      </c>
      <c r="G27" s="44"/>
      <c r="H27" s="44"/>
      <c r="I27" s="44"/>
      <c r="J27" s="44"/>
      <c r="K27" s="44"/>
      <c r="L27" s="44" t="s">
        <v>135</v>
      </c>
      <c r="M27" s="44"/>
      <c r="N27" s="44"/>
      <c r="O27" s="44" t="s">
        <v>135</v>
      </c>
      <c r="P27" s="44"/>
      <c r="Q27" s="44"/>
      <c r="R27" s="44" t="s">
        <v>135</v>
      </c>
      <c r="S27" s="44" t="s">
        <v>135</v>
      </c>
    </row>
    <row r="28" spans="2:19" ht="15" hidden="1" customHeight="1">
      <c r="B28" s="483" t="s">
        <v>141</v>
      </c>
      <c r="C28" s="483"/>
      <c r="D28" s="483"/>
      <c r="E28" s="483"/>
      <c r="F28" s="44" t="s">
        <v>135</v>
      </c>
      <c r="G28" s="44"/>
      <c r="H28" s="44"/>
      <c r="I28" s="44"/>
      <c r="J28" s="44"/>
      <c r="K28" s="44"/>
      <c r="L28" s="44" t="s">
        <v>135</v>
      </c>
      <c r="M28" s="44"/>
      <c r="N28" s="44"/>
      <c r="O28" s="44" t="s">
        <v>135</v>
      </c>
      <c r="P28" s="44"/>
      <c r="Q28" s="44"/>
      <c r="R28" s="44" t="s">
        <v>135</v>
      </c>
      <c r="S28" s="44" t="s">
        <v>135</v>
      </c>
    </row>
    <row r="29" spans="2:19" ht="15" hidden="1" customHeight="1">
      <c r="B29" s="483" t="s">
        <v>142</v>
      </c>
      <c r="C29" s="483"/>
      <c r="D29" s="483"/>
      <c r="E29" s="483"/>
      <c r="F29" s="44" t="s">
        <v>135</v>
      </c>
      <c r="G29" s="44"/>
      <c r="H29" s="44"/>
      <c r="I29" s="44"/>
      <c r="J29" s="44"/>
      <c r="K29" s="44"/>
      <c r="L29" s="44" t="s">
        <v>135</v>
      </c>
      <c r="M29" s="44"/>
      <c r="N29" s="44"/>
      <c r="O29" s="44" t="s">
        <v>135</v>
      </c>
      <c r="P29" s="44"/>
      <c r="Q29" s="44"/>
      <c r="R29" s="44" t="s">
        <v>135</v>
      </c>
      <c r="S29" s="44" t="s">
        <v>135</v>
      </c>
    </row>
    <row r="30" spans="2:19" ht="15" hidden="1" customHeight="1">
      <c r="B30" s="483" t="s">
        <v>143</v>
      </c>
      <c r="C30" s="483"/>
      <c r="D30" s="483"/>
      <c r="E30" s="483"/>
      <c r="F30" s="44" t="s">
        <v>135</v>
      </c>
      <c r="G30" s="44"/>
      <c r="H30" s="44"/>
      <c r="I30" s="44"/>
      <c r="J30" s="44"/>
      <c r="K30" s="44"/>
      <c r="L30" s="44" t="s">
        <v>135</v>
      </c>
      <c r="M30" s="44"/>
      <c r="N30" s="44"/>
      <c r="O30" s="44" t="s">
        <v>135</v>
      </c>
      <c r="P30" s="44"/>
      <c r="Q30" s="44"/>
      <c r="R30" s="44" t="s">
        <v>135</v>
      </c>
      <c r="S30" s="44" t="s">
        <v>135</v>
      </c>
    </row>
    <row r="31" spans="2:19" hidden="1">
      <c r="B31" s="23" t="s">
        <v>144</v>
      </c>
    </row>
    <row r="33" ht="26.9" customHeight="1"/>
    <row r="34" ht="37.4" customHeight="1"/>
    <row r="35" ht="47.15" customHeight="1"/>
    <row r="36" ht="37.4" customHeight="1"/>
    <row r="37" ht="25.4" customHeight="1"/>
    <row r="38" ht="25.4" customHeight="1"/>
    <row r="39" ht="25.4" customHeight="1"/>
    <row r="42" ht="24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spans="2:20" ht="15" customHeight="1"/>
    <row r="50" spans="2:20" ht="15" customHeight="1"/>
    <row r="51" spans="2:20" ht="15" hidden="1" customHeight="1"/>
    <row r="52" spans="2:20" ht="15" hidden="1" customHeight="1"/>
    <row r="53" spans="2:20" hidden="1">
      <c r="B53" s="23"/>
    </row>
    <row r="55" spans="2:20" ht="17.149999999999999">
      <c r="B55" s="36" t="s">
        <v>767</v>
      </c>
    </row>
    <row r="56" spans="2:20" ht="25.5" customHeight="1">
      <c r="B56" s="45" t="s">
        <v>145</v>
      </c>
      <c r="C56" s="45" t="s">
        <v>146</v>
      </c>
      <c r="D56" s="45" t="s">
        <v>147</v>
      </c>
      <c r="E56" s="45" t="s">
        <v>148</v>
      </c>
      <c r="F56" s="46" t="s">
        <v>149</v>
      </c>
      <c r="G56" s="46" t="s">
        <v>150</v>
      </c>
      <c r="H56" s="46" t="s">
        <v>151</v>
      </c>
      <c r="I56" s="46" t="s">
        <v>152</v>
      </c>
      <c r="J56" s="46" t="s">
        <v>153</v>
      </c>
      <c r="K56" s="46" t="s">
        <v>154</v>
      </c>
      <c r="L56" s="46" t="s">
        <v>155</v>
      </c>
      <c r="M56" s="46" t="s">
        <v>156</v>
      </c>
      <c r="N56" s="46" t="s">
        <v>157</v>
      </c>
      <c r="O56" s="46" t="s">
        <v>158</v>
      </c>
      <c r="P56" s="46" t="s">
        <v>159</v>
      </c>
      <c r="Q56" s="46" t="s">
        <v>160</v>
      </c>
      <c r="R56" s="45" t="s">
        <v>161</v>
      </c>
      <c r="S56" s="45" t="s">
        <v>162</v>
      </c>
      <c r="T56" s="45" t="s">
        <v>163</v>
      </c>
    </row>
    <row r="57" spans="2:20" ht="15">
      <c r="B57" s="47">
        <f>IF('②-2 기후비작업근거'!$C$7="자동",$T57,$S57)</f>
        <v>0</v>
      </c>
      <c r="C57" s="48" t="s">
        <v>164</v>
      </c>
      <c r="D57" s="40" t="s">
        <v>165</v>
      </c>
      <c r="E57" s="42" t="s">
        <v>166</v>
      </c>
      <c r="F57" s="49">
        <f>IFERROR(INDEX(부록3DB!$J$7:$U$1241,MATCH('②-2 기후비작업근거'!$C$6&amp;"|"&amp;1,부록3DB!$I$7:$I$1241,0),1),0)</f>
        <v>0</v>
      </c>
      <c r="G57" s="49">
        <f>IFERROR(INDEX(부록3DB!$J$7:$U$1241,MATCH('②-2 기후비작업근거'!$C$6&amp;"|"&amp;1,부록3DB!$I$7:$I$1241,0),2),0)</f>
        <v>0</v>
      </c>
      <c r="H57" s="49">
        <f>IFERROR(INDEX(부록3DB!$J$7:$U$1241,MATCH('②-2 기후비작업근거'!$C$6&amp;"|"&amp;1,부록3DB!$I$7:$I$1241,0),3),0)</f>
        <v>0</v>
      </c>
      <c r="I57" s="49">
        <f>IFERROR(INDEX(부록3DB!$J$7:$U$1241,MATCH('②-2 기후비작업근거'!$C$6&amp;"|"&amp;1,부록3DB!$I$7:$I$1241,0),4),0)</f>
        <v>0</v>
      </c>
      <c r="J57" s="49">
        <f>IFERROR(INDEX(부록3DB!$J$7:$U$1241,MATCH('②-2 기후비작업근거'!$C$6&amp;"|"&amp;1,부록3DB!$I$7:$I$1241,0),5),0)</f>
        <v>0</v>
      </c>
      <c r="K57" s="49">
        <f>IFERROR(INDEX(부록3DB!$J$7:$U$1241,MATCH('②-2 기후비작업근거'!$C$6&amp;"|"&amp;1,부록3DB!$I$7:$I$1241,0),6),0)</f>
        <v>0</v>
      </c>
      <c r="L57" s="49">
        <f>IFERROR(INDEX(부록3DB!$J$7:$U$1241,MATCH('②-2 기후비작업근거'!$C$6&amp;"|"&amp;1,부록3DB!$I$7:$I$1241,0),7),0)</f>
        <v>5.7</v>
      </c>
      <c r="M57" s="49">
        <f>IFERROR(INDEX(부록3DB!$J$7:$U$1241,MATCH('②-2 기후비작업근거'!$C$6&amp;"|"&amp;1,부록3DB!$I$7:$I$1241,0),8),0)</f>
        <v>9.1999999999999993</v>
      </c>
      <c r="N57" s="49">
        <f>IFERROR(INDEX(부록3DB!$J$7:$U$1241,MATCH('②-2 기후비작업근거'!$C$6&amp;"|"&amp;1,부록3DB!$I$7:$I$1241,0),9),0)</f>
        <v>0.1</v>
      </c>
      <c r="O57" s="49">
        <f>IFERROR(INDEX(부록3DB!$J$7:$U$1241,MATCH('②-2 기후비작업근거'!$C$6&amp;"|"&amp;1,부록3DB!$I$7:$I$1241,0),10),0)</f>
        <v>0</v>
      </c>
      <c r="P57" s="49">
        <f>IFERROR(INDEX(부록3DB!$J$7:$U$1241,MATCH('②-2 기후비작업근거'!$C$6&amp;"|"&amp;1,부록3DB!$I$7:$I$1241,0),11),0)</f>
        <v>0</v>
      </c>
      <c r="Q57" s="49">
        <f>IFERROR(INDEX(부록3DB!$J$7:$U$1241,MATCH('②-2 기후비작업근거'!$C$6&amp;"|"&amp;1,부록3DB!$I$7:$I$1241,0),12),0)</f>
        <v>0</v>
      </c>
      <c r="R57" s="50">
        <f t="shared" ref="R57:R72" si="0">SUM(F57:Q57)</f>
        <v>14.999999999999998</v>
      </c>
      <c r="S57" s="51"/>
      <c r="T57" s="52"/>
    </row>
    <row r="58" spans="2:20" ht="15">
      <c r="B58" s="47">
        <f>IF('②-2 기후비작업근거'!$C$7="자동",$T58,$S58)</f>
        <v>0</v>
      </c>
      <c r="C58" s="48" t="s">
        <v>164</v>
      </c>
      <c r="D58" s="40" t="s">
        <v>167</v>
      </c>
      <c r="E58" s="42" t="s">
        <v>168</v>
      </c>
      <c r="F58" s="49">
        <f>IFERROR(INDEX(부록3DB!$J$7:$U$1241,MATCH('②-2 기후비작업근거'!$C$6&amp;"|"&amp;2,부록3DB!$I$7:$I$1241,0),1),0)</f>
        <v>0</v>
      </c>
      <c r="G58" s="49">
        <f>IFERROR(INDEX(부록3DB!$J$7:$U$1241,MATCH('②-2 기후비작업근거'!$C$6&amp;"|"&amp;2,부록3DB!$I$7:$I$1241,0),2),0)</f>
        <v>0</v>
      </c>
      <c r="H58" s="49">
        <f>IFERROR(INDEX(부록3DB!$J$7:$U$1241,MATCH('②-2 기후비작업근거'!$C$6&amp;"|"&amp;2,부록3DB!$I$7:$I$1241,0),3),0)</f>
        <v>0</v>
      </c>
      <c r="I58" s="49">
        <f>IFERROR(INDEX(부록3DB!$J$7:$U$1241,MATCH('②-2 기후비작업근거'!$C$6&amp;"|"&amp;2,부록3DB!$I$7:$I$1241,0),4),0)</f>
        <v>0</v>
      </c>
      <c r="J58" s="49">
        <f>IFERROR(INDEX(부록3DB!$J$7:$U$1241,MATCH('②-2 기후비작업근거'!$C$6&amp;"|"&amp;2,부록3DB!$I$7:$I$1241,0),5),0)</f>
        <v>0</v>
      </c>
      <c r="K58" s="49">
        <f>IFERROR(INDEX(부록3DB!$J$7:$U$1241,MATCH('②-2 기후비작업근거'!$C$6&amp;"|"&amp;2,부록3DB!$I$7:$I$1241,0),6),0)</f>
        <v>0</v>
      </c>
      <c r="L58" s="49">
        <f>IFERROR(INDEX(부록3DB!$J$7:$U$1241,MATCH('②-2 기후비작업근거'!$C$6&amp;"|"&amp;2,부록3DB!$I$7:$I$1241,0),7),0)</f>
        <v>0.9</v>
      </c>
      <c r="M58" s="49">
        <f>IFERROR(INDEX(부록3DB!$J$7:$U$1241,MATCH('②-2 기후비작업근거'!$C$6&amp;"|"&amp;2,부록3DB!$I$7:$I$1241,0),8),0)</f>
        <v>1.8</v>
      </c>
      <c r="N58" s="49">
        <f>IFERROR(INDEX(부록3DB!$J$7:$U$1241,MATCH('②-2 기후비작업근거'!$C$6&amp;"|"&amp;2,부록3DB!$I$7:$I$1241,0),9),0)</f>
        <v>0</v>
      </c>
      <c r="O58" s="49">
        <f>IFERROR(INDEX(부록3DB!$J$7:$U$1241,MATCH('②-2 기후비작업근거'!$C$6&amp;"|"&amp;2,부록3DB!$I$7:$I$1241,0),10),0)</f>
        <v>0</v>
      </c>
      <c r="P58" s="49">
        <f>IFERROR(INDEX(부록3DB!$J$7:$U$1241,MATCH('②-2 기후비작업근거'!$C$6&amp;"|"&amp;2,부록3DB!$I$7:$I$1241,0),11),0)</f>
        <v>0</v>
      </c>
      <c r="Q58" s="49">
        <f>IFERROR(INDEX(부록3DB!$J$7:$U$1241,MATCH('②-2 기후비작업근거'!$C$6&amp;"|"&amp;2,부록3DB!$I$7:$I$1241,0),12),0)</f>
        <v>0</v>
      </c>
      <c r="R58" s="50">
        <f t="shared" si="0"/>
        <v>2.7</v>
      </c>
      <c r="S58" s="51"/>
      <c r="T58" s="52" t="str">
        <f>IFERROR(IF(INDEX('②-2 기후비작업근거'!$F$21:$S$30,MATCH(①공사개요!$C$7,'②-2 기후비작업근거'!$B$21:$B$30,0),2)="Y","Y",""),"")</f>
        <v/>
      </c>
    </row>
    <row r="59" spans="2:20" ht="15">
      <c r="B59" s="47">
        <f>IF('②-2 기후비작업근거'!$C$7="자동",$T59,$S59)</f>
        <v>0</v>
      </c>
      <c r="C59" s="48" t="s">
        <v>164</v>
      </c>
      <c r="D59" s="40" t="s">
        <v>169</v>
      </c>
      <c r="E59" s="42" t="s">
        <v>170</v>
      </c>
      <c r="F59" s="49">
        <f>IFERROR(INDEX(부록3DB!$J$7:$U$1241,MATCH('②-2 기후비작업근거'!$C$6&amp;"|"&amp;3,부록3DB!$I$7:$I$1241,0),1),0)</f>
        <v>0</v>
      </c>
      <c r="G59" s="49">
        <f>IFERROR(INDEX(부록3DB!$J$7:$U$1241,MATCH('②-2 기후비작업근거'!$C$6&amp;"|"&amp;3,부록3DB!$I$7:$I$1241,0),2),0)</f>
        <v>0</v>
      </c>
      <c r="H59" s="49">
        <f>IFERROR(INDEX(부록3DB!$J$7:$U$1241,MATCH('②-2 기후비작업근거'!$C$6&amp;"|"&amp;3,부록3DB!$I$7:$I$1241,0),3),0)</f>
        <v>0</v>
      </c>
      <c r="I59" s="49">
        <f>IFERROR(INDEX(부록3DB!$J$7:$U$1241,MATCH('②-2 기후비작업근거'!$C$6&amp;"|"&amp;3,부록3DB!$I$7:$I$1241,0),4),0)</f>
        <v>0</v>
      </c>
      <c r="J59" s="49">
        <f>IFERROR(INDEX(부록3DB!$J$7:$U$1241,MATCH('②-2 기후비작업근거'!$C$6&amp;"|"&amp;3,부록3DB!$I$7:$I$1241,0),5),0)</f>
        <v>0</v>
      </c>
      <c r="K59" s="49">
        <f>IFERROR(INDEX(부록3DB!$J$7:$U$1241,MATCH('②-2 기후비작업근거'!$C$6&amp;"|"&amp;3,부록3DB!$I$7:$I$1241,0),6),0)</f>
        <v>0.7</v>
      </c>
      <c r="L59" s="49">
        <f>IFERROR(INDEX(부록3DB!$J$7:$U$1241,MATCH('②-2 기후비작업근거'!$C$6&amp;"|"&amp;3,부록3DB!$I$7:$I$1241,0),7),0)</f>
        <v>3.7</v>
      </c>
      <c r="M59" s="49">
        <f>IFERROR(INDEX(부록3DB!$J$7:$U$1241,MATCH('②-2 기후비작업근거'!$C$6&amp;"|"&amp;3,부록3DB!$I$7:$I$1241,0),8),0)</f>
        <v>6</v>
      </c>
      <c r="N59" s="49">
        <f>IFERROR(INDEX(부록3DB!$J$7:$U$1241,MATCH('②-2 기후비작업근거'!$C$6&amp;"|"&amp;3,부록3DB!$I$7:$I$1241,0),9),0)</f>
        <v>0.1</v>
      </c>
      <c r="O59" s="49">
        <f>IFERROR(INDEX(부록3DB!$J$7:$U$1241,MATCH('②-2 기후비작업근거'!$C$6&amp;"|"&amp;3,부록3DB!$I$7:$I$1241,0),10),0)</f>
        <v>0</v>
      </c>
      <c r="P59" s="49">
        <f>IFERROR(INDEX(부록3DB!$J$7:$U$1241,MATCH('②-2 기후비작업근거'!$C$6&amp;"|"&amp;3,부록3DB!$I$7:$I$1241,0),11),0)</f>
        <v>0</v>
      </c>
      <c r="Q59" s="49">
        <f>IFERROR(INDEX(부록3DB!$J$7:$U$1241,MATCH('②-2 기후비작업근거'!$C$6&amp;"|"&amp;3,부록3DB!$I$7:$I$1241,0),12),0)</f>
        <v>0</v>
      </c>
      <c r="R59" s="50">
        <f t="shared" si="0"/>
        <v>10.5</v>
      </c>
      <c r="S59" s="51"/>
      <c r="T59" s="52" t="str">
        <f>IFERROR(IF(INDEX('②-2 기후비작업근거'!$F$21:$S$30,MATCH(①공사개요!$C$7,'②-2 기후비작업근거'!$B$21:$B$30,0),3)="Y","Y",""),"")</f>
        <v/>
      </c>
    </row>
    <row r="60" spans="2:20" ht="15">
      <c r="B60" s="47" t="str">
        <f>IF('②-2 기후비작업근거'!$C$7="자동",$T60,$S60)</f>
        <v>Y</v>
      </c>
      <c r="C60" s="48" t="s">
        <v>164</v>
      </c>
      <c r="D60" s="40" t="s">
        <v>171</v>
      </c>
      <c r="E60" s="42" t="s">
        <v>172</v>
      </c>
      <c r="F60" s="49">
        <f>IFERROR(INDEX(부록3DB!$J$7:$U$1241,MATCH('②-2 기후비작업근거'!$C$6&amp;"|"&amp;4,부록3DB!$I$7:$I$1241,0),1),0)</f>
        <v>0</v>
      </c>
      <c r="G60" s="49">
        <f>IFERROR(INDEX(부록3DB!$J$7:$U$1241,MATCH('②-2 기후비작업근거'!$C$6&amp;"|"&amp;4,부록3DB!$I$7:$I$1241,0),2),0)</f>
        <v>0</v>
      </c>
      <c r="H60" s="49">
        <f>IFERROR(INDEX(부록3DB!$J$7:$U$1241,MATCH('②-2 기후비작업근거'!$C$6&amp;"|"&amp;4,부록3DB!$I$7:$I$1241,0),3),0)</f>
        <v>0</v>
      </c>
      <c r="I60" s="49">
        <f>IFERROR(INDEX(부록3DB!$J$7:$U$1241,MATCH('②-2 기후비작업근거'!$C$6&amp;"|"&amp;4,부록3DB!$I$7:$I$1241,0),4),0)</f>
        <v>0</v>
      </c>
      <c r="J60" s="49">
        <f>IFERROR(INDEX(부록3DB!$J$7:$U$1241,MATCH('②-2 기후비작업근거'!$C$6&amp;"|"&amp;4,부록3DB!$I$7:$I$1241,0),5),0)</f>
        <v>0</v>
      </c>
      <c r="K60" s="49">
        <f>IFERROR(INDEX(부록3DB!$J$7:$U$1241,MATCH('②-2 기후비작업근거'!$C$6&amp;"|"&amp;4,부록3DB!$I$7:$I$1241,0),6),0)</f>
        <v>0.1</v>
      </c>
      <c r="L60" s="49">
        <f>IFERROR(INDEX(부록3DB!$J$7:$U$1241,MATCH('②-2 기후비작업근거'!$C$6&amp;"|"&amp;4,부록3DB!$I$7:$I$1241,0),7),0)</f>
        <v>0.9</v>
      </c>
      <c r="M60" s="49">
        <f>IFERROR(INDEX(부록3DB!$J$7:$U$1241,MATCH('②-2 기후비작업근거'!$C$6&amp;"|"&amp;4,부록3DB!$I$7:$I$1241,0),8),0)</f>
        <v>0.8</v>
      </c>
      <c r="N60" s="49">
        <f>IFERROR(INDEX(부록3DB!$J$7:$U$1241,MATCH('②-2 기후비작업근거'!$C$6&amp;"|"&amp;4,부록3DB!$I$7:$I$1241,0),9),0)</f>
        <v>0</v>
      </c>
      <c r="O60" s="49">
        <f>IFERROR(INDEX(부록3DB!$J$7:$U$1241,MATCH('②-2 기후비작업근거'!$C$6&amp;"|"&amp;4,부록3DB!$I$7:$I$1241,0),10),0)</f>
        <v>0</v>
      </c>
      <c r="P60" s="49">
        <f>IFERROR(INDEX(부록3DB!$J$7:$U$1241,MATCH('②-2 기후비작업근거'!$C$6&amp;"|"&amp;4,부록3DB!$I$7:$I$1241,0),11),0)</f>
        <v>0</v>
      </c>
      <c r="Q60" s="49">
        <f>IFERROR(INDEX(부록3DB!$J$7:$U$1241,MATCH('②-2 기후비작업근거'!$C$6&amp;"|"&amp;4,부록3DB!$I$7:$I$1241,0),12),0)</f>
        <v>0</v>
      </c>
      <c r="R60" s="50">
        <f t="shared" si="0"/>
        <v>1.8</v>
      </c>
      <c r="S60" s="51" t="s">
        <v>135</v>
      </c>
      <c r="T60" s="52" t="str">
        <f>IFERROR(IF(INDEX('②-2 기후비작업근거'!$F$21:$S$30,MATCH(①공사개요!$C$7,'②-2 기후비작업근거'!$B$21:$B$30,0),1)="Y","Y",""),"")</f>
        <v>Y</v>
      </c>
    </row>
    <row r="61" spans="2:20" ht="15">
      <c r="B61" s="47">
        <f>IF('②-2 기후비작업근거'!$C$7="자동",$T61,$S61)</f>
        <v>0</v>
      </c>
      <c r="C61" s="53" t="s">
        <v>173</v>
      </c>
      <c r="D61" s="40" t="s">
        <v>174</v>
      </c>
      <c r="E61" s="42" t="s">
        <v>175</v>
      </c>
      <c r="F61" s="49">
        <f>IFERROR(INDEX(부록3DB!$J$7:$U$1241,MATCH('②-2 기후비작업근거'!$C$6&amp;"|"&amp;5,부록3DB!$I$7:$I$1241,0),1),0)</f>
        <v>9.9</v>
      </c>
      <c r="G61" s="49">
        <f>IFERROR(INDEX(부록3DB!$J$7:$U$1241,MATCH('②-2 기후비작업근거'!$C$6&amp;"|"&amp;5,부록3DB!$I$7:$I$1241,0),2),0)</f>
        <v>4.4000000000000004</v>
      </c>
      <c r="H61" s="49">
        <f>IFERROR(INDEX(부록3DB!$J$7:$U$1241,MATCH('②-2 기후비작업근거'!$C$6&amp;"|"&amp;5,부록3DB!$I$7:$I$1241,0),3),0)</f>
        <v>0.2</v>
      </c>
      <c r="I61" s="49">
        <f>IFERROR(INDEX(부록3DB!$J$7:$U$1241,MATCH('②-2 기후비작업근거'!$C$6&amp;"|"&amp;5,부록3DB!$I$7:$I$1241,0),4),0)</f>
        <v>0</v>
      </c>
      <c r="J61" s="49">
        <f>IFERROR(INDEX(부록3DB!$J$7:$U$1241,MATCH('②-2 기후비작업근거'!$C$6&amp;"|"&amp;5,부록3DB!$I$7:$I$1241,0),5),0)</f>
        <v>0</v>
      </c>
      <c r="K61" s="49">
        <f>IFERROR(INDEX(부록3DB!$J$7:$U$1241,MATCH('②-2 기후비작업근거'!$C$6&amp;"|"&amp;5,부록3DB!$I$7:$I$1241,0),6),0)</f>
        <v>0</v>
      </c>
      <c r="L61" s="49">
        <f>IFERROR(INDEX(부록3DB!$J$7:$U$1241,MATCH('②-2 기후비작업근거'!$C$6&amp;"|"&amp;5,부록3DB!$I$7:$I$1241,0),7),0)</f>
        <v>0</v>
      </c>
      <c r="M61" s="49">
        <f>IFERROR(INDEX(부록3DB!$J$7:$U$1241,MATCH('②-2 기후비작업근거'!$C$6&amp;"|"&amp;5,부록3DB!$I$7:$I$1241,0),8),0)</f>
        <v>0</v>
      </c>
      <c r="N61" s="49">
        <f>IFERROR(INDEX(부록3DB!$J$7:$U$1241,MATCH('②-2 기후비작업근거'!$C$6&amp;"|"&amp;5,부록3DB!$I$7:$I$1241,0),9),0)</f>
        <v>0</v>
      </c>
      <c r="O61" s="49">
        <f>IFERROR(INDEX(부록3DB!$J$7:$U$1241,MATCH('②-2 기후비작업근거'!$C$6&amp;"|"&amp;5,부록3DB!$I$7:$I$1241,0),10),0)</f>
        <v>0</v>
      </c>
      <c r="P61" s="49">
        <f>IFERROR(INDEX(부록3DB!$J$7:$U$1241,MATCH('②-2 기후비작업근거'!$C$6&amp;"|"&amp;5,부록3DB!$I$7:$I$1241,0),11),0)</f>
        <v>0.5</v>
      </c>
      <c r="Q61" s="49">
        <f>IFERROR(INDEX(부록3DB!$J$7:$U$1241,MATCH('②-2 기후비작업근거'!$C$6&amp;"|"&amp;5,부록3DB!$I$7:$I$1241,0),12),0)</f>
        <v>8.3000000000000007</v>
      </c>
      <c r="R61" s="50">
        <f t="shared" si="0"/>
        <v>23.3</v>
      </c>
      <c r="S61" s="51"/>
      <c r="T61" s="52" t="str">
        <f>IFERROR(IF(INDEX('②-2 기후비작업근거'!$F$21:$S$30,MATCH(①공사개요!$C$7,'②-2 기후비작업근거'!$B$21:$B$30,0),5)="Y","Y",""),"")</f>
        <v/>
      </c>
    </row>
    <row r="62" spans="2:20" ht="15">
      <c r="B62" s="47">
        <f>IF('②-2 기후비작업근거'!$C$7="자동",$T62,$S62)</f>
        <v>0</v>
      </c>
      <c r="C62" s="53" t="s">
        <v>173</v>
      </c>
      <c r="D62" s="40" t="s">
        <v>176</v>
      </c>
      <c r="E62" s="42" t="s">
        <v>177</v>
      </c>
      <c r="F62" s="49">
        <f>IFERROR(INDEX(부록3DB!$J$7:$U$1241,MATCH('②-2 기후비작업근거'!$C$6&amp;"|"&amp;6,부록3DB!$I$7:$I$1241,0),1),0)</f>
        <v>0.1</v>
      </c>
      <c r="G62" s="49">
        <f>IFERROR(INDEX(부록3DB!$J$7:$U$1241,MATCH('②-2 기후비작업근거'!$C$6&amp;"|"&amp;6,부록3DB!$I$7:$I$1241,0),2),0)</f>
        <v>0</v>
      </c>
      <c r="H62" s="49">
        <f>IFERROR(INDEX(부록3DB!$J$7:$U$1241,MATCH('②-2 기후비작업근거'!$C$6&amp;"|"&amp;6,부록3DB!$I$7:$I$1241,0),3),0)</f>
        <v>0</v>
      </c>
      <c r="I62" s="49">
        <f>IFERROR(INDEX(부록3DB!$J$7:$U$1241,MATCH('②-2 기후비작업근거'!$C$6&amp;"|"&amp;6,부록3DB!$I$7:$I$1241,0),4),0)</f>
        <v>0</v>
      </c>
      <c r="J62" s="49">
        <f>IFERROR(INDEX(부록3DB!$J$7:$U$1241,MATCH('②-2 기후비작업근거'!$C$6&amp;"|"&amp;6,부록3DB!$I$7:$I$1241,0),5),0)</f>
        <v>0</v>
      </c>
      <c r="K62" s="49">
        <f>IFERROR(INDEX(부록3DB!$J$7:$U$1241,MATCH('②-2 기후비작업근거'!$C$6&amp;"|"&amp;6,부록3DB!$I$7:$I$1241,0),6),0)</f>
        <v>0</v>
      </c>
      <c r="L62" s="49">
        <f>IFERROR(INDEX(부록3DB!$J$7:$U$1241,MATCH('②-2 기후비작업근거'!$C$6&amp;"|"&amp;6,부록3DB!$I$7:$I$1241,0),7),0)</f>
        <v>0</v>
      </c>
      <c r="M62" s="49">
        <f>IFERROR(INDEX(부록3DB!$J$7:$U$1241,MATCH('②-2 기후비작업근거'!$C$6&amp;"|"&amp;6,부록3DB!$I$7:$I$1241,0),8),0)</f>
        <v>0</v>
      </c>
      <c r="N62" s="49">
        <f>IFERROR(INDEX(부록3DB!$J$7:$U$1241,MATCH('②-2 기후비작업근거'!$C$6&amp;"|"&amp;6,부록3DB!$I$7:$I$1241,0),9),0)</f>
        <v>0</v>
      </c>
      <c r="O62" s="49">
        <f>IFERROR(INDEX(부록3DB!$J$7:$U$1241,MATCH('②-2 기후비작업근거'!$C$6&amp;"|"&amp;6,부록3DB!$I$7:$I$1241,0),10),0)</f>
        <v>0</v>
      </c>
      <c r="P62" s="49">
        <f>IFERROR(INDEX(부록3DB!$J$7:$U$1241,MATCH('②-2 기후비작업근거'!$C$6&amp;"|"&amp;6,부록3DB!$I$7:$I$1241,0),11),0)</f>
        <v>0</v>
      </c>
      <c r="Q62" s="49">
        <f>IFERROR(INDEX(부록3DB!$J$7:$U$1241,MATCH('②-2 기후비작업근거'!$C$6&amp;"|"&amp;6,부록3DB!$I$7:$I$1241,0),12),0)</f>
        <v>0</v>
      </c>
      <c r="R62" s="50">
        <f t="shared" si="0"/>
        <v>0.1</v>
      </c>
      <c r="S62" s="51"/>
      <c r="T62" s="52" t="str">
        <f>IFERROR(IF(INDEX('②-2 기후비작업근거'!$F$21:$S$30,MATCH(①공사개요!$C$7,'②-2 기후비작업근거'!$B$21:$B$30,0),6)="Y","Y",""),"")</f>
        <v/>
      </c>
    </row>
    <row r="63" spans="2:20" ht="15">
      <c r="B63" s="47">
        <f>IF('②-2 기후비작업근거'!$C$7="자동",$T63,$S63)</f>
        <v>0</v>
      </c>
      <c r="C63" s="53" t="s">
        <v>173</v>
      </c>
      <c r="D63" s="40" t="s">
        <v>178</v>
      </c>
      <c r="E63" s="42" t="s">
        <v>179</v>
      </c>
      <c r="F63" s="49">
        <f>IFERROR(INDEX(부록3DB!$J$7:$U$1241,MATCH('②-2 기후비작업근거'!$C$6&amp;"|"&amp;7,부록3DB!$I$7:$I$1241,0),1),0)</f>
        <v>10</v>
      </c>
      <c r="G63" s="49">
        <f>IFERROR(INDEX(부록3DB!$J$7:$U$1241,MATCH('②-2 기후비작업근거'!$C$6&amp;"|"&amp;7,부록3DB!$I$7:$I$1241,0),2),0)</f>
        <v>4.4000000000000004</v>
      </c>
      <c r="H63" s="49">
        <f>IFERROR(INDEX(부록3DB!$J$7:$U$1241,MATCH('②-2 기후비작업근거'!$C$6&amp;"|"&amp;7,부록3DB!$I$7:$I$1241,0),3),0)</f>
        <v>0.2</v>
      </c>
      <c r="I63" s="49">
        <f>IFERROR(INDEX(부록3DB!$J$7:$U$1241,MATCH('②-2 기후비작업근거'!$C$6&amp;"|"&amp;7,부록3DB!$I$7:$I$1241,0),4),0)</f>
        <v>0</v>
      </c>
      <c r="J63" s="49">
        <f>IFERROR(INDEX(부록3DB!$J$7:$U$1241,MATCH('②-2 기후비작업근거'!$C$6&amp;"|"&amp;7,부록3DB!$I$7:$I$1241,0),5),0)</f>
        <v>0</v>
      </c>
      <c r="K63" s="49">
        <f>IFERROR(INDEX(부록3DB!$J$7:$U$1241,MATCH('②-2 기후비작업근거'!$C$6&amp;"|"&amp;7,부록3DB!$I$7:$I$1241,0),6),0)</f>
        <v>0</v>
      </c>
      <c r="L63" s="49">
        <f>IFERROR(INDEX(부록3DB!$J$7:$U$1241,MATCH('②-2 기후비작업근거'!$C$6&amp;"|"&amp;7,부록3DB!$I$7:$I$1241,0),7),0)</f>
        <v>0</v>
      </c>
      <c r="M63" s="49">
        <f>IFERROR(INDEX(부록3DB!$J$7:$U$1241,MATCH('②-2 기후비작업근거'!$C$6&amp;"|"&amp;7,부록3DB!$I$7:$I$1241,0),8),0)</f>
        <v>0</v>
      </c>
      <c r="N63" s="49">
        <f>IFERROR(INDEX(부록3DB!$J$7:$U$1241,MATCH('②-2 기후비작업근거'!$C$6&amp;"|"&amp;7,부록3DB!$I$7:$I$1241,0),9),0)</f>
        <v>0</v>
      </c>
      <c r="O63" s="49">
        <f>IFERROR(INDEX(부록3DB!$J$7:$U$1241,MATCH('②-2 기후비작업근거'!$C$6&amp;"|"&amp;7,부록3DB!$I$7:$I$1241,0),10),0)</f>
        <v>0</v>
      </c>
      <c r="P63" s="49">
        <f>IFERROR(INDEX(부록3DB!$J$7:$U$1241,MATCH('②-2 기후비작업근거'!$C$6&amp;"|"&amp;7,부록3DB!$I$7:$I$1241,0),11),0)</f>
        <v>0.5</v>
      </c>
      <c r="Q63" s="49">
        <f>IFERROR(INDEX(부록3DB!$J$7:$U$1241,MATCH('②-2 기후비작업근거'!$C$6&amp;"|"&amp;7,부록3DB!$I$7:$I$1241,0),12),0)</f>
        <v>8.3000000000000007</v>
      </c>
      <c r="R63" s="50">
        <f t="shared" si="0"/>
        <v>23.4</v>
      </c>
      <c r="S63" s="51"/>
      <c r="T63" s="52"/>
    </row>
    <row r="64" spans="2:20" ht="15">
      <c r="B64" s="47">
        <f>IF('②-2 기후비작업근거'!$C$7="자동",$T64,$S64)</f>
        <v>0</v>
      </c>
      <c r="C64" s="53" t="s">
        <v>173</v>
      </c>
      <c r="D64" s="40" t="s">
        <v>180</v>
      </c>
      <c r="E64" s="42" t="s">
        <v>181</v>
      </c>
      <c r="F64" s="49">
        <f>IFERROR(INDEX(부록3DB!$J$7:$U$1241,MATCH('②-2 기후비작업근거'!$C$6&amp;"|"&amp;8,부록3DB!$I$7:$I$1241,0),1),0)</f>
        <v>14.3</v>
      </c>
      <c r="G64" s="49">
        <f>IFERROR(INDEX(부록3DB!$J$7:$U$1241,MATCH('②-2 기후비작업근거'!$C$6&amp;"|"&amp;8,부록3DB!$I$7:$I$1241,0),2),0)</f>
        <v>6</v>
      </c>
      <c r="H64" s="49">
        <f>IFERROR(INDEX(부록3DB!$J$7:$U$1241,MATCH('②-2 기후비작업근거'!$C$6&amp;"|"&amp;8,부록3DB!$I$7:$I$1241,0),3),0)</f>
        <v>0.1</v>
      </c>
      <c r="I64" s="49">
        <f>IFERROR(INDEX(부록3DB!$J$7:$U$1241,MATCH('②-2 기후비작업근거'!$C$6&amp;"|"&amp;8,부록3DB!$I$7:$I$1241,0),4),0)</f>
        <v>0</v>
      </c>
      <c r="J64" s="49">
        <f>IFERROR(INDEX(부록3DB!$J$7:$U$1241,MATCH('②-2 기후비작업근거'!$C$6&amp;"|"&amp;8,부록3DB!$I$7:$I$1241,0),5),0)</f>
        <v>0</v>
      </c>
      <c r="K64" s="49">
        <f>IFERROR(INDEX(부록3DB!$J$7:$U$1241,MATCH('②-2 기후비작업근거'!$C$6&amp;"|"&amp;8,부록3DB!$I$7:$I$1241,0),6),0)</f>
        <v>0</v>
      </c>
      <c r="L64" s="49">
        <f>IFERROR(INDEX(부록3DB!$J$7:$U$1241,MATCH('②-2 기후비작업근거'!$C$6&amp;"|"&amp;8,부록3DB!$I$7:$I$1241,0),7),0)</f>
        <v>0</v>
      </c>
      <c r="M64" s="49">
        <f>IFERROR(INDEX(부록3DB!$J$7:$U$1241,MATCH('②-2 기후비작업근거'!$C$6&amp;"|"&amp;8,부록3DB!$I$7:$I$1241,0),8),0)</f>
        <v>0</v>
      </c>
      <c r="N64" s="49">
        <f>IFERROR(INDEX(부록3DB!$J$7:$U$1241,MATCH('②-2 기후비작업근거'!$C$6&amp;"|"&amp;8,부록3DB!$I$7:$I$1241,0),9),0)</f>
        <v>0</v>
      </c>
      <c r="O64" s="49">
        <f>IFERROR(INDEX(부록3DB!$J$7:$U$1241,MATCH('②-2 기후비작업근거'!$C$6&amp;"|"&amp;8,부록3DB!$I$7:$I$1241,0),10),0)</f>
        <v>0</v>
      </c>
      <c r="P64" s="49">
        <f>IFERROR(INDEX(부록3DB!$J$7:$U$1241,MATCH('②-2 기후비작업근거'!$C$6&amp;"|"&amp;8,부록3DB!$I$7:$I$1241,0),11),0)</f>
        <v>0</v>
      </c>
      <c r="Q64" s="49">
        <f>IFERROR(INDEX(부록3DB!$J$7:$U$1241,MATCH('②-2 기후비작업근거'!$C$6&amp;"|"&amp;8,부록3DB!$I$7:$I$1241,0),12),0)</f>
        <v>8.6999999999999993</v>
      </c>
      <c r="R64" s="50">
        <f t="shared" si="0"/>
        <v>29.1</v>
      </c>
      <c r="S64" s="51"/>
      <c r="T64" s="52" t="str">
        <f>IFERROR(IF(INDEX('②-2 기후비작업근거'!$F$21:$S$30,MATCH(①공사개요!$C$7,'②-2 기후비작업근거'!$B$21:$B$30,0),8)="Y","Y",""),"")</f>
        <v/>
      </c>
    </row>
    <row r="65" spans="2:20" ht="15">
      <c r="B65" s="47" t="str">
        <f>IF('②-2 기후비작업근거'!$C$7="자동",$T65,$S65)</f>
        <v>Y</v>
      </c>
      <c r="C65" s="53" t="s">
        <v>173</v>
      </c>
      <c r="D65" s="201" t="s">
        <v>819</v>
      </c>
      <c r="E65" s="42"/>
      <c r="F65" s="49">
        <v>15.6</v>
      </c>
      <c r="G65" s="49">
        <v>7.4</v>
      </c>
      <c r="H65" s="49">
        <v>0.4</v>
      </c>
      <c r="I65" s="49" t="s">
        <v>820</v>
      </c>
      <c r="J65" s="49" t="s">
        <v>820</v>
      </c>
      <c r="K65" s="49" t="s">
        <v>820</v>
      </c>
      <c r="L65" s="49" t="s">
        <v>820</v>
      </c>
      <c r="M65" s="49" t="s">
        <v>820</v>
      </c>
      <c r="N65" s="49" t="s">
        <v>820</v>
      </c>
      <c r="O65" s="49" t="s">
        <v>820</v>
      </c>
      <c r="P65" s="49">
        <v>0.8</v>
      </c>
      <c r="Q65" s="49">
        <v>12.7</v>
      </c>
      <c r="R65" s="50">
        <f t="shared" si="0"/>
        <v>36.9</v>
      </c>
      <c r="S65" s="51" t="s">
        <v>135</v>
      </c>
      <c r="T65" s="52" t="str">
        <f>IFERROR(IF(INDEX('②-2 기후비작업근거'!$F$21:$S$30,MATCH(①공사개요!$C$7,'②-2 기후비작업근거'!$B$21:$B$30,0),11)="Y","Y",""),"")</f>
        <v>Y</v>
      </c>
    </row>
    <row r="66" spans="2:20" ht="15">
      <c r="B66" s="47" t="str">
        <f>IF('②-2 기후비작업근거'!$C$7="자동",$T66,$S66)</f>
        <v>Y</v>
      </c>
      <c r="C66" s="54" t="s">
        <v>182</v>
      </c>
      <c r="D66" s="40" t="s">
        <v>183</v>
      </c>
      <c r="E66" s="42" t="s">
        <v>184</v>
      </c>
      <c r="F66" s="49">
        <f>IFERROR(INDEX(부록3DB!$J$7:$U$1241,MATCH('②-2 기후비작업근거'!$C$6&amp;"|"&amp;9,부록3DB!$I$7:$I$1241,0),1),0)</f>
        <v>1.1000000000000001</v>
      </c>
      <c r="G66" s="49">
        <f>IFERROR(INDEX(부록3DB!$J$7:$U$1241,MATCH('②-2 기후비작업근거'!$C$6&amp;"|"&amp;9,부록3DB!$I$7:$I$1241,0),2),0)</f>
        <v>2</v>
      </c>
      <c r="H66" s="49">
        <f>IFERROR(INDEX(부록3DB!$J$7:$U$1241,MATCH('②-2 기후비작업근거'!$C$6&amp;"|"&amp;9,부록3DB!$I$7:$I$1241,0),3),0)</f>
        <v>2.6</v>
      </c>
      <c r="I66" s="49">
        <f>IFERROR(INDEX(부록3DB!$J$7:$U$1241,MATCH('②-2 기후비작업근거'!$C$6&amp;"|"&amp;9,부록3DB!$I$7:$I$1241,0),4),0)</f>
        <v>4.3</v>
      </c>
      <c r="J66" s="49">
        <f>IFERROR(INDEX(부록3DB!$J$7:$U$1241,MATCH('②-2 기후비작업근거'!$C$6&amp;"|"&amp;9,부록3DB!$I$7:$I$1241,0),5),0)</f>
        <v>5.5</v>
      </c>
      <c r="K66" s="49">
        <f>IFERROR(INDEX(부록3DB!$J$7:$U$1241,MATCH('②-2 기후비작업근거'!$C$6&amp;"|"&amp;9,부록3DB!$I$7:$I$1241,0),6),0)</f>
        <v>5.7</v>
      </c>
      <c r="L66" s="49">
        <f>IFERROR(INDEX(부록3DB!$J$7:$U$1241,MATCH('②-2 기후비작업근거'!$C$6&amp;"|"&amp;9,부록3DB!$I$7:$I$1241,0),7),0)</f>
        <v>10.4</v>
      </c>
      <c r="M66" s="49">
        <f>IFERROR(INDEX(부록3DB!$J$7:$U$1241,MATCH('②-2 기후비작업근거'!$C$6&amp;"|"&amp;9,부록3DB!$I$7:$I$1241,0),8),0)</f>
        <v>8.4</v>
      </c>
      <c r="N66" s="49">
        <f>IFERROR(INDEX(부록3DB!$J$7:$U$1241,MATCH('②-2 기후비작업근거'!$C$6&amp;"|"&amp;9,부록3DB!$I$7:$I$1241,0),9),0)</f>
        <v>4.5</v>
      </c>
      <c r="O66" s="49">
        <f>IFERROR(INDEX(부록3DB!$J$7:$U$1241,MATCH('②-2 기후비작업근거'!$C$6&amp;"|"&amp;9,부록3DB!$I$7:$I$1241,0),10),0)</f>
        <v>3.6</v>
      </c>
      <c r="P66" s="49">
        <f>IFERROR(INDEX(부록3DB!$J$7:$U$1241,MATCH('②-2 기후비작업근거'!$C$6&amp;"|"&amp;9,부록3DB!$I$7:$I$1241,0),11),0)</f>
        <v>4.3</v>
      </c>
      <c r="Q66" s="49">
        <f>IFERROR(INDEX(부록3DB!$J$7:$U$1241,MATCH('②-2 기후비작업근거'!$C$6&amp;"|"&amp;9,부록3DB!$I$7:$I$1241,0),12),0)</f>
        <v>1.7</v>
      </c>
      <c r="R66" s="50">
        <f t="shared" si="0"/>
        <v>54.1</v>
      </c>
      <c r="S66" s="51" t="s">
        <v>135</v>
      </c>
      <c r="T66" s="52" t="str">
        <f>IFERROR(IF(INDEX('②-2 기후비작업근거'!$F$21:$S$30,MATCH(①공사개요!$C$7,'②-2 기후비작업근거'!$B$21:$B$30,0),11)="Y","Y",""),"")</f>
        <v>Y</v>
      </c>
    </row>
    <row r="67" spans="2:20" ht="15">
      <c r="B67" s="47">
        <f>IF('②-2 기후비작업근거'!$C$7="자동",$T67,$S67)</f>
        <v>0</v>
      </c>
      <c r="C67" s="54" t="s">
        <v>182</v>
      </c>
      <c r="D67" s="40" t="s">
        <v>185</v>
      </c>
      <c r="E67" s="42" t="s">
        <v>186</v>
      </c>
      <c r="F67" s="49">
        <f>IFERROR(INDEX(부록3DB!$J$7:$U$1241,MATCH('②-2 기후비작업근거'!$C$6&amp;"|"&amp;10,부록3DB!$I$7:$I$1241,0),1),0)</f>
        <v>0.6</v>
      </c>
      <c r="G67" s="49">
        <f>IFERROR(INDEX(부록3DB!$J$7:$U$1241,MATCH('②-2 기후비작업근거'!$C$6&amp;"|"&amp;10,부록3DB!$I$7:$I$1241,0),2),0)</f>
        <v>1.3</v>
      </c>
      <c r="H67" s="49">
        <f>IFERROR(INDEX(부록3DB!$J$7:$U$1241,MATCH('②-2 기후비작업근거'!$C$6&amp;"|"&amp;10,부록3DB!$I$7:$I$1241,0),3),0)</f>
        <v>2</v>
      </c>
      <c r="I67" s="49">
        <f>IFERROR(INDEX(부록3DB!$J$7:$U$1241,MATCH('②-2 기후비작업근거'!$C$6&amp;"|"&amp;10,부록3DB!$I$7:$I$1241,0),4),0)</f>
        <v>3.5</v>
      </c>
      <c r="J67" s="49">
        <f>IFERROR(INDEX(부록3DB!$J$7:$U$1241,MATCH('②-2 기후비작업근거'!$C$6&amp;"|"&amp;10,부록3DB!$I$7:$I$1241,0),5),0)</f>
        <v>4.9000000000000004</v>
      </c>
      <c r="K67" s="49">
        <f>IFERROR(INDEX(부록3DB!$J$7:$U$1241,MATCH('②-2 기후비작업근거'!$C$6&amp;"|"&amp;10,부록3DB!$I$7:$I$1241,0),6),0)</f>
        <v>4.7</v>
      </c>
      <c r="L67" s="49">
        <f>IFERROR(INDEX(부록3DB!$J$7:$U$1241,MATCH('②-2 기후비작업근거'!$C$6&amp;"|"&amp;10,부록3DB!$I$7:$I$1241,0),7),0)</f>
        <v>9.1</v>
      </c>
      <c r="M67" s="49">
        <f>IFERROR(INDEX(부록3DB!$J$7:$U$1241,MATCH('②-2 기후비작업근거'!$C$6&amp;"|"&amp;10,부록3DB!$I$7:$I$1241,0),8),0)</f>
        <v>7.6</v>
      </c>
      <c r="N67" s="49">
        <f>IFERROR(INDEX(부록3DB!$J$7:$U$1241,MATCH('②-2 기후비작업근거'!$C$6&amp;"|"&amp;10,부록3DB!$I$7:$I$1241,0),9),0)</f>
        <v>4.0999999999999996</v>
      </c>
      <c r="O67" s="49">
        <f>IFERROR(INDEX(부록3DB!$J$7:$U$1241,MATCH('②-2 기후비작업근거'!$C$6&amp;"|"&amp;10,부록3DB!$I$7:$I$1241,0),10),0)</f>
        <v>2.9</v>
      </c>
      <c r="P67" s="49">
        <f>IFERROR(INDEX(부록3DB!$J$7:$U$1241,MATCH('②-2 기후비작업근거'!$C$6&amp;"|"&amp;10,부록3DB!$I$7:$I$1241,0),11),0)</f>
        <v>3.1</v>
      </c>
      <c r="Q67" s="49">
        <f>IFERROR(INDEX(부록3DB!$J$7:$U$1241,MATCH('②-2 기후비작업근거'!$C$6&amp;"|"&amp;10,부록3DB!$I$7:$I$1241,0),12),0)</f>
        <v>1</v>
      </c>
      <c r="R67" s="50">
        <f t="shared" si="0"/>
        <v>44.800000000000004</v>
      </c>
      <c r="S67" s="51"/>
      <c r="T67" s="52" t="str">
        <f>IFERROR(IF(INDEX('②-2 기후비작업근거'!$F$21:$S$30,MATCH(①공사개요!$C$7,'②-2 기후비작업근거'!$B$21:$B$30,0),10)="Y","Y",""),"")</f>
        <v/>
      </c>
    </row>
    <row r="68" spans="2:20" ht="15">
      <c r="B68" s="47">
        <f>IF('②-2 기후비작업근거'!$C$7="자동",$T68,$S68)</f>
        <v>0</v>
      </c>
      <c r="C68" s="54" t="s">
        <v>182</v>
      </c>
      <c r="D68" s="40" t="s">
        <v>187</v>
      </c>
      <c r="E68" s="42" t="s">
        <v>188</v>
      </c>
      <c r="F68" s="49">
        <f>IFERROR(INDEX(부록3DB!$J$7:$U$1241,MATCH('②-2 기후비작업근거'!$C$6&amp;"|"&amp;11,부록3DB!$I$7:$I$1241,0),1),0)</f>
        <v>0.3</v>
      </c>
      <c r="G68" s="49">
        <f>IFERROR(INDEX(부록3DB!$J$7:$U$1241,MATCH('②-2 기후비작업근거'!$C$6&amp;"|"&amp;11,부록3DB!$I$7:$I$1241,0),2),0)</f>
        <v>1</v>
      </c>
      <c r="H68" s="49">
        <f>IFERROR(INDEX(부록3DB!$J$7:$U$1241,MATCH('②-2 기후비작업근거'!$C$6&amp;"|"&amp;11,부록3DB!$I$7:$I$1241,0),3),0)</f>
        <v>1</v>
      </c>
      <c r="I68" s="49">
        <f>IFERROR(INDEX(부록3DB!$J$7:$U$1241,MATCH('②-2 기후비작업근거'!$C$6&amp;"|"&amp;11,부록3DB!$I$7:$I$1241,0),4),0)</f>
        <v>2.2999999999999998</v>
      </c>
      <c r="J68" s="49">
        <f>IFERROR(INDEX(부록3DB!$J$7:$U$1241,MATCH('②-2 기후비작업근거'!$C$6&amp;"|"&amp;11,부록3DB!$I$7:$I$1241,0),5),0)</f>
        <v>3.4</v>
      </c>
      <c r="K68" s="49">
        <f>IFERROR(INDEX(부록3DB!$J$7:$U$1241,MATCH('②-2 기후비작업근거'!$C$6&amp;"|"&amp;11,부록3DB!$I$7:$I$1241,0),6),0)</f>
        <v>3.6</v>
      </c>
      <c r="L68" s="49">
        <f>IFERROR(INDEX(부록3DB!$J$7:$U$1241,MATCH('②-2 기후비작업근거'!$C$6&amp;"|"&amp;11,부록3DB!$I$7:$I$1241,0),7),0)</f>
        <v>7.1</v>
      </c>
      <c r="M68" s="49">
        <f>IFERROR(INDEX(부록3DB!$J$7:$U$1241,MATCH('②-2 기후비작업근거'!$C$6&amp;"|"&amp;11,부록3DB!$I$7:$I$1241,0),8),0)</f>
        <v>6.1</v>
      </c>
      <c r="N68" s="49">
        <f>IFERROR(INDEX(부록3DB!$J$7:$U$1241,MATCH('②-2 기후비작업근거'!$C$6&amp;"|"&amp;11,부록3DB!$I$7:$I$1241,0),9),0)</f>
        <v>2.8</v>
      </c>
      <c r="O68" s="49">
        <f>IFERROR(INDEX(부록3DB!$J$7:$U$1241,MATCH('②-2 기후비작업근거'!$C$6&amp;"|"&amp;11,부록3DB!$I$7:$I$1241,0),10),0)</f>
        <v>2</v>
      </c>
      <c r="P68" s="49">
        <f>IFERROR(INDEX(부록3DB!$J$7:$U$1241,MATCH('②-2 기후비작업근거'!$C$6&amp;"|"&amp;11,부록3DB!$I$7:$I$1241,0),11),0)</f>
        <v>1.9</v>
      </c>
      <c r="Q68" s="49">
        <f>IFERROR(INDEX(부록3DB!$J$7:$U$1241,MATCH('②-2 기후비작업근거'!$C$6&amp;"|"&amp;11,부록3DB!$I$7:$I$1241,0),12),0)</f>
        <v>0.6</v>
      </c>
      <c r="R68" s="50">
        <f t="shared" si="0"/>
        <v>32.099999999999994</v>
      </c>
      <c r="S68" s="51"/>
      <c r="T68" s="52"/>
    </row>
    <row r="69" spans="2:20" ht="15">
      <c r="B69" s="47">
        <f>IF('②-2 기후비작업근거'!$C$7="자동",$T69,$S69)</f>
        <v>0</v>
      </c>
      <c r="C69" s="54" t="s">
        <v>182</v>
      </c>
      <c r="D69" s="40" t="s">
        <v>189</v>
      </c>
      <c r="E69" s="42" t="s">
        <v>190</v>
      </c>
      <c r="F69" s="49">
        <f>IFERROR(INDEX(부록3DB!$J$7:$U$1241,MATCH('②-2 기후비작업근거'!$C$6&amp;"|"&amp;12,부록3DB!$I$7:$I$1241,0),1),0)</f>
        <v>0.3</v>
      </c>
      <c r="G69" s="49">
        <f>IFERROR(INDEX(부록3DB!$J$7:$U$1241,MATCH('②-2 기후비작업근거'!$C$6&amp;"|"&amp;12,부록3DB!$I$7:$I$1241,0),2),0)</f>
        <v>0.1</v>
      </c>
      <c r="H69" s="49">
        <f>IFERROR(INDEX(부록3DB!$J$7:$U$1241,MATCH('②-2 기후비작업근거'!$C$6&amp;"|"&amp;12,부록3DB!$I$7:$I$1241,0),3),0)</f>
        <v>0.4</v>
      </c>
      <c r="I69" s="49">
        <f>IFERROR(INDEX(부록3DB!$J$7:$U$1241,MATCH('②-2 기후비작업근거'!$C$6&amp;"|"&amp;12,부록3DB!$I$7:$I$1241,0),4),0)</f>
        <v>0.9</v>
      </c>
      <c r="J69" s="49">
        <f>IFERROR(INDEX(부록3DB!$J$7:$U$1241,MATCH('②-2 기후비작업근거'!$C$6&amp;"|"&amp;12,부록3DB!$I$7:$I$1241,0),5),0)</f>
        <v>2.1</v>
      </c>
      <c r="K69" s="49">
        <f>IFERROR(INDEX(부록3DB!$J$7:$U$1241,MATCH('②-2 기후비작업근거'!$C$6&amp;"|"&amp;12,부록3DB!$I$7:$I$1241,0),6),0)</f>
        <v>1.6</v>
      </c>
      <c r="L69" s="49">
        <f>IFERROR(INDEX(부록3DB!$J$7:$U$1241,MATCH('②-2 기후비작업근거'!$C$6&amp;"|"&amp;12,부록3DB!$I$7:$I$1241,0),7),0)</f>
        <v>5.4</v>
      </c>
      <c r="M69" s="49">
        <f>IFERROR(INDEX(부록3DB!$J$7:$U$1241,MATCH('②-2 기후비작업근거'!$C$6&amp;"|"&amp;12,부록3DB!$I$7:$I$1241,0),8),0)</f>
        <v>4.7</v>
      </c>
      <c r="N69" s="49">
        <f>IFERROR(INDEX(부록3DB!$J$7:$U$1241,MATCH('②-2 기후비작업근거'!$C$6&amp;"|"&amp;12,부록3DB!$I$7:$I$1241,0),9),0)</f>
        <v>1.9</v>
      </c>
      <c r="O69" s="49">
        <f>IFERROR(INDEX(부록3DB!$J$7:$U$1241,MATCH('②-2 기후비작업근거'!$C$6&amp;"|"&amp;12,부록3DB!$I$7:$I$1241,0),10),0)</f>
        <v>1</v>
      </c>
      <c r="P69" s="49">
        <f>IFERROR(INDEX(부록3DB!$J$7:$U$1241,MATCH('②-2 기후비작업근거'!$C$6&amp;"|"&amp;12,부록3DB!$I$7:$I$1241,0),11),0)</f>
        <v>0.8</v>
      </c>
      <c r="Q69" s="49">
        <f>IFERROR(INDEX(부록3DB!$J$7:$U$1241,MATCH('②-2 기후비작업근거'!$C$6&amp;"|"&amp;12,부록3DB!$I$7:$I$1241,0),12),0)</f>
        <v>0.3</v>
      </c>
      <c r="R69" s="50">
        <f t="shared" si="0"/>
        <v>19.5</v>
      </c>
      <c r="S69" s="51"/>
      <c r="T69" s="52"/>
    </row>
    <row r="70" spans="2:20" ht="15">
      <c r="B70" s="47">
        <f>IF('②-2 기후비작업근거'!$C$7="자동",$T70,$S70)</f>
        <v>0</v>
      </c>
      <c r="C70" s="55" t="s">
        <v>191</v>
      </c>
      <c r="D70" s="40" t="s">
        <v>192</v>
      </c>
      <c r="E70" s="42" t="s">
        <v>193</v>
      </c>
      <c r="F70" s="49">
        <f>IFERROR(INDEX(부록3DB!$J$7:$U$1241,MATCH('②-2 기후비작업근거'!$C$6&amp;"|"&amp;13,부록3DB!$I$7:$I$1241,0),1),0)</f>
        <v>0.1</v>
      </c>
      <c r="G70" s="49">
        <f>IFERROR(INDEX(부록3DB!$J$7:$U$1241,MATCH('②-2 기후비작업근거'!$C$6&amp;"|"&amp;13,부록3DB!$I$7:$I$1241,0),2),0)</f>
        <v>0</v>
      </c>
      <c r="H70" s="49">
        <f>IFERROR(INDEX(부록3DB!$J$7:$U$1241,MATCH('②-2 기후비작업근거'!$C$6&amp;"|"&amp;13,부록3DB!$I$7:$I$1241,0),3),0)</f>
        <v>0.2</v>
      </c>
      <c r="I70" s="49">
        <f>IFERROR(INDEX(부록3DB!$J$7:$U$1241,MATCH('②-2 기후비작업근거'!$C$6&amp;"|"&amp;13,부록3DB!$I$7:$I$1241,0),4),0)</f>
        <v>0.2</v>
      </c>
      <c r="J70" s="49">
        <f>IFERROR(INDEX(부록3DB!$J$7:$U$1241,MATCH('②-2 기후비작업근거'!$C$6&amp;"|"&amp;13,부록3DB!$I$7:$I$1241,0),5),0)</f>
        <v>0.4</v>
      </c>
      <c r="K70" s="49">
        <f>IFERROR(INDEX(부록3DB!$J$7:$U$1241,MATCH('②-2 기후비작업근거'!$C$6&amp;"|"&amp;13,부록3DB!$I$7:$I$1241,0),6),0)</f>
        <v>0.3</v>
      </c>
      <c r="L70" s="49">
        <f>IFERROR(INDEX(부록3DB!$J$7:$U$1241,MATCH('②-2 기후비작업근거'!$C$6&amp;"|"&amp;13,부록3DB!$I$7:$I$1241,0),7),0)</f>
        <v>0.2</v>
      </c>
      <c r="M70" s="49">
        <f>IFERROR(INDEX(부록3DB!$J$7:$U$1241,MATCH('②-2 기후비작업근거'!$C$6&amp;"|"&amp;13,부록3DB!$I$7:$I$1241,0),8),0)</f>
        <v>0.3</v>
      </c>
      <c r="N70" s="49">
        <f>IFERROR(INDEX(부록3DB!$J$7:$U$1241,MATCH('②-2 기후비작업근거'!$C$6&amp;"|"&amp;13,부록3DB!$I$7:$I$1241,0),9),0)</f>
        <v>0.3</v>
      </c>
      <c r="O70" s="49">
        <f>IFERROR(INDEX(부록3DB!$J$7:$U$1241,MATCH('②-2 기후비작업근거'!$C$6&amp;"|"&amp;13,부록3DB!$I$7:$I$1241,0),10),0)</f>
        <v>0.1</v>
      </c>
      <c r="P70" s="49">
        <f>IFERROR(INDEX(부록3DB!$J$7:$U$1241,MATCH('②-2 기후비작업근거'!$C$6&amp;"|"&amp;13,부록3DB!$I$7:$I$1241,0),11),0)</f>
        <v>0.3</v>
      </c>
      <c r="Q70" s="49">
        <f>IFERROR(INDEX(부록3DB!$J$7:$U$1241,MATCH('②-2 기후비작업근거'!$C$6&amp;"|"&amp;13,부록3DB!$I$7:$I$1241,0),12),0)</f>
        <v>0.2</v>
      </c>
      <c r="R70" s="50">
        <f t="shared" si="0"/>
        <v>2.6</v>
      </c>
      <c r="S70" s="51"/>
      <c r="T70" s="52"/>
    </row>
    <row r="71" spans="2:20" ht="20.6">
      <c r="B71" s="47">
        <f>IF('②-2 기후비작업근거'!$C$7="자동",$T71,$S71)</f>
        <v>0</v>
      </c>
      <c r="C71" s="56" t="s">
        <v>194</v>
      </c>
      <c r="D71" s="41" t="s">
        <v>195</v>
      </c>
      <c r="E71" s="57" t="str">
        <f>"PM2.5 나쁨일수 (환경부 · "&amp;①공사개요!$C$6&amp;" 인근 측정소 · 수동입력 확인)"</f>
        <v>PM2.5 나쁨일수 (환경부 · 연천군 인근 측정소 · 수동입력 확인)</v>
      </c>
      <c r="F71" s="459">
        <v>3.5</v>
      </c>
      <c r="G71" s="459">
        <v>3.5</v>
      </c>
      <c r="H71" s="459">
        <v>4.5</v>
      </c>
      <c r="I71" s="459">
        <v>2.5</v>
      </c>
      <c r="J71" s="459">
        <v>1</v>
      </c>
      <c r="K71" s="459">
        <v>0</v>
      </c>
      <c r="L71" s="459">
        <v>0</v>
      </c>
      <c r="M71" s="459">
        <v>0</v>
      </c>
      <c r="N71" s="459">
        <v>0</v>
      </c>
      <c r="O71" s="459">
        <v>0.5</v>
      </c>
      <c r="P71" s="459">
        <v>1.5</v>
      </c>
      <c r="Q71" s="459">
        <v>2</v>
      </c>
      <c r="R71" s="50">
        <f t="shared" si="0"/>
        <v>19</v>
      </c>
      <c r="S71" s="51"/>
      <c r="T71" s="52"/>
    </row>
    <row r="72" spans="2:20" ht="15">
      <c r="B72" s="482" t="s">
        <v>196</v>
      </c>
      <c r="C72" s="482"/>
      <c r="D72" s="482"/>
      <c r="E72" s="482"/>
      <c r="F72" s="58">
        <f t="shared" ref="F72:Q72" si="1">SUMIF($B$57:$B$71,"Y",F57:F71)</f>
        <v>16.7</v>
      </c>
      <c r="G72" s="58">
        <f t="shared" si="1"/>
        <v>9.4</v>
      </c>
      <c r="H72" s="58">
        <f t="shared" si="1"/>
        <v>3</v>
      </c>
      <c r="I72" s="58">
        <f t="shared" si="1"/>
        <v>4.3</v>
      </c>
      <c r="J72" s="58">
        <f t="shared" si="1"/>
        <v>5.5</v>
      </c>
      <c r="K72" s="58">
        <f t="shared" si="1"/>
        <v>5.8</v>
      </c>
      <c r="L72" s="58">
        <f t="shared" si="1"/>
        <v>11.3</v>
      </c>
      <c r="M72" s="58">
        <f t="shared" si="1"/>
        <v>9.2000000000000011</v>
      </c>
      <c r="N72" s="58">
        <f t="shared" si="1"/>
        <v>4.5</v>
      </c>
      <c r="O72" s="58">
        <f t="shared" si="1"/>
        <v>3.6</v>
      </c>
      <c r="P72" s="58">
        <f t="shared" si="1"/>
        <v>5.0999999999999996</v>
      </c>
      <c r="Q72" s="58">
        <f t="shared" si="1"/>
        <v>14.399999999999999</v>
      </c>
      <c r="R72" s="59">
        <f t="shared" si="0"/>
        <v>92.799999999999983</v>
      </c>
    </row>
    <row r="74" spans="2:20">
      <c r="B74" s="23" t="s">
        <v>197</v>
      </c>
    </row>
    <row r="75" spans="2:20">
      <c r="B75" s="60" t="s">
        <v>1740</v>
      </c>
    </row>
    <row r="76" spans="2:20">
      <c r="B76" s="23" t="s">
        <v>199</v>
      </c>
    </row>
    <row r="77" spans="2:20">
      <c r="B77" s="23" t="s">
        <v>200</v>
      </c>
    </row>
  </sheetData>
  <mergeCells count="27">
    <mergeCell ref="B30:E30"/>
    <mergeCell ref="B72:E72"/>
    <mergeCell ref="B24:E24"/>
    <mergeCell ref="B25:E25"/>
    <mergeCell ref="B26:E26"/>
    <mergeCell ref="B27:E27"/>
    <mergeCell ref="B28:E28"/>
    <mergeCell ref="B29:E29"/>
    <mergeCell ref="B23:E23"/>
    <mergeCell ref="C14:D14"/>
    <mergeCell ref="E14:F14"/>
    <mergeCell ref="C15:D15"/>
    <mergeCell ref="E15:F15"/>
    <mergeCell ref="C16:D16"/>
    <mergeCell ref="E16:F16"/>
    <mergeCell ref="C17:D17"/>
    <mergeCell ref="E17:F17"/>
    <mergeCell ref="B20:E20"/>
    <mergeCell ref="B21:E21"/>
    <mergeCell ref="B22:E22"/>
    <mergeCell ref="C13:D13"/>
    <mergeCell ref="E13:F13"/>
    <mergeCell ref="A1:R1"/>
    <mergeCell ref="C11:D11"/>
    <mergeCell ref="E11:F11"/>
    <mergeCell ref="C12:D12"/>
    <mergeCell ref="E12:F12"/>
  </mergeCells>
  <phoneticPr fontId="84" type="noConversion"/>
  <dataValidations count="2">
    <dataValidation type="list" sqref="C7" xr:uid="{1B257B8F-C7FD-4E17-9037-7A120E8BCC0D}">
      <formula1>"자동,수동"</formula1>
      <formula2>0</formula2>
    </dataValidation>
    <dataValidation type="list" allowBlank="1" sqref="S57:S71" xr:uid="{DB9533EA-0149-4885-A296-E6F1DA978D6F}">
      <formula1>"Y,"</formula1>
      <formula2>0</formula2>
    </dataValidation>
  </dataValidations>
  <printOptions horizontalCentered="1"/>
  <pageMargins left="0.31496111111111108" right="0.31496111111111108" top="0.47244166666666665" bottom="0.47244166666666665" header="0.19685069444444445" footer="0.19685069444444445"/>
  <pageSetup paperSize="9" scale="73" fitToHeight="2" orientation="landscape" r:id="rId1"/>
  <headerFooter>
    <oddHeader>&amp;C&amp;"맑은 고딕,굵게"&amp;11연천군 신서공공하수처리시설 증설 외 2개사업 — 적정 공사기간 산정</oddHeader>
    <oddFooter>&amp;L&amp;"맑은 고딕"&amp;8②-2 기후비작업근거  (동절기 미반영 기준)&amp;R&amp;"맑은 고딕"&amp;8&amp;P / &amp;N</oddFooter>
  </headerFooter>
  <rowBreaks count="1" manualBreakCount="1">
    <brk id="59" max="1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EBC23BFD-18AC-4DDC-903D-75F63527C888}">
          <x14:formula1>
            <xm:f>부록3DB!$A$7:$A$101</xm:f>
          </x14:formula1>
          <x14:formula2>
            <xm:f>0</xm:f>
          </x14:formula2>
          <xm:sqref>C6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6A6A6"/>
  </sheetPr>
  <dimension ref="A1:J169"/>
  <sheetViews>
    <sheetView view="pageBreakPreview" zoomScale="60" zoomScaleNormal="100" workbookViewId="0">
      <selection activeCell="O12" sqref="O12"/>
    </sheetView>
  </sheetViews>
  <sheetFormatPr defaultColWidth="8.69140625" defaultRowHeight="14.6"/>
  <cols>
    <col min="1" max="1" width="3" customWidth="1"/>
    <col min="2" max="2" width="10" customWidth="1"/>
    <col min="3" max="3" width="16" customWidth="1"/>
    <col min="4" max="4" width="12.3046875" bestFit="1" customWidth="1"/>
    <col min="5" max="5" width="28" customWidth="1"/>
    <col min="6" max="6" width="23.15234375" bestFit="1" customWidth="1"/>
    <col min="7" max="7" width="9" customWidth="1"/>
    <col min="10" max="10" width="13" hidden="1" customWidth="1"/>
  </cols>
  <sheetData>
    <row r="1" spans="1:10" ht="19.75">
      <c r="A1" s="490" t="s">
        <v>201</v>
      </c>
      <c r="B1" s="490"/>
      <c r="C1" s="490"/>
      <c r="D1" s="490"/>
      <c r="E1" s="490"/>
      <c r="F1" s="490"/>
      <c r="G1" s="490"/>
    </row>
    <row r="2" spans="1:10" ht="15.45">
      <c r="B2" s="1" t="s">
        <v>202</v>
      </c>
    </row>
    <row r="3" spans="1:10" ht="15">
      <c r="B3" s="61" t="s">
        <v>203</v>
      </c>
    </row>
    <row r="5" spans="1:10" ht="15">
      <c r="B5" s="26" t="s">
        <v>76</v>
      </c>
      <c r="C5" s="27" t="s">
        <v>204</v>
      </c>
      <c r="D5" s="27" t="s">
        <v>205</v>
      </c>
      <c r="E5" s="27" t="s">
        <v>206</v>
      </c>
      <c r="F5" s="27" t="s">
        <v>207</v>
      </c>
      <c r="G5" s="26" t="s">
        <v>208</v>
      </c>
      <c r="H5" s="27" t="s">
        <v>209</v>
      </c>
      <c r="J5" s="62" t="s">
        <v>210</v>
      </c>
    </row>
    <row r="6" spans="1:10" ht="15">
      <c r="B6" s="28">
        <v>1</v>
      </c>
      <c r="C6" s="63" t="s">
        <v>211</v>
      </c>
      <c r="D6" s="64" t="s">
        <v>212</v>
      </c>
      <c r="E6" s="64" t="s">
        <v>213</v>
      </c>
      <c r="F6" s="65" t="s">
        <v>214</v>
      </c>
      <c r="G6" s="66">
        <v>0.14299999999999999</v>
      </c>
      <c r="H6" s="63" t="s">
        <v>215</v>
      </c>
      <c r="J6" s="62" t="str">
        <f t="shared" ref="J6:J37" si="0">D6&amp;"|"&amp;E6</f>
        <v>공통가설|가설사무실</v>
      </c>
    </row>
    <row r="7" spans="1:10" ht="15">
      <c r="B7" s="67">
        <v>2</v>
      </c>
      <c r="C7" s="68" t="s">
        <v>211</v>
      </c>
      <c r="D7" s="69" t="s">
        <v>212</v>
      </c>
      <c r="E7" s="69" t="s">
        <v>216</v>
      </c>
      <c r="F7" s="70" t="s">
        <v>217</v>
      </c>
      <c r="G7" s="66">
        <v>30</v>
      </c>
      <c r="H7" s="67" t="s">
        <v>218</v>
      </c>
      <c r="J7" s="62" t="str">
        <f t="shared" si="0"/>
        <v>공통가설|가설울타리</v>
      </c>
    </row>
    <row r="8" spans="1:10" ht="15">
      <c r="B8" s="63">
        <v>3</v>
      </c>
      <c r="C8" s="63" t="s">
        <v>211</v>
      </c>
      <c r="D8" s="64" t="s">
        <v>212</v>
      </c>
      <c r="E8" s="64" t="s">
        <v>219</v>
      </c>
      <c r="F8" s="65" t="s">
        <v>217</v>
      </c>
      <c r="G8" s="66">
        <v>30</v>
      </c>
      <c r="H8" s="28" t="s">
        <v>218</v>
      </c>
      <c r="J8" s="62" t="str">
        <f t="shared" si="0"/>
        <v>공통가설|가설방음벽</v>
      </c>
    </row>
    <row r="9" spans="1:10" ht="15">
      <c r="B9" s="68">
        <v>4</v>
      </c>
      <c r="C9" s="68" t="s">
        <v>211</v>
      </c>
      <c r="D9" s="69" t="s">
        <v>212</v>
      </c>
      <c r="E9" s="69" t="s">
        <v>220</v>
      </c>
      <c r="F9" s="69" t="s">
        <v>221</v>
      </c>
      <c r="G9" s="66">
        <v>82</v>
      </c>
      <c r="H9" s="68" t="s">
        <v>222</v>
      </c>
      <c r="J9" s="62" t="str">
        <f t="shared" si="0"/>
        <v>공통가설|구조물 동바리</v>
      </c>
    </row>
    <row r="10" spans="1:10" ht="15">
      <c r="B10" s="63">
        <v>5</v>
      </c>
      <c r="C10" s="63" t="s">
        <v>211</v>
      </c>
      <c r="D10" s="64" t="s">
        <v>212</v>
      </c>
      <c r="E10" s="64" t="s">
        <v>223</v>
      </c>
      <c r="F10" s="64" t="s">
        <v>224</v>
      </c>
      <c r="G10" s="66">
        <v>102</v>
      </c>
      <c r="H10" s="63" t="s">
        <v>225</v>
      </c>
      <c r="J10" s="62" t="str">
        <f t="shared" si="0"/>
        <v>공통가설|구조물 비계</v>
      </c>
    </row>
    <row r="11" spans="1:10" ht="15">
      <c r="B11" s="68">
        <v>6</v>
      </c>
      <c r="C11" s="68" t="s">
        <v>211</v>
      </c>
      <c r="D11" s="69" t="s">
        <v>212</v>
      </c>
      <c r="E11" s="69" t="s">
        <v>226</v>
      </c>
      <c r="F11" s="69" t="s">
        <v>227</v>
      </c>
      <c r="G11" s="66">
        <v>8</v>
      </c>
      <c r="H11" s="68" t="s">
        <v>228</v>
      </c>
      <c r="J11" s="62" t="str">
        <f t="shared" si="0"/>
        <v>공통가설|가설흙막이(H파일)</v>
      </c>
    </row>
    <row r="12" spans="1:10" ht="15">
      <c r="B12" s="63">
        <v>7</v>
      </c>
      <c r="C12" s="63" t="s">
        <v>211</v>
      </c>
      <c r="D12" s="64" t="s">
        <v>212</v>
      </c>
      <c r="E12" s="65" t="s">
        <v>779</v>
      </c>
      <c r="F12" s="64" t="s">
        <v>227</v>
      </c>
      <c r="G12" s="66">
        <v>10</v>
      </c>
      <c r="H12" s="63" t="s">
        <v>228</v>
      </c>
      <c r="J12" s="62" t="str">
        <f t="shared" si="0"/>
        <v>공통가설|가설흙막이(강널말뚝)</v>
      </c>
    </row>
    <row r="13" spans="1:10" ht="15">
      <c r="B13" s="68">
        <v>8</v>
      </c>
      <c r="C13" s="68" t="s">
        <v>211</v>
      </c>
      <c r="D13" s="69" t="s">
        <v>212</v>
      </c>
      <c r="E13" s="69" t="s">
        <v>229</v>
      </c>
      <c r="F13" s="69" t="s">
        <v>230</v>
      </c>
      <c r="G13" s="66">
        <v>6</v>
      </c>
      <c r="H13" s="68" t="s">
        <v>228</v>
      </c>
      <c r="J13" s="62" t="str">
        <f t="shared" si="0"/>
        <v>공통가설|가설흙막이(워터제트)</v>
      </c>
    </row>
    <row r="14" spans="1:10" ht="15">
      <c r="B14" s="63">
        <v>9</v>
      </c>
      <c r="C14" s="63" t="s">
        <v>211</v>
      </c>
      <c r="D14" s="64" t="s">
        <v>231</v>
      </c>
      <c r="E14" s="64" t="s">
        <v>232</v>
      </c>
      <c r="F14" s="64" t="s">
        <v>233</v>
      </c>
      <c r="G14" s="66">
        <v>54</v>
      </c>
      <c r="H14" s="63" t="s">
        <v>222</v>
      </c>
      <c r="J14" s="62" t="str">
        <f t="shared" si="0"/>
        <v>토공|기존시설물 깨기</v>
      </c>
    </row>
    <row r="15" spans="1:10" ht="15">
      <c r="B15" s="68">
        <v>10</v>
      </c>
      <c r="C15" s="68" t="s">
        <v>211</v>
      </c>
      <c r="D15" s="69" t="s">
        <v>231</v>
      </c>
      <c r="E15" s="69" t="s">
        <v>234</v>
      </c>
      <c r="F15" s="69" t="s">
        <v>235</v>
      </c>
      <c r="G15" s="66">
        <v>1375</v>
      </c>
      <c r="H15" s="68" t="s">
        <v>225</v>
      </c>
      <c r="J15" s="62" t="str">
        <f t="shared" si="0"/>
        <v>토공|벌목</v>
      </c>
    </row>
    <row r="16" spans="1:10" ht="15">
      <c r="B16" s="63">
        <v>11</v>
      </c>
      <c r="C16" s="63" t="s">
        <v>211</v>
      </c>
      <c r="D16" s="64" t="s">
        <v>231</v>
      </c>
      <c r="E16" s="64" t="s">
        <v>236</v>
      </c>
      <c r="F16" s="65" t="s">
        <v>214</v>
      </c>
      <c r="G16" s="66">
        <v>1110</v>
      </c>
      <c r="H16" s="63" t="s">
        <v>225</v>
      </c>
      <c r="J16" s="62" t="str">
        <f t="shared" si="0"/>
        <v>토공|벌개제근</v>
      </c>
    </row>
    <row r="17" spans="2:10" ht="15">
      <c r="B17" s="68">
        <v>12</v>
      </c>
      <c r="C17" s="68" t="s">
        <v>211</v>
      </c>
      <c r="D17" s="69" t="s">
        <v>231</v>
      </c>
      <c r="E17" s="69" t="s">
        <v>237</v>
      </c>
      <c r="F17" s="69" t="s">
        <v>238</v>
      </c>
      <c r="G17" s="66">
        <v>1915</v>
      </c>
      <c r="H17" s="68" t="s">
        <v>225</v>
      </c>
      <c r="J17" s="62" t="str">
        <f t="shared" si="0"/>
        <v>토공|표토제거</v>
      </c>
    </row>
    <row r="18" spans="2:10" ht="15">
      <c r="B18" s="63">
        <v>13</v>
      </c>
      <c r="C18" s="63" t="s">
        <v>211</v>
      </c>
      <c r="D18" s="64" t="s">
        <v>231</v>
      </c>
      <c r="E18" s="64" t="s">
        <v>239</v>
      </c>
      <c r="F18" s="64" t="s">
        <v>240</v>
      </c>
      <c r="G18" s="66">
        <v>520</v>
      </c>
      <c r="H18" s="63" t="s">
        <v>222</v>
      </c>
      <c r="J18" s="62" t="str">
        <f t="shared" si="0"/>
        <v>토공|흙깍기(토사)</v>
      </c>
    </row>
    <row r="19" spans="2:10" ht="15">
      <c r="B19" s="68">
        <v>14</v>
      </c>
      <c r="C19" s="68" t="s">
        <v>211</v>
      </c>
      <c r="D19" s="69" t="s">
        <v>231</v>
      </c>
      <c r="E19" s="69" t="s">
        <v>241</v>
      </c>
      <c r="F19" s="69" t="s">
        <v>242</v>
      </c>
      <c r="G19" s="66">
        <v>367</v>
      </c>
      <c r="H19" s="68" t="s">
        <v>222</v>
      </c>
      <c r="J19" s="62" t="str">
        <f t="shared" si="0"/>
        <v>토공|흙깍기(리핑암)</v>
      </c>
    </row>
    <row r="20" spans="2:10" ht="15">
      <c r="B20" s="63">
        <v>15</v>
      </c>
      <c r="C20" s="63" t="s">
        <v>211</v>
      </c>
      <c r="D20" s="64" t="s">
        <v>231</v>
      </c>
      <c r="E20" s="64" t="s">
        <v>243</v>
      </c>
      <c r="F20" s="64" t="s">
        <v>244</v>
      </c>
      <c r="G20" s="66">
        <v>27</v>
      </c>
      <c r="H20" s="63" t="s">
        <v>222</v>
      </c>
      <c r="J20" s="62" t="str">
        <f t="shared" si="0"/>
        <v>토공|흙깍기(발파암-브레이커)</v>
      </c>
    </row>
    <row r="21" spans="2:10" ht="15">
      <c r="B21" s="68">
        <v>16</v>
      </c>
      <c r="C21" s="68" t="s">
        <v>211</v>
      </c>
      <c r="D21" s="69" t="s">
        <v>231</v>
      </c>
      <c r="E21" s="69" t="s">
        <v>245</v>
      </c>
      <c r="F21" s="69" t="s">
        <v>246</v>
      </c>
      <c r="G21" s="66">
        <v>83</v>
      </c>
      <c r="H21" s="68" t="s">
        <v>222</v>
      </c>
      <c r="J21" s="62" t="str">
        <f t="shared" si="0"/>
        <v>토공|흙깍기(발파암-진동제어)</v>
      </c>
    </row>
    <row r="22" spans="2:10" ht="15">
      <c r="B22" s="63">
        <v>17</v>
      </c>
      <c r="C22" s="63" t="s">
        <v>211</v>
      </c>
      <c r="D22" s="64" t="s">
        <v>231</v>
      </c>
      <c r="E22" s="64" t="s">
        <v>247</v>
      </c>
      <c r="F22" s="64" t="s">
        <v>248</v>
      </c>
      <c r="G22" s="66">
        <v>349</v>
      </c>
      <c r="H22" s="63" t="s">
        <v>222</v>
      </c>
      <c r="J22" s="62" t="str">
        <f t="shared" si="0"/>
        <v>토공|터파기(토사)</v>
      </c>
    </row>
    <row r="23" spans="2:10" ht="15">
      <c r="B23" s="68">
        <v>18</v>
      </c>
      <c r="C23" s="68" t="s">
        <v>211</v>
      </c>
      <c r="D23" s="69" t="s">
        <v>231</v>
      </c>
      <c r="E23" s="69" t="s">
        <v>249</v>
      </c>
      <c r="F23" s="69" t="s">
        <v>250</v>
      </c>
      <c r="G23" s="66">
        <v>25</v>
      </c>
      <c r="H23" s="68" t="s">
        <v>222</v>
      </c>
      <c r="J23" s="62" t="str">
        <f t="shared" si="0"/>
        <v>토공|터파기(리핑암)</v>
      </c>
    </row>
    <row r="24" spans="2:10" ht="15">
      <c r="B24" s="63">
        <v>19</v>
      </c>
      <c r="C24" s="63" t="s">
        <v>211</v>
      </c>
      <c r="D24" s="64" t="s">
        <v>231</v>
      </c>
      <c r="E24" s="64" t="s">
        <v>251</v>
      </c>
      <c r="F24" s="64" t="s">
        <v>250</v>
      </c>
      <c r="G24" s="66">
        <v>18</v>
      </c>
      <c r="H24" s="63" t="s">
        <v>222</v>
      </c>
      <c r="J24" s="62" t="str">
        <f t="shared" si="0"/>
        <v>토공|터파기(발파암)</v>
      </c>
    </row>
    <row r="25" spans="2:10" ht="15">
      <c r="B25" s="68">
        <v>20</v>
      </c>
      <c r="C25" s="68" t="s">
        <v>211</v>
      </c>
      <c r="D25" s="69" t="s">
        <v>231</v>
      </c>
      <c r="E25" s="69" t="s">
        <v>252</v>
      </c>
      <c r="F25" s="69" t="s">
        <v>253</v>
      </c>
      <c r="G25" s="66">
        <v>745</v>
      </c>
      <c r="H25" s="68" t="s">
        <v>222</v>
      </c>
      <c r="J25" s="62" t="str">
        <f t="shared" si="0"/>
        <v>토공|흙쌓기(노상)</v>
      </c>
    </row>
    <row r="26" spans="2:10" ht="15">
      <c r="B26" s="63">
        <v>21</v>
      </c>
      <c r="C26" s="63" t="s">
        <v>211</v>
      </c>
      <c r="D26" s="64" t="s">
        <v>231</v>
      </c>
      <c r="E26" s="64" t="s">
        <v>254</v>
      </c>
      <c r="F26" s="64" t="s">
        <v>253</v>
      </c>
      <c r="G26" s="66">
        <v>1118</v>
      </c>
      <c r="H26" s="63" t="s">
        <v>222</v>
      </c>
      <c r="J26" s="62" t="str">
        <f t="shared" si="0"/>
        <v>토공|흙쌓기(노체)</v>
      </c>
    </row>
    <row r="27" spans="2:10" ht="15">
      <c r="B27" s="68">
        <v>22</v>
      </c>
      <c r="C27" s="68" t="s">
        <v>211</v>
      </c>
      <c r="D27" s="69" t="s">
        <v>231</v>
      </c>
      <c r="E27" s="69" t="s">
        <v>255</v>
      </c>
      <c r="F27" s="69" t="s">
        <v>256</v>
      </c>
      <c r="G27" s="66">
        <v>647</v>
      </c>
      <c r="H27" s="68" t="s">
        <v>222</v>
      </c>
      <c r="J27" s="62" t="str">
        <f t="shared" si="0"/>
        <v>토공|암쌓기</v>
      </c>
    </row>
    <row r="28" spans="2:10" ht="15">
      <c r="B28" s="63">
        <v>23</v>
      </c>
      <c r="C28" s="63" t="s">
        <v>211</v>
      </c>
      <c r="D28" s="64" t="s">
        <v>231</v>
      </c>
      <c r="E28" s="64" t="s">
        <v>257</v>
      </c>
      <c r="F28" s="64" t="s">
        <v>258</v>
      </c>
      <c r="G28" s="66">
        <v>42</v>
      </c>
      <c r="H28" s="63" t="s">
        <v>222</v>
      </c>
      <c r="J28" s="62" t="str">
        <f t="shared" si="0"/>
        <v>토공|되메우기</v>
      </c>
    </row>
    <row r="29" spans="2:10" ht="15">
      <c r="B29" s="68">
        <v>24</v>
      </c>
      <c r="C29" s="68" t="s">
        <v>211</v>
      </c>
      <c r="D29" s="69" t="s">
        <v>259</v>
      </c>
      <c r="E29" s="69" t="s">
        <v>260</v>
      </c>
      <c r="F29" s="70" t="s">
        <v>214</v>
      </c>
      <c r="G29" s="66">
        <v>3571</v>
      </c>
      <c r="H29" s="68" t="s">
        <v>225</v>
      </c>
      <c r="J29" s="62" t="str">
        <f t="shared" si="0"/>
        <v>연약지반|매트부설(PP,PET)</v>
      </c>
    </row>
    <row r="30" spans="2:10" ht="15">
      <c r="B30" s="63">
        <v>25</v>
      </c>
      <c r="C30" s="63" t="s">
        <v>211</v>
      </c>
      <c r="D30" s="64" t="s">
        <v>259</v>
      </c>
      <c r="E30" s="64" t="s">
        <v>261</v>
      </c>
      <c r="F30" s="64" t="s">
        <v>262</v>
      </c>
      <c r="G30" s="66">
        <v>421</v>
      </c>
      <c r="H30" s="63" t="s">
        <v>222</v>
      </c>
      <c r="J30" s="62" t="str">
        <f t="shared" si="0"/>
        <v>연약지반|샌드매트 포설</v>
      </c>
    </row>
    <row r="31" spans="2:10" ht="15">
      <c r="B31" s="68">
        <v>26</v>
      </c>
      <c r="C31" s="68" t="s">
        <v>211</v>
      </c>
      <c r="D31" s="69" t="s">
        <v>259</v>
      </c>
      <c r="E31" s="70" t="s">
        <v>263</v>
      </c>
      <c r="F31" s="70" t="s">
        <v>264</v>
      </c>
      <c r="G31" s="66">
        <v>9396</v>
      </c>
      <c r="H31" s="67" t="s">
        <v>218</v>
      </c>
      <c r="J31" s="62" t="str">
        <f t="shared" si="0"/>
        <v>연약지반|PBD</v>
      </c>
    </row>
    <row r="32" spans="2:10" ht="15">
      <c r="B32" s="63">
        <v>27</v>
      </c>
      <c r="C32" s="63" t="s">
        <v>211</v>
      </c>
      <c r="D32" s="64" t="s">
        <v>259</v>
      </c>
      <c r="E32" s="64" t="s">
        <v>265</v>
      </c>
      <c r="F32" s="64" t="s">
        <v>266</v>
      </c>
      <c r="G32" s="66">
        <v>14</v>
      </c>
      <c r="H32" s="63" t="s">
        <v>228</v>
      </c>
      <c r="J32" s="62" t="str">
        <f t="shared" si="0"/>
        <v>연약지반|활동방지공(SCP)</v>
      </c>
    </row>
    <row r="33" spans="2:10" ht="15">
      <c r="B33" s="68">
        <v>28</v>
      </c>
      <c r="C33" s="68" t="s">
        <v>211</v>
      </c>
      <c r="D33" s="69" t="s">
        <v>259</v>
      </c>
      <c r="E33" s="69" t="s">
        <v>267</v>
      </c>
      <c r="F33" s="69" t="s">
        <v>268</v>
      </c>
      <c r="G33" s="66">
        <v>2.2000000000000002</v>
      </c>
      <c r="H33" s="68" t="s">
        <v>228</v>
      </c>
      <c r="J33" s="62" t="str">
        <f t="shared" si="0"/>
        <v>연약지반|지반보강(고압분사)</v>
      </c>
    </row>
    <row r="34" spans="2:10" ht="15">
      <c r="B34" s="63">
        <v>29</v>
      </c>
      <c r="C34" s="63" t="s">
        <v>211</v>
      </c>
      <c r="D34" s="64" t="s">
        <v>269</v>
      </c>
      <c r="E34" s="64" t="s">
        <v>270</v>
      </c>
      <c r="F34" s="65" t="s">
        <v>271</v>
      </c>
      <c r="G34" s="66">
        <v>0.35699999999999998</v>
      </c>
      <c r="H34" s="28" t="s">
        <v>272</v>
      </c>
      <c r="J34" s="62" t="str">
        <f t="shared" si="0"/>
        <v>배수공|암거공(지중강판)</v>
      </c>
    </row>
    <row r="35" spans="2:10" ht="15">
      <c r="B35" s="68">
        <v>30</v>
      </c>
      <c r="C35" s="68" t="s">
        <v>211</v>
      </c>
      <c r="D35" s="69" t="s">
        <v>269</v>
      </c>
      <c r="E35" s="69" t="s">
        <v>273</v>
      </c>
      <c r="F35" s="70" t="s">
        <v>274</v>
      </c>
      <c r="G35" s="66">
        <v>0.55600000000000005</v>
      </c>
      <c r="H35" s="67" t="s">
        <v>272</v>
      </c>
      <c r="J35" s="62" t="str">
        <f t="shared" si="0"/>
        <v>배수공|암거공(철콘)</v>
      </c>
    </row>
    <row r="36" spans="2:10" ht="15">
      <c r="B36" s="63">
        <v>31</v>
      </c>
      <c r="C36" s="63" t="s">
        <v>211</v>
      </c>
      <c r="D36" s="64" t="s">
        <v>269</v>
      </c>
      <c r="E36" s="64" t="s">
        <v>275</v>
      </c>
      <c r="F36" s="65" t="s">
        <v>276</v>
      </c>
      <c r="G36" s="66">
        <v>7.6999999999999999E-2</v>
      </c>
      <c r="H36" s="63" t="s">
        <v>215</v>
      </c>
      <c r="J36" s="62" t="str">
        <f t="shared" si="0"/>
        <v>배수공|날개벽</v>
      </c>
    </row>
    <row r="37" spans="2:10" ht="15">
      <c r="B37" s="68">
        <v>32</v>
      </c>
      <c r="C37" s="68" t="s">
        <v>211</v>
      </c>
      <c r="D37" s="69" t="s">
        <v>269</v>
      </c>
      <c r="E37" s="69" t="s">
        <v>277</v>
      </c>
      <c r="F37" s="70" t="s">
        <v>278</v>
      </c>
      <c r="G37" s="66">
        <v>43</v>
      </c>
      <c r="H37" s="67" t="s">
        <v>218</v>
      </c>
      <c r="J37" s="62" t="str">
        <f t="shared" si="0"/>
        <v>배수공|배수관(흄관/VR)</v>
      </c>
    </row>
    <row r="38" spans="2:10" ht="15">
      <c r="B38" s="63">
        <v>33</v>
      </c>
      <c r="C38" s="63" t="s">
        <v>211</v>
      </c>
      <c r="D38" s="64" t="s">
        <v>269</v>
      </c>
      <c r="E38" s="64" t="s">
        <v>279</v>
      </c>
      <c r="F38" s="65" t="s">
        <v>280</v>
      </c>
      <c r="G38" s="66">
        <v>38</v>
      </c>
      <c r="H38" s="28" t="s">
        <v>218</v>
      </c>
      <c r="J38" s="62" t="str">
        <f t="shared" ref="J38:J69" si="1">D38&amp;"|"&amp;E38</f>
        <v>배수공|배수관(강관)</v>
      </c>
    </row>
    <row r="39" spans="2:10" ht="15">
      <c r="B39" s="68">
        <v>34</v>
      </c>
      <c r="C39" s="68" t="s">
        <v>211</v>
      </c>
      <c r="D39" s="69" t="s">
        <v>269</v>
      </c>
      <c r="E39" s="69" t="s">
        <v>281</v>
      </c>
      <c r="F39" s="70" t="s">
        <v>282</v>
      </c>
      <c r="G39" s="66">
        <v>3</v>
      </c>
      <c r="H39" s="67" t="s">
        <v>218</v>
      </c>
      <c r="J39" s="62" t="str">
        <f t="shared" si="1"/>
        <v>배수공|배수관(강관압입추진)</v>
      </c>
    </row>
    <row r="40" spans="2:10" ht="15">
      <c r="B40" s="63">
        <v>35</v>
      </c>
      <c r="C40" s="63" t="s">
        <v>211</v>
      </c>
      <c r="D40" s="64" t="s">
        <v>269</v>
      </c>
      <c r="E40" s="64" t="s">
        <v>283</v>
      </c>
      <c r="F40" s="65" t="s">
        <v>284</v>
      </c>
      <c r="G40" s="66">
        <v>0.6</v>
      </c>
      <c r="H40" s="28" t="s">
        <v>272</v>
      </c>
      <c r="J40" s="62" t="str">
        <f t="shared" si="1"/>
        <v>배수공|옹벽(콘크리트)</v>
      </c>
    </row>
    <row r="41" spans="2:10" ht="15">
      <c r="B41" s="68">
        <v>36</v>
      </c>
      <c r="C41" s="68" t="s">
        <v>211</v>
      </c>
      <c r="D41" s="69" t="s">
        <v>269</v>
      </c>
      <c r="E41" s="69" t="s">
        <v>285</v>
      </c>
      <c r="F41" s="69" t="s">
        <v>286</v>
      </c>
      <c r="G41" s="66">
        <v>14</v>
      </c>
      <c r="H41" s="68" t="s">
        <v>225</v>
      </c>
      <c r="J41" s="62" t="str">
        <f t="shared" si="1"/>
        <v>배수공|옹벽(보강토)</v>
      </c>
    </row>
    <row r="42" spans="2:10" ht="15">
      <c r="B42" s="63">
        <v>37</v>
      </c>
      <c r="C42" s="63" t="s">
        <v>211</v>
      </c>
      <c r="D42" s="64" t="s">
        <v>269</v>
      </c>
      <c r="E42" s="65" t="s">
        <v>287</v>
      </c>
      <c r="F42" s="65" t="s">
        <v>288</v>
      </c>
      <c r="G42" s="66">
        <v>2.5</v>
      </c>
      <c r="H42" s="28" t="s">
        <v>272</v>
      </c>
      <c r="J42" s="62" t="str">
        <f t="shared" si="1"/>
        <v>배수공|L형측구</v>
      </c>
    </row>
    <row r="43" spans="2:10" ht="15">
      <c r="B43" s="68">
        <v>38</v>
      </c>
      <c r="C43" s="68" t="s">
        <v>211</v>
      </c>
      <c r="D43" s="69" t="s">
        <v>269</v>
      </c>
      <c r="E43" s="70" t="s">
        <v>289</v>
      </c>
      <c r="F43" s="70" t="s">
        <v>290</v>
      </c>
      <c r="G43" s="66">
        <v>2.222</v>
      </c>
      <c r="H43" s="67" t="s">
        <v>272</v>
      </c>
      <c r="J43" s="62" t="str">
        <f t="shared" si="1"/>
        <v>배수공|U형측구</v>
      </c>
    </row>
    <row r="44" spans="2:10" ht="15">
      <c r="B44" s="63">
        <v>39</v>
      </c>
      <c r="C44" s="63" t="s">
        <v>211</v>
      </c>
      <c r="D44" s="64" t="s">
        <v>291</v>
      </c>
      <c r="E44" s="64" t="s">
        <v>292</v>
      </c>
      <c r="F44" s="64" t="s">
        <v>293</v>
      </c>
      <c r="G44" s="66">
        <v>550</v>
      </c>
      <c r="H44" s="63" t="s">
        <v>222</v>
      </c>
      <c r="J44" s="62" t="str">
        <f t="shared" si="1"/>
        <v>포장|아스팔트 보조기층</v>
      </c>
    </row>
    <row r="45" spans="2:10" ht="15">
      <c r="B45" s="68">
        <v>40</v>
      </c>
      <c r="C45" s="68" t="s">
        <v>211</v>
      </c>
      <c r="D45" s="69" t="s">
        <v>291</v>
      </c>
      <c r="E45" s="69" t="s">
        <v>294</v>
      </c>
      <c r="F45" s="70" t="s">
        <v>295</v>
      </c>
      <c r="G45" s="66">
        <v>4900</v>
      </c>
      <c r="H45" s="68" t="s">
        <v>225</v>
      </c>
      <c r="J45" s="62" t="str">
        <f t="shared" si="1"/>
        <v>포장|아스팔트 기층(5~7㎝)</v>
      </c>
    </row>
    <row r="46" spans="2:10" ht="15">
      <c r="B46" s="63">
        <v>41</v>
      </c>
      <c r="C46" s="63" t="s">
        <v>211</v>
      </c>
      <c r="D46" s="64" t="s">
        <v>291</v>
      </c>
      <c r="E46" s="64" t="s">
        <v>296</v>
      </c>
      <c r="F46" s="65" t="s">
        <v>295</v>
      </c>
      <c r="G46" s="66">
        <v>4500</v>
      </c>
      <c r="H46" s="63" t="s">
        <v>225</v>
      </c>
      <c r="J46" s="62" t="str">
        <f t="shared" si="1"/>
        <v>포장|아스팔트 기층(8~10㎝)</v>
      </c>
    </row>
    <row r="47" spans="2:10" ht="15">
      <c r="B47" s="68">
        <v>42</v>
      </c>
      <c r="C47" s="68" t="s">
        <v>211</v>
      </c>
      <c r="D47" s="69" t="s">
        <v>291</v>
      </c>
      <c r="E47" s="69" t="s">
        <v>297</v>
      </c>
      <c r="F47" s="70" t="s">
        <v>298</v>
      </c>
      <c r="G47" s="66">
        <v>4800</v>
      </c>
      <c r="H47" s="68" t="s">
        <v>225</v>
      </c>
      <c r="J47" s="62" t="str">
        <f t="shared" si="1"/>
        <v>포장|아스팔트 중간/표층</v>
      </c>
    </row>
    <row r="48" spans="2:10" ht="15">
      <c r="B48" s="63">
        <v>43</v>
      </c>
      <c r="C48" s="63" t="s">
        <v>211</v>
      </c>
      <c r="D48" s="64" t="s">
        <v>291</v>
      </c>
      <c r="E48" s="64" t="s">
        <v>299</v>
      </c>
      <c r="F48" s="64" t="s">
        <v>300</v>
      </c>
      <c r="G48" s="66">
        <v>550</v>
      </c>
      <c r="H48" s="63" t="s">
        <v>222</v>
      </c>
      <c r="J48" s="62" t="str">
        <f t="shared" si="1"/>
        <v>포장|린콘크리트</v>
      </c>
    </row>
    <row r="49" spans="2:10" ht="15">
      <c r="B49" s="68">
        <v>44</v>
      </c>
      <c r="C49" s="68" t="s">
        <v>211</v>
      </c>
      <c r="D49" s="69" t="s">
        <v>291</v>
      </c>
      <c r="E49" s="69" t="s">
        <v>301</v>
      </c>
      <c r="F49" s="69" t="s">
        <v>302</v>
      </c>
      <c r="G49" s="66">
        <v>300</v>
      </c>
      <c r="H49" s="68" t="s">
        <v>222</v>
      </c>
      <c r="J49" s="62" t="str">
        <f t="shared" si="1"/>
        <v>포장|콘크리트표층(1차로)</v>
      </c>
    </row>
    <row r="50" spans="2:10" ht="15">
      <c r="B50" s="63">
        <v>45</v>
      </c>
      <c r="C50" s="63" t="s">
        <v>211</v>
      </c>
      <c r="D50" s="64" t="s">
        <v>291</v>
      </c>
      <c r="E50" s="64" t="s">
        <v>303</v>
      </c>
      <c r="F50" s="64" t="s">
        <v>302</v>
      </c>
      <c r="G50" s="66">
        <v>700</v>
      </c>
      <c r="H50" s="63" t="s">
        <v>222</v>
      </c>
      <c r="J50" s="62" t="str">
        <f t="shared" si="1"/>
        <v>포장|콘크리트표층(2차로)</v>
      </c>
    </row>
    <row r="51" spans="2:10" ht="15">
      <c r="B51" s="68">
        <v>46</v>
      </c>
      <c r="C51" s="68" t="s">
        <v>211</v>
      </c>
      <c r="D51" s="69" t="s">
        <v>304</v>
      </c>
      <c r="E51" s="69" t="s">
        <v>305</v>
      </c>
      <c r="F51" s="70" t="s">
        <v>306</v>
      </c>
      <c r="G51" s="66">
        <v>5.6000000000000001E-2</v>
      </c>
      <c r="H51" s="68" t="s">
        <v>215</v>
      </c>
      <c r="J51" s="62" t="str">
        <f t="shared" si="1"/>
        <v>교량|직접기초</v>
      </c>
    </row>
    <row r="52" spans="2:10" ht="15">
      <c r="B52" s="63">
        <v>47</v>
      </c>
      <c r="C52" s="63" t="s">
        <v>211</v>
      </c>
      <c r="D52" s="64" t="s">
        <v>304</v>
      </c>
      <c r="E52" s="64" t="s">
        <v>307</v>
      </c>
      <c r="F52" s="65" t="s">
        <v>308</v>
      </c>
      <c r="G52" s="66">
        <v>8</v>
      </c>
      <c r="H52" s="63" t="s">
        <v>228</v>
      </c>
      <c r="J52" s="62" t="str">
        <f t="shared" si="1"/>
        <v>교량|말뚝기초</v>
      </c>
    </row>
    <row r="53" spans="2:10" ht="15">
      <c r="B53" s="68">
        <v>48</v>
      </c>
      <c r="C53" s="68" t="s">
        <v>211</v>
      </c>
      <c r="D53" s="69" t="s">
        <v>304</v>
      </c>
      <c r="E53" s="69" t="s">
        <v>309</v>
      </c>
      <c r="F53" s="70" t="s">
        <v>310</v>
      </c>
      <c r="G53" s="66">
        <v>0.25</v>
      </c>
      <c r="H53" s="67" t="s">
        <v>311</v>
      </c>
      <c r="J53" s="62" t="str">
        <f t="shared" si="1"/>
        <v>교량|교대벽체</v>
      </c>
    </row>
    <row r="54" spans="2:10" ht="15">
      <c r="B54" s="63">
        <v>49</v>
      </c>
      <c r="C54" s="63" t="s">
        <v>211</v>
      </c>
      <c r="D54" s="64" t="s">
        <v>304</v>
      </c>
      <c r="E54" s="64" t="s">
        <v>312</v>
      </c>
      <c r="F54" s="65" t="s">
        <v>313</v>
      </c>
      <c r="G54" s="66">
        <v>0.42899999999999999</v>
      </c>
      <c r="H54" s="28" t="s">
        <v>311</v>
      </c>
      <c r="J54" s="62" t="str">
        <f t="shared" si="1"/>
        <v>교량|교각기둥</v>
      </c>
    </row>
    <row r="55" spans="2:10" ht="15">
      <c r="B55" s="68">
        <v>50</v>
      </c>
      <c r="C55" s="68" t="s">
        <v>211</v>
      </c>
      <c r="D55" s="69" t="s">
        <v>304</v>
      </c>
      <c r="E55" s="69" t="s">
        <v>314</v>
      </c>
      <c r="F55" s="70" t="s">
        <v>306</v>
      </c>
      <c r="G55" s="66">
        <v>0.05</v>
      </c>
      <c r="H55" s="68" t="s">
        <v>215</v>
      </c>
      <c r="J55" s="62" t="str">
        <f t="shared" si="1"/>
        <v>교량|코핑</v>
      </c>
    </row>
    <row r="56" spans="2:10" ht="15">
      <c r="B56" s="63">
        <v>51</v>
      </c>
      <c r="C56" s="63" t="s">
        <v>211</v>
      </c>
      <c r="D56" s="64" t="s">
        <v>304</v>
      </c>
      <c r="E56" s="64" t="s">
        <v>315</v>
      </c>
      <c r="F56" s="65" t="s">
        <v>316</v>
      </c>
      <c r="G56" s="66">
        <v>5.6000000000000001E-2</v>
      </c>
      <c r="H56" s="63" t="s">
        <v>228</v>
      </c>
      <c r="J56" s="62" t="str">
        <f t="shared" si="1"/>
        <v>교량|거더제작</v>
      </c>
    </row>
    <row r="57" spans="2:10" ht="15">
      <c r="B57" s="68">
        <v>52</v>
      </c>
      <c r="C57" s="68" t="s">
        <v>211</v>
      </c>
      <c r="D57" s="69" t="s">
        <v>304</v>
      </c>
      <c r="E57" s="69" t="s">
        <v>317</v>
      </c>
      <c r="F57" s="70" t="s">
        <v>214</v>
      </c>
      <c r="G57" s="66">
        <v>2</v>
      </c>
      <c r="H57" s="68" t="s">
        <v>228</v>
      </c>
      <c r="J57" s="62" t="str">
        <f t="shared" si="1"/>
        <v>교량|거더 운반/거치</v>
      </c>
    </row>
    <row r="58" spans="2:10" ht="15">
      <c r="B58" s="63">
        <v>53</v>
      </c>
      <c r="C58" s="63" t="s">
        <v>211</v>
      </c>
      <c r="D58" s="64" t="s">
        <v>304</v>
      </c>
      <c r="E58" s="64" t="s">
        <v>318</v>
      </c>
      <c r="F58" s="65" t="s">
        <v>319</v>
      </c>
      <c r="G58" s="66">
        <v>0.04</v>
      </c>
      <c r="H58" s="63" t="s">
        <v>320</v>
      </c>
      <c r="J58" s="62" t="str">
        <f t="shared" si="1"/>
        <v>교량|상부슬래브(1경간)</v>
      </c>
    </row>
    <row r="59" spans="2:10" ht="15">
      <c r="B59" s="68">
        <v>54</v>
      </c>
      <c r="C59" s="68" t="s">
        <v>211</v>
      </c>
      <c r="D59" s="69" t="s">
        <v>321</v>
      </c>
      <c r="E59" s="69" t="s">
        <v>322</v>
      </c>
      <c r="F59" s="69" t="s">
        <v>323</v>
      </c>
      <c r="G59" s="66">
        <v>0.04</v>
      </c>
      <c r="H59" s="68" t="s">
        <v>215</v>
      </c>
      <c r="J59" s="62" t="str">
        <f t="shared" si="1"/>
        <v>터널|갱구부 보강</v>
      </c>
    </row>
    <row r="60" spans="2:10" ht="15">
      <c r="B60" s="63">
        <v>55</v>
      </c>
      <c r="C60" s="63" t="s">
        <v>211</v>
      </c>
      <c r="D60" s="64" t="s">
        <v>321</v>
      </c>
      <c r="E60" s="64" t="s">
        <v>324</v>
      </c>
      <c r="F60" s="64" t="s">
        <v>325</v>
      </c>
      <c r="G60" s="66">
        <v>4.3</v>
      </c>
      <c r="H60" s="28" t="s">
        <v>218</v>
      </c>
      <c r="J60" s="62" t="str">
        <f t="shared" si="1"/>
        <v>터널|굴착및보강 P-1</v>
      </c>
    </row>
    <row r="61" spans="2:10" ht="15">
      <c r="B61" s="68">
        <v>56</v>
      </c>
      <c r="C61" s="68" t="s">
        <v>211</v>
      </c>
      <c r="D61" s="69" t="s">
        <v>321</v>
      </c>
      <c r="E61" s="69" t="s">
        <v>326</v>
      </c>
      <c r="F61" s="69" t="s">
        <v>325</v>
      </c>
      <c r="G61" s="66">
        <v>2.9</v>
      </c>
      <c r="H61" s="67" t="s">
        <v>218</v>
      </c>
      <c r="J61" s="62" t="str">
        <f t="shared" si="1"/>
        <v>터널|굴착및보강 P-3</v>
      </c>
    </row>
    <row r="62" spans="2:10" ht="15">
      <c r="B62" s="63">
        <v>57</v>
      </c>
      <c r="C62" s="63" t="s">
        <v>211</v>
      </c>
      <c r="D62" s="64" t="s">
        <v>321</v>
      </c>
      <c r="E62" s="64" t="s">
        <v>327</v>
      </c>
      <c r="F62" s="64" t="s">
        <v>325</v>
      </c>
      <c r="G62" s="66">
        <v>2.2000000000000002</v>
      </c>
      <c r="H62" s="28" t="s">
        <v>218</v>
      </c>
      <c r="J62" s="62" t="str">
        <f t="shared" si="1"/>
        <v>터널|굴착및보강 P-5(상반)</v>
      </c>
    </row>
    <row r="63" spans="2:10" ht="15">
      <c r="B63" s="68">
        <v>58</v>
      </c>
      <c r="C63" s="68" t="s">
        <v>211</v>
      </c>
      <c r="D63" s="69" t="s">
        <v>321</v>
      </c>
      <c r="E63" s="69" t="s">
        <v>328</v>
      </c>
      <c r="F63" s="70" t="s">
        <v>214</v>
      </c>
      <c r="G63" s="66">
        <v>50</v>
      </c>
      <c r="H63" s="67" t="s">
        <v>218</v>
      </c>
      <c r="J63" s="62" t="str">
        <f t="shared" si="1"/>
        <v>터널|방수</v>
      </c>
    </row>
    <row r="64" spans="2:10" ht="15">
      <c r="B64" s="63">
        <v>59</v>
      </c>
      <c r="C64" s="63" t="s">
        <v>211</v>
      </c>
      <c r="D64" s="64" t="s">
        <v>321</v>
      </c>
      <c r="E64" s="64" t="s">
        <v>329</v>
      </c>
      <c r="F64" s="65" t="s">
        <v>214</v>
      </c>
      <c r="G64" s="66">
        <v>3.3330000000000002</v>
      </c>
      <c r="H64" s="28" t="s">
        <v>218</v>
      </c>
      <c r="J64" s="62" t="str">
        <f t="shared" si="1"/>
        <v>터널|라이닝 콘크리트</v>
      </c>
    </row>
    <row r="65" spans="2:10" ht="15">
      <c r="B65" s="68">
        <v>60</v>
      </c>
      <c r="C65" s="68" t="s">
        <v>330</v>
      </c>
      <c r="D65" s="69" t="s">
        <v>331</v>
      </c>
      <c r="E65" s="69" t="s">
        <v>332</v>
      </c>
      <c r="F65" s="69" t="s">
        <v>333</v>
      </c>
      <c r="G65" s="66">
        <v>8</v>
      </c>
      <c r="H65" s="68" t="s">
        <v>334</v>
      </c>
      <c r="J65" s="62" t="str">
        <f t="shared" si="1"/>
        <v>가설|콘테이너형 가설건축물</v>
      </c>
    </row>
    <row r="66" spans="2:10" ht="15">
      <c r="B66" s="63">
        <v>61</v>
      </c>
      <c r="C66" s="63" t="s">
        <v>330</v>
      </c>
      <c r="D66" s="64" t="s">
        <v>331</v>
      </c>
      <c r="E66" s="64" t="s">
        <v>335</v>
      </c>
      <c r="F66" s="64" t="s">
        <v>336</v>
      </c>
      <c r="G66" s="66">
        <v>100</v>
      </c>
      <c r="H66" s="28" t="s">
        <v>218</v>
      </c>
      <c r="J66" s="62" t="str">
        <f t="shared" si="1"/>
        <v>가설|강관지주 설치</v>
      </c>
    </row>
    <row r="67" spans="2:10" ht="15">
      <c r="B67" s="68">
        <v>62</v>
      </c>
      <c r="C67" s="68" t="s">
        <v>330</v>
      </c>
      <c r="D67" s="69" t="s">
        <v>331</v>
      </c>
      <c r="E67" s="69" t="s">
        <v>337</v>
      </c>
      <c r="F67" s="69" t="s">
        <v>338</v>
      </c>
      <c r="G67" s="66">
        <v>115</v>
      </c>
      <c r="H67" s="67" t="s">
        <v>218</v>
      </c>
      <c r="J67" s="62" t="str">
        <f t="shared" si="1"/>
        <v>가설|가설울타리(EGI)</v>
      </c>
    </row>
    <row r="68" spans="2:10" ht="15">
      <c r="B68" s="63">
        <v>63</v>
      </c>
      <c r="C68" s="63" t="s">
        <v>330</v>
      </c>
      <c r="D68" s="64" t="s">
        <v>331</v>
      </c>
      <c r="E68" s="64" t="s">
        <v>339</v>
      </c>
      <c r="F68" s="64" t="s">
        <v>340</v>
      </c>
      <c r="G68" s="66">
        <v>60</v>
      </c>
      <c r="H68" s="63" t="s">
        <v>225</v>
      </c>
      <c r="J68" s="62" t="str">
        <f t="shared" si="1"/>
        <v>가설|강관비계</v>
      </c>
    </row>
    <row r="69" spans="2:10" ht="15">
      <c r="B69" s="68">
        <v>64</v>
      </c>
      <c r="C69" s="68" t="s">
        <v>330</v>
      </c>
      <c r="D69" s="69" t="s">
        <v>331</v>
      </c>
      <c r="E69" s="69" t="s">
        <v>341</v>
      </c>
      <c r="F69" s="70" t="s">
        <v>342</v>
      </c>
      <c r="G69" s="66">
        <v>100</v>
      </c>
      <c r="H69" s="68" t="s">
        <v>225</v>
      </c>
      <c r="J69" s="62" t="str">
        <f t="shared" si="1"/>
        <v>가설|시스템비계</v>
      </c>
    </row>
    <row r="70" spans="2:10" ht="15">
      <c r="B70" s="63">
        <v>65</v>
      </c>
      <c r="C70" s="63" t="s">
        <v>330</v>
      </c>
      <c r="D70" s="64" t="s">
        <v>231</v>
      </c>
      <c r="E70" s="64" t="s">
        <v>343</v>
      </c>
      <c r="F70" s="64" t="s">
        <v>344</v>
      </c>
      <c r="G70" s="66">
        <v>560</v>
      </c>
      <c r="H70" s="63" t="s">
        <v>222</v>
      </c>
      <c r="J70" s="62" t="str">
        <f t="shared" ref="J70:J101" si="2">D70&amp;"|"&amp;E70</f>
        <v>토공|토사굴착(0.6㎥)</v>
      </c>
    </row>
    <row r="71" spans="2:10" ht="15">
      <c r="B71" s="68">
        <v>66</v>
      </c>
      <c r="C71" s="68" t="s">
        <v>330</v>
      </c>
      <c r="D71" s="69" t="s">
        <v>231</v>
      </c>
      <c r="E71" s="69" t="s">
        <v>345</v>
      </c>
      <c r="F71" s="69" t="s">
        <v>344</v>
      </c>
      <c r="G71" s="66">
        <v>950</v>
      </c>
      <c r="H71" s="68" t="s">
        <v>222</v>
      </c>
      <c r="J71" s="62" t="str">
        <f t="shared" si="2"/>
        <v>토공|토사굴착(1.0㎥)</v>
      </c>
    </row>
    <row r="72" spans="2:10" ht="15">
      <c r="B72" s="63">
        <v>67</v>
      </c>
      <c r="C72" s="63" t="s">
        <v>330</v>
      </c>
      <c r="D72" s="64" t="s">
        <v>231</v>
      </c>
      <c r="E72" s="64" t="s">
        <v>346</v>
      </c>
      <c r="F72" s="64" t="s">
        <v>347</v>
      </c>
      <c r="G72" s="66">
        <v>380</v>
      </c>
      <c r="H72" s="63" t="s">
        <v>222</v>
      </c>
      <c r="J72" s="62" t="str">
        <f t="shared" si="2"/>
        <v>토공|토사굴착(1.0㎥,지장물)</v>
      </c>
    </row>
    <row r="73" spans="2:10" ht="15">
      <c r="B73" s="68">
        <v>68</v>
      </c>
      <c r="C73" s="68" t="s">
        <v>330</v>
      </c>
      <c r="D73" s="69" t="s">
        <v>231</v>
      </c>
      <c r="E73" s="69" t="s">
        <v>348</v>
      </c>
      <c r="F73" s="69" t="s">
        <v>349</v>
      </c>
      <c r="G73" s="66">
        <v>65</v>
      </c>
      <c r="H73" s="68" t="s">
        <v>222</v>
      </c>
      <c r="J73" s="62" t="str">
        <f t="shared" si="2"/>
        <v>토공|기초지정</v>
      </c>
    </row>
    <row r="74" spans="2:10" ht="15">
      <c r="B74" s="63">
        <v>69</v>
      </c>
      <c r="C74" s="63" t="s">
        <v>330</v>
      </c>
      <c r="D74" s="64" t="s">
        <v>350</v>
      </c>
      <c r="E74" s="64" t="s">
        <v>351</v>
      </c>
      <c r="F74" s="65" t="s">
        <v>352</v>
      </c>
      <c r="G74" s="66">
        <v>10</v>
      </c>
      <c r="H74" s="63" t="s">
        <v>228</v>
      </c>
      <c r="J74" s="62" t="str">
        <f t="shared" si="2"/>
        <v>기초|수평지보공(H-Beam)설치</v>
      </c>
    </row>
    <row r="75" spans="2:10" ht="15">
      <c r="B75" s="68">
        <v>70</v>
      </c>
      <c r="C75" s="68" t="s">
        <v>330</v>
      </c>
      <c r="D75" s="69" t="s">
        <v>350</v>
      </c>
      <c r="E75" s="70" t="s">
        <v>353</v>
      </c>
      <c r="F75" s="70" t="s">
        <v>354</v>
      </c>
      <c r="G75" s="66">
        <v>15</v>
      </c>
      <c r="H75" s="68" t="s">
        <v>228</v>
      </c>
      <c r="J75" s="62" t="str">
        <f t="shared" si="2"/>
        <v>기초|H-Beam 철거</v>
      </c>
    </row>
    <row r="76" spans="2:10" ht="15">
      <c r="B76" s="63">
        <v>71</v>
      </c>
      <c r="C76" s="63" t="s">
        <v>330</v>
      </c>
      <c r="D76" s="64" t="s">
        <v>350</v>
      </c>
      <c r="E76" s="64" t="s">
        <v>355</v>
      </c>
      <c r="F76" s="65" t="s">
        <v>356</v>
      </c>
      <c r="G76" s="66">
        <v>15</v>
      </c>
      <c r="H76" s="63" t="s">
        <v>228</v>
      </c>
      <c r="J76" s="62" t="str">
        <f t="shared" si="2"/>
        <v>기초|기성말뚝기초(PHC)</v>
      </c>
    </row>
    <row r="77" spans="2:10" ht="15">
      <c r="B77" s="68">
        <v>72</v>
      </c>
      <c r="C77" s="68" t="s">
        <v>330</v>
      </c>
      <c r="D77" s="69" t="s">
        <v>350</v>
      </c>
      <c r="E77" s="70" t="s">
        <v>777</v>
      </c>
      <c r="F77" s="70" t="s">
        <v>357</v>
      </c>
      <c r="G77" s="66">
        <v>27</v>
      </c>
      <c r="H77" s="68" t="s">
        <v>228</v>
      </c>
      <c r="J77" s="62" t="str">
        <f t="shared" si="2"/>
        <v>기초|H-Pile 천공</v>
      </c>
    </row>
    <row r="78" spans="2:10" ht="15">
      <c r="B78" s="63">
        <v>73</v>
      </c>
      <c r="C78" s="63" t="s">
        <v>330</v>
      </c>
      <c r="D78" s="64" t="s">
        <v>350</v>
      </c>
      <c r="E78" s="64" t="s">
        <v>358</v>
      </c>
      <c r="F78" s="65" t="s">
        <v>359</v>
      </c>
      <c r="G78" s="66">
        <v>21</v>
      </c>
      <c r="H78" s="63" t="s">
        <v>228</v>
      </c>
      <c r="J78" s="62" t="str">
        <f t="shared" si="2"/>
        <v>기초|강관말뚝 두부정리</v>
      </c>
    </row>
    <row r="79" spans="2:10" ht="15">
      <c r="B79" s="68">
        <v>74</v>
      </c>
      <c r="C79" s="68" t="s">
        <v>330</v>
      </c>
      <c r="D79" s="69" t="s">
        <v>350</v>
      </c>
      <c r="E79" s="69" t="s">
        <v>360</v>
      </c>
      <c r="F79" s="70" t="s">
        <v>359</v>
      </c>
      <c r="G79" s="66">
        <v>18</v>
      </c>
      <c r="H79" s="68" t="s">
        <v>228</v>
      </c>
      <c r="J79" s="62" t="str">
        <f t="shared" si="2"/>
        <v>기초|콘크리트말뚝 두부정리</v>
      </c>
    </row>
    <row r="80" spans="2:10" ht="15">
      <c r="B80" s="63">
        <v>75</v>
      </c>
      <c r="C80" s="63" t="s">
        <v>330</v>
      </c>
      <c r="D80" s="64" t="s">
        <v>361</v>
      </c>
      <c r="E80" s="64" t="s">
        <v>362</v>
      </c>
      <c r="F80" s="65" t="s">
        <v>363</v>
      </c>
      <c r="G80" s="66">
        <v>4</v>
      </c>
      <c r="H80" s="28" t="s">
        <v>364</v>
      </c>
      <c r="J80" s="62" t="str">
        <f t="shared" si="2"/>
        <v>철근콘크리트|철근가공</v>
      </c>
    </row>
    <row r="81" spans="2:10" ht="15">
      <c r="B81" s="68">
        <v>76</v>
      </c>
      <c r="C81" s="68" t="s">
        <v>330</v>
      </c>
      <c r="D81" s="69" t="s">
        <v>361</v>
      </c>
      <c r="E81" s="69" t="s">
        <v>365</v>
      </c>
      <c r="F81" s="70" t="s">
        <v>366</v>
      </c>
      <c r="G81" s="66">
        <v>2.5</v>
      </c>
      <c r="H81" s="67" t="s">
        <v>364</v>
      </c>
      <c r="J81" s="62" t="str">
        <f t="shared" si="2"/>
        <v>철근콘크리트|철근조립(토목)</v>
      </c>
    </row>
    <row r="82" spans="2:10" ht="15">
      <c r="B82" s="63">
        <v>77</v>
      </c>
      <c r="C82" s="63" t="s">
        <v>330</v>
      </c>
      <c r="D82" s="64" t="s">
        <v>361</v>
      </c>
      <c r="E82" s="64" t="s">
        <v>367</v>
      </c>
      <c r="F82" s="65" t="s">
        <v>368</v>
      </c>
      <c r="G82" s="66">
        <v>3.4</v>
      </c>
      <c r="H82" s="28" t="s">
        <v>364</v>
      </c>
      <c r="J82" s="62" t="str">
        <f t="shared" si="2"/>
        <v>철근콘크리트|철근조립(건축Ⅰ)</v>
      </c>
    </row>
    <row r="83" spans="2:10" ht="15">
      <c r="B83" s="68">
        <v>78</v>
      </c>
      <c r="C83" s="68" t="s">
        <v>330</v>
      </c>
      <c r="D83" s="69" t="s">
        <v>361</v>
      </c>
      <c r="E83" s="69" t="s">
        <v>369</v>
      </c>
      <c r="F83" s="70" t="s">
        <v>370</v>
      </c>
      <c r="G83" s="66">
        <v>3</v>
      </c>
      <c r="H83" s="67" t="s">
        <v>364</v>
      </c>
      <c r="J83" s="62" t="str">
        <f t="shared" si="2"/>
        <v>철근콘크리트|철근조립(건축Ⅱ)</v>
      </c>
    </row>
    <row r="84" spans="2:10" ht="15">
      <c r="B84" s="63">
        <v>79</v>
      </c>
      <c r="C84" s="63" t="s">
        <v>330</v>
      </c>
      <c r="D84" s="64" t="s">
        <v>361</v>
      </c>
      <c r="E84" s="64" t="s">
        <v>371</v>
      </c>
      <c r="F84" s="65" t="s">
        <v>372</v>
      </c>
      <c r="G84" s="66">
        <v>60</v>
      </c>
      <c r="H84" s="63" t="s">
        <v>225</v>
      </c>
      <c r="J84" s="62" t="str">
        <f t="shared" si="2"/>
        <v>철근콘크리트|합판거푸집 설치(보통)</v>
      </c>
    </row>
    <row r="85" spans="2:10" ht="15">
      <c r="B85" s="68">
        <v>80</v>
      </c>
      <c r="C85" s="68" t="s">
        <v>330</v>
      </c>
      <c r="D85" s="69" t="s">
        <v>361</v>
      </c>
      <c r="E85" s="69" t="s">
        <v>373</v>
      </c>
      <c r="F85" s="70" t="s">
        <v>372</v>
      </c>
      <c r="G85" s="66">
        <v>40</v>
      </c>
      <c r="H85" s="68" t="s">
        <v>225</v>
      </c>
      <c r="J85" s="62" t="str">
        <f t="shared" si="2"/>
        <v>철근콘크리트|합판거푸집 설치(복잡)</v>
      </c>
    </row>
    <row r="86" spans="2:10" ht="15">
      <c r="B86" s="63">
        <v>81</v>
      </c>
      <c r="C86" s="63" t="s">
        <v>330</v>
      </c>
      <c r="D86" s="64" t="s">
        <v>361</v>
      </c>
      <c r="E86" s="64" t="s">
        <v>374</v>
      </c>
      <c r="F86" s="65" t="s">
        <v>214</v>
      </c>
      <c r="G86" s="66">
        <v>100</v>
      </c>
      <c r="H86" s="63" t="s">
        <v>225</v>
      </c>
      <c r="J86" s="62" t="str">
        <f t="shared" si="2"/>
        <v>철근콘크리트|합판거푸집 해체</v>
      </c>
    </row>
    <row r="87" spans="2:10" ht="15">
      <c r="B87" s="68">
        <v>82</v>
      </c>
      <c r="C87" s="68" t="s">
        <v>330</v>
      </c>
      <c r="D87" s="69" t="s">
        <v>361</v>
      </c>
      <c r="E87" s="69" t="s">
        <v>375</v>
      </c>
      <c r="F87" s="70" t="s">
        <v>376</v>
      </c>
      <c r="G87" s="66">
        <v>50</v>
      </c>
      <c r="H87" s="68" t="s">
        <v>225</v>
      </c>
      <c r="J87" s="62" t="str">
        <f t="shared" si="2"/>
        <v>철근콘크리트|유로폼 설치(보통)</v>
      </c>
    </row>
    <row r="88" spans="2:10" ht="15">
      <c r="B88" s="63">
        <v>83</v>
      </c>
      <c r="C88" s="63" t="s">
        <v>330</v>
      </c>
      <c r="D88" s="64" t="s">
        <v>361</v>
      </c>
      <c r="E88" s="64" t="s">
        <v>377</v>
      </c>
      <c r="F88" s="65" t="s">
        <v>376</v>
      </c>
      <c r="G88" s="66">
        <v>115</v>
      </c>
      <c r="H88" s="63" t="s">
        <v>225</v>
      </c>
      <c r="J88" s="62" t="str">
        <f t="shared" si="2"/>
        <v>철근콘크리트|유로폼 해체</v>
      </c>
    </row>
    <row r="89" spans="2:10" ht="15">
      <c r="B89" s="68">
        <v>84</v>
      </c>
      <c r="C89" s="68" t="s">
        <v>330</v>
      </c>
      <c r="D89" s="69" t="s">
        <v>361</v>
      </c>
      <c r="E89" s="69" t="s">
        <v>378</v>
      </c>
      <c r="F89" s="70" t="s">
        <v>214</v>
      </c>
      <c r="G89" s="66">
        <v>90</v>
      </c>
      <c r="H89" s="68" t="s">
        <v>225</v>
      </c>
      <c r="J89" s="62" t="str">
        <f t="shared" si="2"/>
        <v>철근콘크리트|갱폼 설치/해체(일반층)</v>
      </c>
    </row>
    <row r="90" spans="2:10" ht="15">
      <c r="B90" s="63">
        <v>85</v>
      </c>
      <c r="C90" s="63" t="s">
        <v>330</v>
      </c>
      <c r="D90" s="64" t="s">
        <v>361</v>
      </c>
      <c r="E90" s="64" t="s">
        <v>379</v>
      </c>
      <c r="F90" s="65" t="s">
        <v>342</v>
      </c>
      <c r="G90" s="66">
        <v>69</v>
      </c>
      <c r="H90" s="63" t="s">
        <v>222</v>
      </c>
      <c r="J90" s="62" t="str">
        <f t="shared" si="2"/>
        <v>철근콘크리트|시스템동바리</v>
      </c>
    </row>
    <row r="91" spans="2:10" ht="15">
      <c r="B91" s="68">
        <v>86</v>
      </c>
      <c r="C91" s="68" t="s">
        <v>330</v>
      </c>
      <c r="D91" s="69" t="s">
        <v>361</v>
      </c>
      <c r="E91" s="69" t="s">
        <v>380</v>
      </c>
      <c r="F91" s="69" t="s">
        <v>381</v>
      </c>
      <c r="G91" s="66">
        <v>189</v>
      </c>
      <c r="H91" s="68" t="s">
        <v>222</v>
      </c>
      <c r="J91" s="62" t="str">
        <f t="shared" si="2"/>
        <v>철근콘크리트|콘크리트타설(무근,f1-Ⅰ)</v>
      </c>
    </row>
    <row r="92" spans="2:10" ht="15">
      <c r="B92" s="63">
        <v>87</v>
      </c>
      <c r="C92" s="63" t="s">
        <v>330</v>
      </c>
      <c r="D92" s="64" t="s">
        <v>361</v>
      </c>
      <c r="E92" s="64" t="s">
        <v>382</v>
      </c>
      <c r="F92" s="64" t="s">
        <v>381</v>
      </c>
      <c r="G92" s="66">
        <v>130</v>
      </c>
      <c r="H92" s="63" t="s">
        <v>222</v>
      </c>
      <c r="J92" s="62" t="str">
        <f t="shared" si="2"/>
        <v>철근콘크리트|콘크리트타설(철근,f1-Ⅱ)</v>
      </c>
    </row>
    <row r="93" spans="2:10" ht="15">
      <c r="B93" s="68">
        <v>88</v>
      </c>
      <c r="C93" s="68" t="s">
        <v>330</v>
      </c>
      <c r="D93" s="69" t="s">
        <v>361</v>
      </c>
      <c r="E93" s="69" t="s">
        <v>257</v>
      </c>
      <c r="F93" s="69" t="s">
        <v>383</v>
      </c>
      <c r="G93" s="66">
        <v>42</v>
      </c>
      <c r="H93" s="68" t="s">
        <v>222</v>
      </c>
      <c r="J93" s="62" t="str">
        <f t="shared" si="2"/>
        <v>철근콘크리트|되메우기</v>
      </c>
    </row>
    <row r="94" spans="2:10" ht="15">
      <c r="B94" s="63">
        <v>89</v>
      </c>
      <c r="C94" s="63" t="s">
        <v>330</v>
      </c>
      <c r="D94" s="64" t="s">
        <v>384</v>
      </c>
      <c r="E94" s="64" t="s">
        <v>385</v>
      </c>
      <c r="F94" s="65" t="s">
        <v>386</v>
      </c>
      <c r="G94" s="66">
        <v>11.3</v>
      </c>
      <c r="H94" s="28" t="s">
        <v>364</v>
      </c>
      <c r="J94" s="62" t="str">
        <f t="shared" si="2"/>
        <v>철골|철골 현장세우기</v>
      </c>
    </row>
    <row r="95" spans="2:10" ht="15">
      <c r="B95" s="68">
        <v>90</v>
      </c>
      <c r="C95" s="68" t="s">
        <v>330</v>
      </c>
      <c r="D95" s="69" t="s">
        <v>384</v>
      </c>
      <c r="E95" s="69" t="s">
        <v>387</v>
      </c>
      <c r="F95" s="70" t="s">
        <v>214</v>
      </c>
      <c r="G95" s="66">
        <v>85</v>
      </c>
      <c r="H95" s="68" t="s">
        <v>225</v>
      </c>
      <c r="J95" s="62" t="str">
        <f t="shared" si="2"/>
        <v>철골|데크플레이트 설치</v>
      </c>
    </row>
    <row r="96" spans="2:10" ht="15">
      <c r="B96" s="63">
        <v>91</v>
      </c>
      <c r="C96" s="63" t="s">
        <v>330</v>
      </c>
      <c r="D96" s="64" t="s">
        <v>388</v>
      </c>
      <c r="E96" s="64" t="s">
        <v>389</v>
      </c>
      <c r="F96" s="65" t="s">
        <v>390</v>
      </c>
      <c r="G96" s="66">
        <v>27</v>
      </c>
      <c r="H96" s="63" t="s">
        <v>225</v>
      </c>
      <c r="J96" s="62" t="str">
        <f t="shared" si="2"/>
        <v>마감|벽돌쌓기</v>
      </c>
    </row>
    <row r="97" spans="2:10" ht="15">
      <c r="B97" s="68">
        <v>92</v>
      </c>
      <c r="C97" s="68" t="s">
        <v>330</v>
      </c>
      <c r="D97" s="69" t="s">
        <v>388</v>
      </c>
      <c r="E97" s="69" t="s">
        <v>391</v>
      </c>
      <c r="F97" s="70" t="s">
        <v>392</v>
      </c>
      <c r="G97" s="66">
        <v>14</v>
      </c>
      <c r="H97" s="68" t="s">
        <v>225</v>
      </c>
      <c r="J97" s="62" t="str">
        <f t="shared" si="2"/>
        <v>마감|블록보강쌓기</v>
      </c>
    </row>
    <row r="98" spans="2:10" ht="15">
      <c r="B98" s="63">
        <v>93</v>
      </c>
      <c r="C98" s="63" t="s">
        <v>330</v>
      </c>
      <c r="D98" s="64" t="s">
        <v>388</v>
      </c>
      <c r="E98" s="64" t="s">
        <v>393</v>
      </c>
      <c r="F98" s="65" t="s">
        <v>394</v>
      </c>
      <c r="G98" s="66">
        <v>42</v>
      </c>
      <c r="H98" s="63" t="s">
        <v>225</v>
      </c>
      <c r="J98" s="62" t="str">
        <f t="shared" si="2"/>
        <v>마감|시멘트모르타르 바름</v>
      </c>
    </row>
    <row r="99" spans="2:10" ht="15">
      <c r="B99" s="68">
        <v>94</v>
      </c>
      <c r="C99" s="68" t="s">
        <v>330</v>
      </c>
      <c r="D99" s="69" t="s">
        <v>388</v>
      </c>
      <c r="E99" s="69" t="s">
        <v>395</v>
      </c>
      <c r="F99" s="69" t="s">
        <v>396</v>
      </c>
      <c r="G99" s="66">
        <v>100</v>
      </c>
      <c r="H99" s="68" t="s">
        <v>225</v>
      </c>
      <c r="J99" s="62" t="str">
        <f t="shared" si="2"/>
        <v>마감|바탕처리(방수)</v>
      </c>
    </row>
    <row r="100" spans="2:10" ht="15">
      <c r="B100" s="63">
        <v>95</v>
      </c>
      <c r="C100" s="63" t="s">
        <v>330</v>
      </c>
      <c r="D100" s="64" t="s">
        <v>388</v>
      </c>
      <c r="E100" s="64" t="s">
        <v>397</v>
      </c>
      <c r="F100" s="65" t="s">
        <v>398</v>
      </c>
      <c r="G100" s="66">
        <v>200</v>
      </c>
      <c r="H100" s="63" t="s">
        <v>225</v>
      </c>
      <c r="J100" s="62" t="str">
        <f t="shared" si="2"/>
        <v>마감|도막방수</v>
      </c>
    </row>
    <row r="101" spans="2:10" ht="15">
      <c r="B101" s="68">
        <v>96</v>
      </c>
      <c r="C101" s="68" t="s">
        <v>330</v>
      </c>
      <c r="D101" s="69" t="s">
        <v>388</v>
      </c>
      <c r="E101" s="69" t="s">
        <v>399</v>
      </c>
      <c r="F101" s="70" t="s">
        <v>400</v>
      </c>
      <c r="G101" s="66">
        <v>88</v>
      </c>
      <c r="H101" s="68" t="s">
        <v>225</v>
      </c>
      <c r="J101" s="62" t="str">
        <f t="shared" si="2"/>
        <v>마감|시트방수</v>
      </c>
    </row>
    <row r="102" spans="2:10" ht="15">
      <c r="B102" s="63">
        <v>97</v>
      </c>
      <c r="C102" s="63" t="s">
        <v>330</v>
      </c>
      <c r="D102" s="64" t="s">
        <v>388</v>
      </c>
      <c r="E102" s="64" t="s">
        <v>401</v>
      </c>
      <c r="F102" s="64" t="s">
        <v>396</v>
      </c>
      <c r="G102" s="66">
        <v>40</v>
      </c>
      <c r="H102" s="63" t="s">
        <v>225</v>
      </c>
      <c r="J102" s="62" t="str">
        <f t="shared" ref="J102:J112" si="3">D102&amp;"|"&amp;E102</f>
        <v>마감|시멘트액체방수</v>
      </c>
    </row>
    <row r="103" spans="2:10" ht="15">
      <c r="B103" s="68">
        <v>98</v>
      </c>
      <c r="C103" s="68" t="s">
        <v>402</v>
      </c>
      <c r="D103" s="69" t="s">
        <v>403</v>
      </c>
      <c r="E103" s="69" t="s">
        <v>404</v>
      </c>
      <c r="F103" s="69" t="s">
        <v>405</v>
      </c>
      <c r="G103" s="66">
        <v>13.5</v>
      </c>
      <c r="H103" s="67" t="s">
        <v>218</v>
      </c>
      <c r="J103" s="62" t="str">
        <f t="shared" si="3"/>
        <v>배관|강관설치(D50,용접)</v>
      </c>
    </row>
    <row r="104" spans="2:10" ht="15">
      <c r="B104" s="63">
        <v>99</v>
      </c>
      <c r="C104" s="63" t="s">
        <v>402</v>
      </c>
      <c r="D104" s="64" t="s">
        <v>403</v>
      </c>
      <c r="E104" s="64" t="s">
        <v>406</v>
      </c>
      <c r="F104" s="64" t="s">
        <v>405</v>
      </c>
      <c r="G104" s="66">
        <v>6.5</v>
      </c>
      <c r="H104" s="28" t="s">
        <v>218</v>
      </c>
      <c r="J104" s="62" t="str">
        <f t="shared" si="3"/>
        <v>배관|강관설치(D100,용접)</v>
      </c>
    </row>
    <row r="105" spans="2:10" ht="15">
      <c r="B105" s="68">
        <v>100</v>
      </c>
      <c r="C105" s="68" t="s">
        <v>402</v>
      </c>
      <c r="D105" s="69" t="s">
        <v>403</v>
      </c>
      <c r="E105" s="69" t="s">
        <v>407</v>
      </c>
      <c r="F105" s="69" t="s">
        <v>405</v>
      </c>
      <c r="G105" s="66">
        <v>13.6</v>
      </c>
      <c r="H105" s="67" t="s">
        <v>218</v>
      </c>
      <c r="J105" s="62" t="str">
        <f t="shared" si="3"/>
        <v>배관|강관(D100,그루브)</v>
      </c>
    </row>
    <row r="106" spans="2:10" ht="15">
      <c r="B106" s="63">
        <v>101</v>
      </c>
      <c r="C106" s="63" t="s">
        <v>402</v>
      </c>
      <c r="D106" s="64" t="s">
        <v>403</v>
      </c>
      <c r="E106" s="64" t="s">
        <v>408</v>
      </c>
      <c r="F106" s="64" t="s">
        <v>405</v>
      </c>
      <c r="G106" s="66">
        <v>6.7</v>
      </c>
      <c r="H106" s="28" t="s">
        <v>218</v>
      </c>
      <c r="J106" s="62" t="str">
        <f t="shared" si="3"/>
        <v>배관|강관(D200,그루브)</v>
      </c>
    </row>
    <row r="107" spans="2:10" ht="15">
      <c r="B107" s="68">
        <v>102</v>
      </c>
      <c r="C107" s="68" t="s">
        <v>402</v>
      </c>
      <c r="D107" s="69" t="s">
        <v>403</v>
      </c>
      <c r="E107" s="70" t="s">
        <v>409</v>
      </c>
      <c r="F107" s="69" t="s">
        <v>405</v>
      </c>
      <c r="G107" s="66">
        <v>25.3</v>
      </c>
      <c r="H107" s="67" t="s">
        <v>218</v>
      </c>
      <c r="J107" s="62" t="str">
        <f t="shared" si="3"/>
        <v>배관|STS강관(D50,TIG)</v>
      </c>
    </row>
    <row r="108" spans="2:10" ht="15">
      <c r="B108" s="63">
        <v>103</v>
      </c>
      <c r="C108" s="63" t="s">
        <v>402</v>
      </c>
      <c r="D108" s="64" t="s">
        <v>403</v>
      </c>
      <c r="E108" s="65" t="s">
        <v>410</v>
      </c>
      <c r="F108" s="64" t="s">
        <v>405</v>
      </c>
      <c r="G108" s="66">
        <v>12.6</v>
      </c>
      <c r="H108" s="28" t="s">
        <v>218</v>
      </c>
      <c r="J108" s="62" t="str">
        <f t="shared" si="3"/>
        <v>배관|STS강관(D100,TIG)</v>
      </c>
    </row>
    <row r="109" spans="2:10" ht="15">
      <c r="B109" s="68">
        <v>104</v>
      </c>
      <c r="C109" s="68" t="s">
        <v>402</v>
      </c>
      <c r="D109" s="69" t="s">
        <v>403</v>
      </c>
      <c r="E109" s="69" t="s">
        <v>411</v>
      </c>
      <c r="F109" s="69" t="s">
        <v>405</v>
      </c>
      <c r="G109" s="66">
        <v>10</v>
      </c>
      <c r="H109" s="68" t="s">
        <v>215</v>
      </c>
      <c r="J109" s="62" t="str">
        <f t="shared" si="3"/>
        <v>배관|주철관(D100,기계식)</v>
      </c>
    </row>
    <row r="110" spans="2:10" ht="15">
      <c r="B110" s="63">
        <v>105</v>
      </c>
      <c r="C110" s="63" t="s">
        <v>402</v>
      </c>
      <c r="D110" s="64" t="s">
        <v>403</v>
      </c>
      <c r="E110" s="64" t="s">
        <v>412</v>
      </c>
      <c r="F110" s="64" t="s">
        <v>405</v>
      </c>
      <c r="G110" s="66">
        <v>4</v>
      </c>
      <c r="H110" s="63" t="s">
        <v>215</v>
      </c>
      <c r="J110" s="62" t="str">
        <f t="shared" si="3"/>
        <v>배관|주철관(D200,기계식)</v>
      </c>
    </row>
    <row r="111" spans="2:10" ht="15">
      <c r="B111" s="68">
        <v>106</v>
      </c>
      <c r="C111" s="68" t="s">
        <v>402</v>
      </c>
      <c r="D111" s="69" t="s">
        <v>403</v>
      </c>
      <c r="E111" s="69" t="s">
        <v>413</v>
      </c>
      <c r="F111" s="69" t="s">
        <v>405</v>
      </c>
      <c r="G111" s="66">
        <v>31.2</v>
      </c>
      <c r="H111" s="67" t="s">
        <v>218</v>
      </c>
      <c r="J111" s="62" t="str">
        <f t="shared" si="3"/>
        <v>배관|경질관(D100,소켓)</v>
      </c>
    </row>
    <row r="112" spans="2:10" ht="15">
      <c r="B112" s="68">
        <v>107</v>
      </c>
      <c r="C112" s="68" t="s">
        <v>402</v>
      </c>
      <c r="D112" s="69" t="s">
        <v>414</v>
      </c>
      <c r="E112" s="69" t="s">
        <v>415</v>
      </c>
      <c r="F112" s="69" t="s">
        <v>416</v>
      </c>
      <c r="G112" s="66">
        <v>29.2</v>
      </c>
      <c r="H112" s="67" t="s">
        <v>225</v>
      </c>
      <c r="J112" s="62" t="str">
        <f t="shared" si="3"/>
        <v>덕트|각형덕트(0.6mm)</v>
      </c>
    </row>
    <row r="113" spans="2:10" ht="15">
      <c r="B113" s="68">
        <v>108</v>
      </c>
      <c r="C113" s="68" t="s">
        <v>211</v>
      </c>
      <c r="D113" s="69" t="s">
        <v>231</v>
      </c>
      <c r="E113" s="69" t="s">
        <v>827</v>
      </c>
      <c r="F113" s="69" t="s">
        <v>828</v>
      </c>
      <c r="G113" s="226">
        <v>60</v>
      </c>
      <c r="H113" s="67" t="s">
        <v>793</v>
      </c>
      <c r="J113" s="62" t="str">
        <f t="shared" ref="J113:J144" si="4">D113&amp;"|"&amp;E113</f>
        <v>토공|모래부설(기초)</v>
      </c>
    </row>
    <row r="114" spans="2:10" ht="15">
      <c r="B114" s="68">
        <v>109</v>
      </c>
      <c r="C114" s="68" t="s">
        <v>211</v>
      </c>
      <c r="D114" s="69" t="s">
        <v>231</v>
      </c>
      <c r="E114" s="69" t="s">
        <v>829</v>
      </c>
      <c r="F114" s="69" t="s">
        <v>830</v>
      </c>
      <c r="G114" s="226">
        <v>500</v>
      </c>
      <c r="H114" s="67" t="s">
        <v>793</v>
      </c>
      <c r="J114" s="62" t="str">
        <f t="shared" si="4"/>
        <v>토공|잔토처리(사토운반)</v>
      </c>
    </row>
    <row r="115" spans="2:10" ht="15">
      <c r="B115" s="68">
        <v>110</v>
      </c>
      <c r="C115" s="68" t="s">
        <v>211</v>
      </c>
      <c r="D115" s="69" t="s">
        <v>231</v>
      </c>
      <c r="E115" s="69" t="s">
        <v>831</v>
      </c>
      <c r="F115" s="69" t="s">
        <v>832</v>
      </c>
      <c r="G115" s="226">
        <v>500</v>
      </c>
      <c r="H115" s="67" t="s">
        <v>833</v>
      </c>
      <c r="J115" s="62" t="str">
        <f t="shared" si="4"/>
        <v>토공|성토면 고르기</v>
      </c>
    </row>
    <row r="116" spans="2:10" ht="15">
      <c r="B116" s="68">
        <v>111</v>
      </c>
      <c r="C116" s="68" t="s">
        <v>211</v>
      </c>
      <c r="D116" s="69" t="s">
        <v>231</v>
      </c>
      <c r="E116" s="69" t="s">
        <v>834</v>
      </c>
      <c r="F116" s="69" t="s">
        <v>835</v>
      </c>
      <c r="G116" s="226">
        <v>100</v>
      </c>
      <c r="H116" s="67" t="s">
        <v>833</v>
      </c>
      <c r="J116" s="62" t="str">
        <f t="shared" si="4"/>
        <v>토공|줄떼 붙이기</v>
      </c>
    </row>
    <row r="117" spans="2:10" ht="15">
      <c r="B117" s="68">
        <v>112</v>
      </c>
      <c r="C117" s="68" t="s">
        <v>211</v>
      </c>
      <c r="D117" s="69" t="s">
        <v>836</v>
      </c>
      <c r="E117" s="69" t="s">
        <v>837</v>
      </c>
      <c r="F117" s="69" t="s">
        <v>838</v>
      </c>
      <c r="G117" s="226">
        <v>30</v>
      </c>
      <c r="H117" s="67" t="s">
        <v>833</v>
      </c>
      <c r="J117" s="62" t="str">
        <f t="shared" si="4"/>
        <v>구조물공|시공이음 면정리(치핑)</v>
      </c>
    </row>
    <row r="118" spans="2:10" ht="15">
      <c r="B118" s="68">
        <v>113</v>
      </c>
      <c r="C118" s="68" t="s">
        <v>211</v>
      </c>
      <c r="D118" s="69" t="s">
        <v>836</v>
      </c>
      <c r="E118" s="69" t="s">
        <v>839</v>
      </c>
      <c r="F118" s="69" t="s">
        <v>840</v>
      </c>
      <c r="G118" s="226">
        <v>40</v>
      </c>
      <c r="H118" s="67" t="s">
        <v>841</v>
      </c>
      <c r="J118" s="62" t="str">
        <f t="shared" si="4"/>
        <v>구조물공|시공이음 지수판 설치</v>
      </c>
    </row>
    <row r="119" spans="2:10" ht="15">
      <c r="B119" s="68">
        <v>114</v>
      </c>
      <c r="C119" s="68" t="s">
        <v>211</v>
      </c>
      <c r="D119" s="69" t="s">
        <v>836</v>
      </c>
      <c r="E119" s="69" t="s">
        <v>842</v>
      </c>
      <c r="F119" s="69" t="s">
        <v>843</v>
      </c>
      <c r="G119" s="226">
        <v>150</v>
      </c>
      <c r="H119" s="67" t="s">
        <v>833</v>
      </c>
      <c r="J119" s="62" t="str">
        <f t="shared" si="4"/>
        <v>구조물공|쇠흙손 마감</v>
      </c>
    </row>
    <row r="120" spans="2:10" ht="15">
      <c r="B120" s="68">
        <v>115</v>
      </c>
      <c r="C120" s="68" t="s">
        <v>211</v>
      </c>
      <c r="D120" s="69" t="s">
        <v>836</v>
      </c>
      <c r="E120" s="69" t="s">
        <v>844</v>
      </c>
      <c r="F120" s="69" t="s">
        <v>845</v>
      </c>
      <c r="G120" s="226">
        <v>12</v>
      </c>
      <c r="H120" s="67" t="s">
        <v>841</v>
      </c>
      <c r="J120" s="62" t="str">
        <f t="shared" si="4"/>
        <v>구조물공|사다리·난간 설치</v>
      </c>
    </row>
    <row r="121" spans="2:10" ht="15">
      <c r="B121" s="68">
        <v>116</v>
      </c>
      <c r="C121" s="68" t="s">
        <v>211</v>
      </c>
      <c r="D121" s="69" t="s">
        <v>836</v>
      </c>
      <c r="E121" s="69" t="s">
        <v>846</v>
      </c>
      <c r="F121" s="69" t="s">
        <v>847</v>
      </c>
      <c r="G121" s="226">
        <v>4</v>
      </c>
      <c r="H121" s="67" t="s">
        <v>848</v>
      </c>
      <c r="J121" s="62" t="str">
        <f t="shared" si="4"/>
        <v>구조물공|STS 커버·그레이팅 설치</v>
      </c>
    </row>
    <row r="122" spans="2:10" ht="15">
      <c r="B122" s="68">
        <v>117</v>
      </c>
      <c r="C122" s="68" t="s">
        <v>211</v>
      </c>
      <c r="D122" s="69" t="s">
        <v>849</v>
      </c>
      <c r="E122" s="69" t="s">
        <v>850</v>
      </c>
      <c r="F122" s="69" t="s">
        <v>851</v>
      </c>
      <c r="G122" s="226">
        <v>85</v>
      </c>
      <c r="H122" s="67" t="s">
        <v>841</v>
      </c>
      <c r="J122" s="62" t="str">
        <f t="shared" si="4"/>
        <v>가시설|강널말뚝 천공 및 근입</v>
      </c>
    </row>
    <row r="123" spans="2:10" ht="15">
      <c r="B123" s="68">
        <v>118</v>
      </c>
      <c r="C123" s="68" t="s">
        <v>211</v>
      </c>
      <c r="D123" s="69" t="s">
        <v>849</v>
      </c>
      <c r="E123" s="69" t="s">
        <v>852</v>
      </c>
      <c r="F123" s="69" t="s">
        <v>853</v>
      </c>
      <c r="G123" s="226">
        <v>10</v>
      </c>
      <c r="H123" s="67" t="s">
        <v>854</v>
      </c>
      <c r="J123" s="62" t="str">
        <f t="shared" si="4"/>
        <v>가시설|강널말뚝 항타</v>
      </c>
    </row>
    <row r="124" spans="2:10" ht="15">
      <c r="B124" s="68">
        <v>119</v>
      </c>
      <c r="C124" s="68" t="s">
        <v>211</v>
      </c>
      <c r="D124" s="69" t="s">
        <v>849</v>
      </c>
      <c r="E124" s="69" t="s">
        <v>855</v>
      </c>
      <c r="F124" s="69" t="s">
        <v>856</v>
      </c>
      <c r="G124" s="226">
        <v>12</v>
      </c>
      <c r="H124" s="67" t="s">
        <v>854</v>
      </c>
      <c r="J124" s="62" t="str">
        <f t="shared" si="4"/>
        <v>가시설|강널말뚝 인발</v>
      </c>
    </row>
    <row r="125" spans="2:10" ht="15">
      <c r="B125" s="68">
        <v>120</v>
      </c>
      <c r="C125" s="68" t="s">
        <v>211</v>
      </c>
      <c r="D125" s="69" t="s">
        <v>849</v>
      </c>
      <c r="E125" s="69" t="s">
        <v>857</v>
      </c>
      <c r="F125" s="69" t="s">
        <v>858</v>
      </c>
      <c r="G125" s="226">
        <v>200</v>
      </c>
      <c r="H125" s="67" t="s">
        <v>841</v>
      </c>
      <c r="J125" s="62" t="str">
        <f t="shared" si="4"/>
        <v>가시설|천공홀 되메우기</v>
      </c>
    </row>
    <row r="126" spans="2:10" ht="15">
      <c r="B126" s="68">
        <v>121</v>
      </c>
      <c r="C126" s="68" t="s">
        <v>211</v>
      </c>
      <c r="D126" s="69" t="s">
        <v>849</v>
      </c>
      <c r="E126" s="69" t="s">
        <v>859</v>
      </c>
      <c r="F126" s="69" t="s">
        <v>860</v>
      </c>
      <c r="G126" s="226">
        <v>85</v>
      </c>
      <c r="H126" s="67" t="s">
        <v>841</v>
      </c>
      <c r="J126" s="62" t="str">
        <f t="shared" si="4"/>
        <v>가시설|중간말뚝 천공 및 근입</v>
      </c>
    </row>
    <row r="127" spans="2:10" ht="15">
      <c r="B127" s="68">
        <v>122</v>
      </c>
      <c r="C127" s="68" t="s">
        <v>211</v>
      </c>
      <c r="D127" s="69" t="s">
        <v>849</v>
      </c>
      <c r="E127" s="69" t="s">
        <v>861</v>
      </c>
      <c r="F127" s="69" t="s">
        <v>856</v>
      </c>
      <c r="G127" s="226">
        <v>10</v>
      </c>
      <c r="H127" s="67" t="s">
        <v>854</v>
      </c>
      <c r="J127" s="62" t="str">
        <f t="shared" si="4"/>
        <v>가시설|중간말뚝 항타</v>
      </c>
    </row>
    <row r="128" spans="2:10" ht="15">
      <c r="B128" s="68">
        <v>123</v>
      </c>
      <c r="C128" s="68" t="s">
        <v>211</v>
      </c>
      <c r="D128" s="69" t="s">
        <v>849</v>
      </c>
      <c r="E128" s="69" t="s">
        <v>862</v>
      </c>
      <c r="F128" s="69" t="s">
        <v>856</v>
      </c>
      <c r="G128" s="226">
        <v>12</v>
      </c>
      <c r="H128" s="67" t="s">
        <v>854</v>
      </c>
      <c r="J128" s="62" t="str">
        <f t="shared" si="4"/>
        <v>가시설|중간말뚝 인발</v>
      </c>
    </row>
    <row r="129" spans="2:10" ht="15">
      <c r="B129" s="68">
        <v>124</v>
      </c>
      <c r="C129" s="68" t="s">
        <v>211</v>
      </c>
      <c r="D129" s="69" t="s">
        <v>849</v>
      </c>
      <c r="E129" s="69" t="s">
        <v>863</v>
      </c>
      <c r="F129" s="69" t="s">
        <v>864</v>
      </c>
      <c r="G129" s="226">
        <v>6</v>
      </c>
      <c r="H129" s="67" t="s">
        <v>854</v>
      </c>
      <c r="J129" s="62" t="str">
        <f t="shared" si="4"/>
        <v>가시설|띠장 설치</v>
      </c>
    </row>
    <row r="130" spans="2:10" ht="15">
      <c r="B130" s="68">
        <v>125</v>
      </c>
      <c r="C130" s="68" t="s">
        <v>211</v>
      </c>
      <c r="D130" s="69" t="s">
        <v>849</v>
      </c>
      <c r="E130" s="69" t="s">
        <v>865</v>
      </c>
      <c r="F130" s="69" t="s">
        <v>866</v>
      </c>
      <c r="G130" s="226">
        <v>8</v>
      </c>
      <c r="H130" s="67" t="s">
        <v>854</v>
      </c>
      <c r="J130" s="62" t="str">
        <f t="shared" si="4"/>
        <v>가시설|띠장 철거</v>
      </c>
    </row>
    <row r="131" spans="2:10" ht="15">
      <c r="B131" s="68">
        <v>126</v>
      </c>
      <c r="C131" s="68" t="s">
        <v>211</v>
      </c>
      <c r="D131" s="69" t="s">
        <v>849</v>
      </c>
      <c r="E131" s="69" t="s">
        <v>867</v>
      </c>
      <c r="F131" s="69" t="s">
        <v>868</v>
      </c>
      <c r="G131" s="226">
        <v>5</v>
      </c>
      <c r="H131" s="67" t="s">
        <v>854</v>
      </c>
      <c r="J131" s="62" t="str">
        <f t="shared" si="4"/>
        <v>가시설|버팀보 설치</v>
      </c>
    </row>
    <row r="132" spans="2:10" ht="15">
      <c r="B132" s="68">
        <v>127</v>
      </c>
      <c r="C132" s="68" t="s">
        <v>211</v>
      </c>
      <c r="D132" s="69" t="s">
        <v>849</v>
      </c>
      <c r="E132" s="69" t="s">
        <v>869</v>
      </c>
      <c r="F132" s="69" t="s">
        <v>870</v>
      </c>
      <c r="G132" s="226">
        <v>7</v>
      </c>
      <c r="H132" s="67" t="s">
        <v>854</v>
      </c>
      <c r="J132" s="62" t="str">
        <f t="shared" si="4"/>
        <v>가시설|버팀보 철거</v>
      </c>
    </row>
    <row r="133" spans="2:10" ht="15">
      <c r="B133" s="68">
        <v>128</v>
      </c>
      <c r="C133" s="68" t="s">
        <v>211</v>
      </c>
      <c r="D133" s="69" t="s">
        <v>849</v>
      </c>
      <c r="E133" s="69" t="s">
        <v>871</v>
      </c>
      <c r="F133" s="69" t="s">
        <v>870</v>
      </c>
      <c r="G133" s="226">
        <v>6</v>
      </c>
      <c r="H133" s="67" t="s">
        <v>854</v>
      </c>
      <c r="J133" s="62" t="str">
        <f t="shared" si="4"/>
        <v>가시설|사보강재 설치</v>
      </c>
    </row>
    <row r="134" spans="2:10" ht="15">
      <c r="B134" s="68">
        <v>129</v>
      </c>
      <c r="C134" s="68" t="s">
        <v>211</v>
      </c>
      <c r="D134" s="69" t="s">
        <v>849</v>
      </c>
      <c r="E134" s="69" t="s">
        <v>872</v>
      </c>
      <c r="F134" s="69" t="s">
        <v>870</v>
      </c>
      <c r="G134" s="226">
        <v>8</v>
      </c>
      <c r="H134" s="67" t="s">
        <v>854</v>
      </c>
      <c r="J134" s="62" t="str">
        <f t="shared" si="4"/>
        <v>가시설|사보강재 철거</v>
      </c>
    </row>
    <row r="135" spans="2:10" ht="15">
      <c r="B135" s="68">
        <v>130</v>
      </c>
      <c r="C135" s="68" t="s">
        <v>211</v>
      </c>
      <c r="D135" s="69" t="s">
        <v>849</v>
      </c>
      <c r="E135" s="69" t="s">
        <v>873</v>
      </c>
      <c r="F135" s="69" t="s">
        <v>870</v>
      </c>
      <c r="G135" s="226">
        <v>6</v>
      </c>
      <c r="H135" s="67" t="s">
        <v>854</v>
      </c>
      <c r="J135" s="62" t="str">
        <f t="shared" si="4"/>
        <v>가시설|SUB BEAM 설치/철거</v>
      </c>
    </row>
    <row r="136" spans="2:10" ht="15">
      <c r="B136" s="68">
        <v>131</v>
      </c>
      <c r="C136" s="68" t="s">
        <v>211</v>
      </c>
      <c r="D136" s="69" t="s">
        <v>849</v>
      </c>
      <c r="E136" s="69" t="s">
        <v>874</v>
      </c>
      <c r="F136" s="69" t="s">
        <v>875</v>
      </c>
      <c r="G136" s="226">
        <v>20</v>
      </c>
      <c r="H136" s="67" t="s">
        <v>841</v>
      </c>
      <c r="J136" s="62" t="str">
        <f t="shared" si="4"/>
        <v>가시설|ㄷ형강·L형강 설치/철거</v>
      </c>
    </row>
    <row r="137" spans="2:10" ht="15">
      <c r="B137" s="68">
        <v>132</v>
      </c>
      <c r="C137" s="68" t="s">
        <v>211</v>
      </c>
      <c r="D137" s="69" t="s">
        <v>849</v>
      </c>
      <c r="E137" s="69" t="s">
        <v>876</v>
      </c>
      <c r="F137" s="69" t="s">
        <v>877</v>
      </c>
      <c r="G137" s="226">
        <v>30</v>
      </c>
      <c r="H137" s="67" t="s">
        <v>841</v>
      </c>
      <c r="J137" s="62" t="str">
        <f t="shared" si="4"/>
        <v>가시설|어스앵커 천공·그라우팅</v>
      </c>
    </row>
    <row r="138" spans="2:10" ht="15">
      <c r="B138" s="68">
        <v>133</v>
      </c>
      <c r="C138" s="68" t="s">
        <v>211</v>
      </c>
      <c r="D138" s="69" t="s">
        <v>849</v>
      </c>
      <c r="E138" s="69" t="s">
        <v>878</v>
      </c>
      <c r="F138" s="69" t="s">
        <v>879</v>
      </c>
      <c r="G138" s="226">
        <v>4</v>
      </c>
      <c r="H138" s="67" t="s">
        <v>880</v>
      </c>
      <c r="J138" s="62" t="str">
        <f t="shared" si="4"/>
        <v>가시설|어스앵커 강연선 설치·인장</v>
      </c>
    </row>
    <row r="139" spans="2:10" ht="15">
      <c r="B139" s="68">
        <v>134</v>
      </c>
      <c r="C139" s="68" t="s">
        <v>211</v>
      </c>
      <c r="D139" s="69" t="s">
        <v>849</v>
      </c>
      <c r="E139" s="69" t="s">
        <v>881</v>
      </c>
      <c r="F139" s="69" t="s">
        <v>882</v>
      </c>
      <c r="G139" s="226">
        <v>2</v>
      </c>
      <c r="H139" s="67" t="s">
        <v>880</v>
      </c>
      <c r="J139" s="62" t="str">
        <f t="shared" si="4"/>
        <v>가시설|계측기 설치</v>
      </c>
    </row>
    <row r="140" spans="2:10" ht="15">
      <c r="B140" s="68">
        <v>135</v>
      </c>
      <c r="C140" s="68" t="s">
        <v>211</v>
      </c>
      <c r="D140" s="69" t="s">
        <v>849</v>
      </c>
      <c r="E140" s="69" t="s">
        <v>883</v>
      </c>
      <c r="F140" s="69" t="s">
        <v>884</v>
      </c>
      <c r="G140" s="226">
        <v>25</v>
      </c>
      <c r="H140" s="67" t="s">
        <v>841</v>
      </c>
      <c r="J140" s="62" t="str">
        <f t="shared" si="4"/>
        <v>가시설|조립식 간이흙막이</v>
      </c>
    </row>
    <row r="141" spans="2:10" ht="15">
      <c r="B141" s="68">
        <v>136</v>
      </c>
      <c r="C141" s="68" t="s">
        <v>211</v>
      </c>
      <c r="D141" s="69" t="s">
        <v>269</v>
      </c>
      <c r="E141" s="69" t="s">
        <v>885</v>
      </c>
      <c r="F141" s="69" t="s">
        <v>886</v>
      </c>
      <c r="G141" s="226">
        <v>1.5</v>
      </c>
      <c r="H141" s="67" t="s">
        <v>880</v>
      </c>
      <c r="J141" s="62" t="str">
        <f t="shared" si="4"/>
        <v>배수공|조립식 PC맨홀 설치</v>
      </c>
    </row>
    <row r="142" spans="2:10" ht="15">
      <c r="B142" s="68">
        <v>137</v>
      </c>
      <c r="C142" s="68" t="s">
        <v>211</v>
      </c>
      <c r="D142" s="69" t="s">
        <v>269</v>
      </c>
      <c r="E142" s="69" t="s">
        <v>887</v>
      </c>
      <c r="F142" s="69" t="s">
        <v>888</v>
      </c>
      <c r="G142" s="226">
        <v>4</v>
      </c>
      <c r="H142" s="67" t="s">
        <v>880</v>
      </c>
      <c r="J142" s="62" t="str">
        <f t="shared" si="4"/>
        <v>배수공|PE 우수받이 설치</v>
      </c>
    </row>
    <row r="143" spans="2:10" ht="15">
      <c r="B143" s="68">
        <v>138</v>
      </c>
      <c r="C143" s="68" t="s">
        <v>211</v>
      </c>
      <c r="D143" s="69" t="s">
        <v>269</v>
      </c>
      <c r="E143" s="69" t="s">
        <v>889</v>
      </c>
      <c r="F143" s="69" t="s">
        <v>890</v>
      </c>
      <c r="G143" s="226">
        <v>8</v>
      </c>
      <c r="H143" s="67" t="s">
        <v>880</v>
      </c>
      <c r="J143" s="62" t="str">
        <f t="shared" si="4"/>
        <v>배수공|맨홀뚜껑 설치</v>
      </c>
    </row>
    <row r="144" spans="2:10" ht="15">
      <c r="B144" s="68">
        <v>139</v>
      </c>
      <c r="C144" s="68" t="s">
        <v>211</v>
      </c>
      <c r="D144" s="69" t="s">
        <v>269</v>
      </c>
      <c r="E144" s="69" t="s">
        <v>891</v>
      </c>
      <c r="F144" s="69" t="s">
        <v>892</v>
      </c>
      <c r="G144" s="226">
        <v>10</v>
      </c>
      <c r="H144" s="67" t="s">
        <v>880</v>
      </c>
      <c r="J144" s="62" t="str">
        <f t="shared" si="4"/>
        <v>배수공|관로 부속설치(커넥터 등)</v>
      </c>
    </row>
    <row r="145" spans="2:10" ht="15">
      <c r="B145" s="68">
        <v>140</v>
      </c>
      <c r="C145" s="68" t="s">
        <v>211</v>
      </c>
      <c r="D145" s="69" t="s">
        <v>291</v>
      </c>
      <c r="E145" s="69" t="s">
        <v>893</v>
      </c>
      <c r="F145" s="69" t="s">
        <v>894</v>
      </c>
      <c r="G145" s="226">
        <v>120</v>
      </c>
      <c r="H145" s="67" t="s">
        <v>841</v>
      </c>
      <c r="J145" s="62" t="str">
        <f t="shared" ref="J145:J169" si="5">D145&amp;"|"&amp;E145</f>
        <v>포장|포장절단</v>
      </c>
    </row>
    <row r="146" spans="2:10" ht="15">
      <c r="B146" s="68">
        <v>141</v>
      </c>
      <c r="C146" s="68" t="s">
        <v>211</v>
      </c>
      <c r="D146" s="69" t="s">
        <v>291</v>
      </c>
      <c r="E146" s="69" t="s">
        <v>895</v>
      </c>
      <c r="F146" s="69" t="s">
        <v>896</v>
      </c>
      <c r="G146" s="226">
        <v>60</v>
      </c>
      <c r="H146" s="67" t="s">
        <v>793</v>
      </c>
      <c r="J146" s="62" t="str">
        <f t="shared" si="5"/>
        <v>포장|포장깨기</v>
      </c>
    </row>
    <row r="147" spans="2:10" ht="15">
      <c r="B147" s="68">
        <v>142</v>
      </c>
      <c r="C147" s="68" t="s">
        <v>211</v>
      </c>
      <c r="D147" s="69" t="s">
        <v>291</v>
      </c>
      <c r="E147" s="69" t="s">
        <v>897</v>
      </c>
      <c r="F147" s="69" t="s">
        <v>898</v>
      </c>
      <c r="G147" s="226">
        <v>3000</v>
      </c>
      <c r="H147" s="67" t="s">
        <v>833</v>
      </c>
      <c r="J147" s="62" t="str">
        <f t="shared" si="5"/>
        <v>포장|프라임코팅</v>
      </c>
    </row>
    <row r="148" spans="2:10" ht="15">
      <c r="B148" s="68">
        <v>143</v>
      </c>
      <c r="C148" s="68" t="s">
        <v>211</v>
      </c>
      <c r="D148" s="69" t="s">
        <v>291</v>
      </c>
      <c r="E148" s="69" t="s">
        <v>899</v>
      </c>
      <c r="F148" s="69" t="s">
        <v>900</v>
      </c>
      <c r="G148" s="226">
        <v>3000</v>
      </c>
      <c r="H148" s="67" t="s">
        <v>833</v>
      </c>
      <c r="J148" s="62" t="str">
        <f t="shared" si="5"/>
        <v>포장|택코팅</v>
      </c>
    </row>
    <row r="149" spans="2:10" ht="15">
      <c r="B149" s="68">
        <v>144</v>
      </c>
      <c r="C149" s="68" t="s">
        <v>211</v>
      </c>
      <c r="D149" s="69" t="s">
        <v>291</v>
      </c>
      <c r="E149" s="69" t="s">
        <v>901</v>
      </c>
      <c r="F149" s="69" t="s">
        <v>902</v>
      </c>
      <c r="G149" s="226">
        <v>400</v>
      </c>
      <c r="H149" s="67" t="s">
        <v>833</v>
      </c>
      <c r="J149" s="62" t="str">
        <f t="shared" si="5"/>
        <v>포장|아스팔트 포장 복구</v>
      </c>
    </row>
    <row r="150" spans="2:10" ht="15">
      <c r="B150" s="68">
        <v>145</v>
      </c>
      <c r="C150" s="68" t="s">
        <v>211</v>
      </c>
      <c r="D150" s="69" t="s">
        <v>291</v>
      </c>
      <c r="E150" s="69" t="s">
        <v>903</v>
      </c>
      <c r="F150" s="69" t="s">
        <v>904</v>
      </c>
      <c r="G150" s="226">
        <v>60</v>
      </c>
      <c r="H150" s="67" t="s">
        <v>841</v>
      </c>
      <c r="J150" s="62" t="str">
        <f t="shared" si="5"/>
        <v>포장|보차도경계석 설치</v>
      </c>
    </row>
    <row r="151" spans="2:10" ht="15">
      <c r="B151" s="68">
        <v>146</v>
      </c>
      <c r="C151" s="68" t="s">
        <v>211</v>
      </c>
      <c r="D151" s="69" t="s">
        <v>291</v>
      </c>
      <c r="E151" s="69" t="s">
        <v>905</v>
      </c>
      <c r="F151" s="69" t="s">
        <v>906</v>
      </c>
      <c r="G151" s="226">
        <v>300</v>
      </c>
      <c r="H151" s="67" t="s">
        <v>833</v>
      </c>
      <c r="J151" s="62" t="str">
        <f t="shared" si="5"/>
        <v>포장|차선도색</v>
      </c>
    </row>
    <row r="152" spans="2:10" ht="15">
      <c r="B152" s="68">
        <v>147</v>
      </c>
      <c r="C152" s="68" t="s">
        <v>211</v>
      </c>
      <c r="D152" s="69" t="s">
        <v>907</v>
      </c>
      <c r="E152" s="69" t="s">
        <v>908</v>
      </c>
      <c r="F152" s="69" t="s">
        <v>909</v>
      </c>
      <c r="G152" s="226">
        <v>25</v>
      </c>
      <c r="H152" s="67" t="s">
        <v>793</v>
      </c>
      <c r="J152" s="62" t="str">
        <f t="shared" si="5"/>
        <v>철거|무근콘크리트 깨기</v>
      </c>
    </row>
    <row r="153" spans="2:10" ht="15">
      <c r="B153" s="68">
        <v>148</v>
      </c>
      <c r="C153" s="68" t="s">
        <v>211</v>
      </c>
      <c r="D153" s="69" t="s">
        <v>907</v>
      </c>
      <c r="E153" s="69" t="s">
        <v>910</v>
      </c>
      <c r="F153" s="69" t="s">
        <v>909</v>
      </c>
      <c r="G153" s="226">
        <v>18</v>
      </c>
      <c r="H153" s="67" t="s">
        <v>793</v>
      </c>
      <c r="J153" s="62" t="str">
        <f t="shared" si="5"/>
        <v>철거|철근콘크리트 깨기</v>
      </c>
    </row>
    <row r="154" spans="2:10" ht="15">
      <c r="B154" s="68">
        <v>149</v>
      </c>
      <c r="C154" s="68" t="s">
        <v>402</v>
      </c>
      <c r="D154" s="69" t="s">
        <v>403</v>
      </c>
      <c r="E154" s="69" t="s">
        <v>911</v>
      </c>
      <c r="F154" s="69" t="s">
        <v>912</v>
      </c>
      <c r="G154" s="226">
        <v>8</v>
      </c>
      <c r="H154" s="67" t="s">
        <v>880</v>
      </c>
      <c r="J154" s="62" t="str">
        <f t="shared" si="5"/>
        <v>배관|주철이형관 부설·접합</v>
      </c>
    </row>
    <row r="155" spans="2:10" ht="15">
      <c r="B155" s="68">
        <v>150</v>
      </c>
      <c r="C155" s="68" t="s">
        <v>402</v>
      </c>
      <c r="D155" s="69" t="s">
        <v>403</v>
      </c>
      <c r="E155" s="69" t="s">
        <v>913</v>
      </c>
      <c r="F155" s="69" t="s">
        <v>914</v>
      </c>
      <c r="G155" s="226">
        <v>15</v>
      </c>
      <c r="H155" s="67" t="s">
        <v>880</v>
      </c>
      <c r="J155" s="62" t="str">
        <f t="shared" si="5"/>
        <v>배관|내충격수도관 부설</v>
      </c>
    </row>
    <row r="156" spans="2:10" ht="15">
      <c r="B156" s="68">
        <v>151</v>
      </c>
      <c r="C156" s="68" t="s">
        <v>402</v>
      </c>
      <c r="D156" s="69" t="s">
        <v>403</v>
      </c>
      <c r="E156" s="69" t="s">
        <v>915</v>
      </c>
      <c r="F156" s="69" t="s">
        <v>916</v>
      </c>
      <c r="G156" s="226">
        <v>12</v>
      </c>
      <c r="H156" s="67" t="s">
        <v>880</v>
      </c>
      <c r="J156" s="62" t="str">
        <f t="shared" si="5"/>
        <v>배관|관절단·플랜지 접합</v>
      </c>
    </row>
    <row r="157" spans="2:10" ht="15">
      <c r="B157" s="68">
        <v>152</v>
      </c>
      <c r="C157" s="68" t="s">
        <v>402</v>
      </c>
      <c r="D157" s="69" t="s">
        <v>403</v>
      </c>
      <c r="E157" s="69" t="s">
        <v>917</v>
      </c>
      <c r="F157" s="69" t="s">
        <v>918</v>
      </c>
      <c r="G157" s="226">
        <v>8</v>
      </c>
      <c r="H157" s="67" t="s">
        <v>880</v>
      </c>
      <c r="J157" s="62" t="str">
        <f t="shared" si="5"/>
        <v>배관|STS 강관 용접</v>
      </c>
    </row>
    <row r="158" spans="2:10" ht="15">
      <c r="B158" s="68">
        <v>153</v>
      </c>
      <c r="C158" s="68" t="s">
        <v>402</v>
      </c>
      <c r="D158" s="69" t="s">
        <v>403</v>
      </c>
      <c r="E158" s="69" t="s">
        <v>919</v>
      </c>
      <c r="F158" s="69" t="s">
        <v>920</v>
      </c>
      <c r="G158" s="226">
        <v>300</v>
      </c>
      <c r="H158" s="67" t="s">
        <v>841</v>
      </c>
      <c r="J158" s="62" t="str">
        <f t="shared" si="5"/>
        <v>배관|관로 경고테이프 설치</v>
      </c>
    </row>
    <row r="159" spans="2:10" ht="15">
      <c r="B159" s="68">
        <v>154</v>
      </c>
      <c r="C159" s="68" t="s">
        <v>211</v>
      </c>
      <c r="D159" s="69" t="s">
        <v>921</v>
      </c>
      <c r="E159" s="69" t="s">
        <v>922</v>
      </c>
      <c r="F159" s="69" t="s">
        <v>923</v>
      </c>
      <c r="G159" s="226">
        <v>8</v>
      </c>
      <c r="H159" s="67" t="s">
        <v>924</v>
      </c>
      <c r="J159" s="62" t="str">
        <f t="shared" si="5"/>
        <v>부대공|메쉬휀스 설치</v>
      </c>
    </row>
    <row r="160" spans="2:10" ht="15">
      <c r="B160" s="68">
        <v>155</v>
      </c>
      <c r="C160" s="68" t="s">
        <v>211</v>
      </c>
      <c r="D160" s="69" t="s">
        <v>921</v>
      </c>
      <c r="E160" s="69" t="s">
        <v>925</v>
      </c>
      <c r="F160" s="69" t="s">
        <v>923</v>
      </c>
      <c r="G160" s="226">
        <v>15</v>
      </c>
      <c r="H160" s="67" t="s">
        <v>924</v>
      </c>
      <c r="J160" s="62" t="str">
        <f t="shared" si="5"/>
        <v>부대공|기존 휀스 철거</v>
      </c>
    </row>
    <row r="161" spans="2:10" ht="15">
      <c r="B161" s="68">
        <v>156</v>
      </c>
      <c r="C161" s="68" t="s">
        <v>211</v>
      </c>
      <c r="D161" s="69" t="s">
        <v>921</v>
      </c>
      <c r="E161" s="69" t="s">
        <v>926</v>
      </c>
      <c r="F161" s="69" t="s">
        <v>927</v>
      </c>
      <c r="G161" s="226">
        <v>10</v>
      </c>
      <c r="H161" s="67" t="s">
        <v>924</v>
      </c>
      <c r="J161" s="62" t="str">
        <f t="shared" si="5"/>
        <v>부대공|EGI휀스+분진망 설치/철거</v>
      </c>
    </row>
    <row r="162" spans="2:10" ht="15">
      <c r="B162" s="68">
        <v>157</v>
      </c>
      <c r="C162" s="68" t="s">
        <v>211</v>
      </c>
      <c r="D162" s="69" t="s">
        <v>921</v>
      </c>
      <c r="E162" s="69" t="s">
        <v>928</v>
      </c>
      <c r="F162" s="69" t="s">
        <v>929</v>
      </c>
      <c r="G162" s="226">
        <v>2</v>
      </c>
      <c r="H162" s="67" t="s">
        <v>880</v>
      </c>
      <c r="J162" s="62" t="str">
        <f t="shared" si="5"/>
        <v>부대공|기존구조물 천공</v>
      </c>
    </row>
    <row r="163" spans="2:10" ht="15">
      <c r="B163" s="68">
        <v>158</v>
      </c>
      <c r="C163" s="68" t="s">
        <v>211</v>
      </c>
      <c r="D163" s="69" t="s">
        <v>921</v>
      </c>
      <c r="E163" s="69" t="s">
        <v>930</v>
      </c>
      <c r="F163" s="69" t="s">
        <v>931</v>
      </c>
      <c r="G163" s="226">
        <v>0.5</v>
      </c>
      <c r="H163" s="67" t="s">
        <v>932</v>
      </c>
      <c r="J163" s="62" t="str">
        <f t="shared" si="5"/>
        <v>부대공|시추조사</v>
      </c>
    </row>
    <row r="164" spans="2:10" ht="15">
      <c r="B164" s="68">
        <v>159</v>
      </c>
      <c r="C164" s="68" t="s">
        <v>211</v>
      </c>
      <c r="D164" s="69" t="s">
        <v>921</v>
      </c>
      <c r="E164" s="69" t="s">
        <v>933</v>
      </c>
      <c r="F164" s="69" t="s">
        <v>934</v>
      </c>
      <c r="G164" s="226">
        <v>1</v>
      </c>
      <c r="H164" s="67" t="s">
        <v>935</v>
      </c>
      <c r="J164" s="62" t="str">
        <f t="shared" si="5"/>
        <v>부대공|평판재하시험</v>
      </c>
    </row>
    <row r="165" spans="2:10" ht="15">
      <c r="B165" s="68">
        <v>160</v>
      </c>
      <c r="C165" s="68" t="s">
        <v>211</v>
      </c>
      <c r="D165" s="69" t="s">
        <v>921</v>
      </c>
      <c r="E165" s="69" t="s">
        <v>936</v>
      </c>
      <c r="F165" s="69" t="s">
        <v>937</v>
      </c>
      <c r="G165" s="226">
        <v>2</v>
      </c>
      <c r="H165" s="67" t="s">
        <v>880</v>
      </c>
      <c r="J165" s="62" t="str">
        <f t="shared" si="5"/>
        <v>부대공|공사안내판 설치/철거</v>
      </c>
    </row>
    <row r="166" spans="2:10" ht="15">
      <c r="B166" s="68">
        <v>161</v>
      </c>
      <c r="C166" s="68" t="s">
        <v>211</v>
      </c>
      <c r="D166" s="69" t="s">
        <v>921</v>
      </c>
      <c r="E166" s="69" t="s">
        <v>938</v>
      </c>
      <c r="F166" s="69" t="s">
        <v>939</v>
      </c>
      <c r="G166" s="226">
        <v>0.5</v>
      </c>
      <c r="H166" s="67" t="s">
        <v>940</v>
      </c>
      <c r="J166" s="62" t="str">
        <f t="shared" si="5"/>
        <v>부대공|세륜시설 설치/철거</v>
      </c>
    </row>
    <row r="167" spans="2:10" ht="15">
      <c r="B167" s="68">
        <v>162</v>
      </c>
      <c r="C167" s="68" t="s">
        <v>211</v>
      </c>
      <c r="D167" s="69" t="s">
        <v>921</v>
      </c>
      <c r="E167" s="69" t="s">
        <v>941</v>
      </c>
      <c r="F167" s="69" t="s">
        <v>942</v>
      </c>
      <c r="G167" s="226">
        <v>1</v>
      </c>
      <c r="H167" s="67" t="s">
        <v>880</v>
      </c>
      <c r="J167" s="62" t="str">
        <f t="shared" si="5"/>
        <v>부대공|V-NOTCH 웨어 철거/설치</v>
      </c>
    </row>
    <row r="168" spans="2:10" ht="15">
      <c r="B168" s="68">
        <v>163</v>
      </c>
      <c r="C168" s="68" t="s">
        <v>211</v>
      </c>
      <c r="D168" s="69" t="s">
        <v>921</v>
      </c>
      <c r="E168" s="69" t="s">
        <v>943</v>
      </c>
      <c r="F168" s="69" t="s">
        <v>944</v>
      </c>
      <c r="G168" s="226">
        <v>5</v>
      </c>
      <c r="H168" s="67" t="s">
        <v>945</v>
      </c>
      <c r="J168" s="62" t="str">
        <f t="shared" si="5"/>
        <v>부대공|임목폐기물 처리</v>
      </c>
    </row>
    <row r="169" spans="2:10" ht="15">
      <c r="B169" s="68">
        <v>164</v>
      </c>
      <c r="C169" s="68" t="s">
        <v>211</v>
      </c>
      <c r="D169" s="69" t="s">
        <v>921</v>
      </c>
      <c r="E169" s="69" t="s">
        <v>946</v>
      </c>
      <c r="F169" s="69" t="s">
        <v>916</v>
      </c>
      <c r="G169" s="226">
        <v>3</v>
      </c>
      <c r="H169" s="67" t="s">
        <v>880</v>
      </c>
      <c r="J169" s="62" t="str">
        <f t="shared" si="5"/>
        <v>부대공|수압·수밀시험</v>
      </c>
    </row>
  </sheetData>
  <mergeCells count="1">
    <mergeCell ref="A1:G1"/>
  </mergeCells>
  <phoneticPr fontId="84" type="noConversion"/>
  <pageMargins left="0.74803149606299213" right="0.74803149606299213" top="0.98425196850393704" bottom="0.98425196850393704" header="0.51181102362204722" footer="0.51181102362204722"/>
  <pageSetup paperSize="9" scale="7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A1:R100"/>
  <sheetViews>
    <sheetView view="pageBreakPreview" zoomScale="60" zoomScaleNormal="85" workbookViewId="0">
      <selection activeCell="G6" sqref="G6"/>
    </sheetView>
  </sheetViews>
  <sheetFormatPr defaultColWidth="8.69140625" defaultRowHeight="14.6"/>
  <cols>
    <col min="1" max="1" width="3" customWidth="1"/>
    <col min="2" max="2" width="5" customWidth="1"/>
    <col min="3" max="3" width="13" customWidth="1"/>
    <col min="4" max="5" width="26" customWidth="1"/>
    <col min="6" max="6" width="8" customWidth="1"/>
    <col min="7" max="7" width="10" customWidth="1"/>
    <col min="8" max="8" width="7" customWidth="1"/>
    <col min="9" max="9" width="12" hidden="1" customWidth="1"/>
    <col min="10" max="10" width="12" customWidth="1"/>
    <col min="11" max="11" width="7" customWidth="1"/>
    <col min="12" max="12" width="10" customWidth="1"/>
    <col min="13" max="13" width="9" customWidth="1"/>
    <col min="14" max="14" width="8" customWidth="1"/>
    <col min="15" max="15" width="11" customWidth="1"/>
  </cols>
  <sheetData>
    <row r="1" spans="1:18" ht="25.5" customHeight="1">
      <c r="A1" s="477" t="s">
        <v>417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</row>
    <row r="2" spans="1:18" ht="15.45">
      <c r="B2" s="1" t="s">
        <v>418</v>
      </c>
    </row>
    <row r="4" spans="1:18" ht="37.5" customHeight="1">
      <c r="B4" s="71" t="s">
        <v>76</v>
      </c>
      <c r="C4" s="72" t="s">
        <v>205</v>
      </c>
      <c r="D4" s="72" t="s">
        <v>419</v>
      </c>
      <c r="E4" s="72" t="s">
        <v>420</v>
      </c>
      <c r="F4" s="72" t="s">
        <v>421</v>
      </c>
      <c r="G4" s="72" t="s">
        <v>422</v>
      </c>
      <c r="H4" s="72" t="s">
        <v>209</v>
      </c>
      <c r="I4" s="72" t="s">
        <v>423</v>
      </c>
      <c r="J4" s="72" t="s">
        <v>424</v>
      </c>
      <c r="K4" s="72" t="s">
        <v>425</v>
      </c>
      <c r="L4" s="72" t="s">
        <v>426</v>
      </c>
      <c r="M4" s="72" t="s">
        <v>427</v>
      </c>
      <c r="N4" s="72" t="s">
        <v>428</v>
      </c>
      <c r="O4" s="72" t="s">
        <v>429</v>
      </c>
      <c r="R4">
        <f>⑥공사기간종합!C10</f>
        <v>0</v>
      </c>
    </row>
    <row r="5" spans="1:18" ht="15">
      <c r="B5" s="145"/>
      <c r="C5" s="158" t="s">
        <v>783</v>
      </c>
      <c r="D5" s="166"/>
      <c r="E5" s="167"/>
      <c r="F5" s="159"/>
      <c r="G5" s="160"/>
      <c r="H5" s="145"/>
      <c r="I5" s="161"/>
      <c r="J5" s="162"/>
      <c r="K5" s="163"/>
      <c r="L5" s="164"/>
      <c r="M5" s="163"/>
      <c r="N5" s="163"/>
      <c r="O5" s="165">
        <f>SUM(O6:O55)</f>
        <v>527.50000000000023</v>
      </c>
    </row>
    <row r="6" spans="1:18" ht="16" customHeight="1">
      <c r="B6" s="63">
        <v>1</v>
      </c>
      <c r="C6" s="114" t="s">
        <v>231</v>
      </c>
      <c r="D6" s="117" t="s">
        <v>768</v>
      </c>
      <c r="E6" s="140" t="s">
        <v>821</v>
      </c>
      <c r="F6" s="118" t="s">
        <v>753</v>
      </c>
      <c r="G6" s="109">
        <v>8914</v>
      </c>
      <c r="H6" s="9" t="str">
        <f>IF($F6="부록4",IFERROR(INDEX(③1일작업량DB!$H$6:$H$112,MATCH($C6&amp;"|"&amp;$D6,③1일작업량DB!$J$6:$J$112,0)),"-"),"")</f>
        <v>㎥/일</v>
      </c>
      <c r="I6" s="110"/>
      <c r="J6" s="111">
        <f>IF($F6="부록4",IFERROR(INDEX(③1일작업량DB!$G$6:$G$112,MATCH($C6&amp;"|"&amp;$D6,③1일작업량DB!$J$6:$J$112,0)),""),$I6)</f>
        <v>380</v>
      </c>
      <c r="K6" s="112">
        <v>3</v>
      </c>
      <c r="L6" s="139">
        <f>IFERROR(IF(AND($G6&gt;0,$J6&gt;0,$K6&gt;0),ROUNDUP($G6/($J6*$K6),1),0),0)</f>
        <v>7.8999999999999995</v>
      </c>
      <c r="M6" s="112">
        <v>0</v>
      </c>
      <c r="N6" s="112">
        <v>0</v>
      </c>
      <c r="O6" s="142">
        <f>$L6+$M6+$N6</f>
        <v>7.8999999999999995</v>
      </c>
    </row>
    <row r="7" spans="1:18" ht="16" customHeight="1">
      <c r="B7" s="63">
        <f>B6+1</f>
        <v>2</v>
      </c>
      <c r="C7" s="119" t="s">
        <v>231</v>
      </c>
      <c r="D7" s="117" t="s">
        <v>768</v>
      </c>
      <c r="E7" s="140" t="s">
        <v>772</v>
      </c>
      <c r="F7" s="118" t="s">
        <v>753</v>
      </c>
      <c r="G7" s="109">
        <v>9754</v>
      </c>
      <c r="H7" s="9" t="str">
        <f>IF($F7="부록4",IFERROR(INDEX(③1일작업량DB!$H$6:$H$112,MATCH($C7&amp;"|"&amp;$D7,③1일작업량DB!$J$6:$J$112,0)),"-"),"")</f>
        <v>㎥/일</v>
      </c>
      <c r="I7" s="110"/>
      <c r="J7" s="111">
        <f>IF($F7="부록4",IFERROR(INDEX(③1일작업량DB!$G$6:$G$112,MATCH($C7&amp;"|"&amp;$D7,③1일작업량DB!$J$6:$J$112,0)),""),$I7)</f>
        <v>380</v>
      </c>
      <c r="K7" s="112">
        <v>3</v>
      </c>
      <c r="L7" s="139">
        <f t="shared" ref="L7:L68" si="0">IFERROR(IF(AND($G7&gt;0,$J7&gt;0,$K7&gt;0),ROUNDUP($G7/($J7*$K7),1),0),0)</f>
        <v>8.6</v>
      </c>
      <c r="M7" s="112">
        <v>0</v>
      </c>
      <c r="N7" s="112">
        <v>0</v>
      </c>
      <c r="O7" s="142">
        <f t="shared" ref="O7:O68" si="1">$L7+$M7+$N7</f>
        <v>8.6</v>
      </c>
    </row>
    <row r="8" spans="1:18" ht="16" customHeight="1">
      <c r="B8" s="63">
        <f t="shared" ref="B8:B54" si="2">B7+1</f>
        <v>3</v>
      </c>
      <c r="C8" s="114" t="s">
        <v>231</v>
      </c>
      <c r="D8" s="117" t="s">
        <v>822</v>
      </c>
      <c r="E8" s="140" t="s">
        <v>773</v>
      </c>
      <c r="F8" s="118" t="s">
        <v>753</v>
      </c>
      <c r="G8" s="109">
        <v>173</v>
      </c>
      <c r="H8" s="9" t="str">
        <f>IF($F8="부록4",IFERROR(INDEX(③1일작업량DB!$H$6:$H$112,MATCH($C8&amp;"|"&amp;$D8,③1일작업량DB!$J$6:$J$112,0)),"-"),"")</f>
        <v>㎥/일</v>
      </c>
      <c r="I8" s="110"/>
      <c r="J8" s="111">
        <v>514</v>
      </c>
      <c r="K8" s="112">
        <v>3</v>
      </c>
      <c r="L8" s="139">
        <f t="shared" si="0"/>
        <v>0.2</v>
      </c>
      <c r="M8" s="112">
        <v>0</v>
      </c>
      <c r="N8" s="112">
        <v>0</v>
      </c>
      <c r="O8" s="142">
        <f t="shared" si="1"/>
        <v>0.2</v>
      </c>
    </row>
    <row r="9" spans="1:18" ht="16" customHeight="1">
      <c r="B9" s="63">
        <f t="shared" si="2"/>
        <v>4</v>
      </c>
      <c r="C9" s="114" t="s">
        <v>774</v>
      </c>
      <c r="D9" s="119" t="s">
        <v>257</v>
      </c>
      <c r="E9" s="140" t="s">
        <v>775</v>
      </c>
      <c r="F9" s="118" t="s">
        <v>753</v>
      </c>
      <c r="G9" s="109">
        <f>4384+92+2+1</f>
        <v>4479</v>
      </c>
      <c r="H9" s="9" t="str">
        <f>IF($F9="부록4",IFERROR(INDEX(③1일작업량DB!$H$6:$H$112,MATCH($C9&amp;"|"&amp;$D9,③1일작업량DB!$J$6:$J$112,0)),"-"),"")</f>
        <v>㎥/일</v>
      </c>
      <c r="I9" s="110"/>
      <c r="J9" s="111">
        <f>IF($F9="부록4",IFERROR(INDEX(③1일작업량DB!$G$6:$G$112,MATCH($C9&amp;"|"&amp;$D9,③1일작업량DB!$J$6:$J$112,0)),""),$I9)</f>
        <v>42</v>
      </c>
      <c r="K9" s="112">
        <v>3</v>
      </c>
      <c r="L9" s="139">
        <f t="shared" si="0"/>
        <v>35.6</v>
      </c>
      <c r="M9" s="112">
        <v>0</v>
      </c>
      <c r="N9" s="112">
        <v>0</v>
      </c>
      <c r="O9" s="142">
        <f t="shared" si="1"/>
        <v>35.6</v>
      </c>
    </row>
    <row r="10" spans="1:18" ht="16" customHeight="1">
      <c r="B10" s="63">
        <f t="shared" si="2"/>
        <v>5</v>
      </c>
      <c r="C10" s="114" t="s">
        <v>774</v>
      </c>
      <c r="D10" s="119" t="s">
        <v>237</v>
      </c>
      <c r="E10" s="140" t="s">
        <v>776</v>
      </c>
      <c r="F10" s="118" t="s">
        <v>753</v>
      </c>
      <c r="G10" s="109">
        <v>1894</v>
      </c>
      <c r="H10" s="9" t="str">
        <f>IF($F10="부록4",IFERROR(INDEX(③1일작업량DB!$H$6:$H$112,MATCH($C10&amp;"|"&amp;$D10,③1일작업량DB!$J$6:$J$112,0)),"-"),"")</f>
        <v>㎡/일</v>
      </c>
      <c r="I10" s="110"/>
      <c r="J10" s="111">
        <f>IF($F10="부록4",IFERROR(INDEX(③1일작업량DB!$G$6:$G$112,MATCH($C10&amp;"|"&amp;$D10,③1일작업량DB!$J$6:$J$112,0)),""),$I10)</f>
        <v>1915</v>
      </c>
      <c r="K10" s="112">
        <v>1</v>
      </c>
      <c r="L10" s="139">
        <f t="shared" si="0"/>
        <v>1</v>
      </c>
      <c r="M10" s="112">
        <v>0</v>
      </c>
      <c r="N10" s="112">
        <v>0</v>
      </c>
      <c r="O10" s="142">
        <f t="shared" si="1"/>
        <v>1</v>
      </c>
    </row>
    <row r="11" spans="1:18" ht="16" customHeight="1">
      <c r="B11" s="63">
        <f t="shared" si="2"/>
        <v>6</v>
      </c>
      <c r="C11" s="114" t="s">
        <v>770</v>
      </c>
      <c r="D11" s="114" t="s">
        <v>769</v>
      </c>
      <c r="E11" s="492" t="s">
        <v>783</v>
      </c>
      <c r="F11" s="118" t="s">
        <v>753</v>
      </c>
      <c r="G11" s="109">
        <v>50</v>
      </c>
      <c r="H11" s="9" t="str">
        <f>IF($F11="부록4",IFERROR(INDEX(③1일작업량DB!$H$6:$H$112,MATCH($C11&amp;"|"&amp;$D11,③1일작업량DB!$J$6:$J$112,0)),"-"),"")</f>
        <v>본/일</v>
      </c>
      <c r="I11" s="110"/>
      <c r="J11" s="111">
        <f>IF($F11="부록4",IFERROR(INDEX(③1일작업량DB!$G$6:$G$112,MATCH($C11&amp;"|"&amp;$D11,③1일작업량DB!$J$6:$J$112,0)),""),$I11)</f>
        <v>27</v>
      </c>
      <c r="K11" s="112">
        <v>3</v>
      </c>
      <c r="L11" s="139">
        <f t="shared" si="0"/>
        <v>0.7</v>
      </c>
      <c r="M11" s="112">
        <v>0</v>
      </c>
      <c r="N11" s="112">
        <v>0</v>
      </c>
      <c r="O11" s="142">
        <f t="shared" si="1"/>
        <v>0.7</v>
      </c>
    </row>
    <row r="12" spans="1:18" ht="16" customHeight="1">
      <c r="B12" s="63">
        <f t="shared" si="2"/>
        <v>7</v>
      </c>
      <c r="C12" s="114" t="s">
        <v>770</v>
      </c>
      <c r="D12" s="117" t="s">
        <v>823</v>
      </c>
      <c r="E12" s="493"/>
      <c r="F12" s="118" t="s">
        <v>755</v>
      </c>
      <c r="G12" s="109">
        <f>56+192+104+38+118+56+18+56</f>
        <v>638</v>
      </c>
      <c r="H12" s="9" t="str">
        <f>IF($F12="부록4",IFERROR(INDEX(③1일작업량DB!$H$6:$H$112,MATCH($C12&amp;"|"&amp;$D12,③1일작업량DB!$J$6:$J$112,0)),"-"),"")</f>
        <v>본/일</v>
      </c>
      <c r="I12" s="110"/>
      <c r="J12" s="111">
        <f>IF($F12="부록4",IFERROR(INDEX(③1일작업량DB!$G$6:$G$112,MATCH($C12&amp;"|"&amp;$D12,③1일작업량DB!$J$6:$J$112,0)),""),$I12)</f>
        <v>10</v>
      </c>
      <c r="K12" s="112">
        <v>3</v>
      </c>
      <c r="L12" s="139">
        <f t="shared" si="0"/>
        <v>21.3</v>
      </c>
      <c r="M12" s="112">
        <v>0</v>
      </c>
      <c r="N12" s="112">
        <v>0</v>
      </c>
      <c r="O12" s="142">
        <f t="shared" si="1"/>
        <v>21.3</v>
      </c>
    </row>
    <row r="13" spans="1:18" ht="16" customHeight="1">
      <c r="B13" s="63">
        <f t="shared" si="2"/>
        <v>8</v>
      </c>
      <c r="C13" s="114" t="s">
        <v>778</v>
      </c>
      <c r="D13" s="119" t="s">
        <v>754</v>
      </c>
      <c r="E13" s="492" t="s">
        <v>784</v>
      </c>
      <c r="F13" s="118" t="s">
        <v>755</v>
      </c>
      <c r="G13" s="109">
        <v>52</v>
      </c>
      <c r="H13" s="9" t="str">
        <f>IF($F13="부록4",IFERROR(INDEX(③1일작업량DB!$H$6:$H$112,MATCH($C13&amp;"|"&amp;$D13,③1일작업량DB!$J$6:$J$112,0)),"-"),"")</f>
        <v>본/일</v>
      </c>
      <c r="I13" s="110"/>
      <c r="J13" s="111">
        <f>IF($F13="부록4",IFERROR(INDEX(③1일작업량DB!$G$6:$G$112,MATCH($C13&amp;"|"&amp;$D13,③1일작업량DB!$J$6:$J$112,0)),""),$I13)</f>
        <v>10</v>
      </c>
      <c r="K13" s="112">
        <v>3</v>
      </c>
      <c r="L13" s="139">
        <f t="shared" si="0"/>
        <v>1.8</v>
      </c>
      <c r="M13" s="112">
        <v>0</v>
      </c>
      <c r="N13" s="112">
        <v>0</v>
      </c>
      <c r="O13" s="142">
        <f t="shared" si="1"/>
        <v>1.8</v>
      </c>
    </row>
    <row r="14" spans="1:18" ht="16" customHeight="1">
      <c r="B14" s="63">
        <f t="shared" si="2"/>
        <v>9</v>
      </c>
      <c r="C14" s="114" t="s">
        <v>770</v>
      </c>
      <c r="D14" s="119" t="s">
        <v>771</v>
      </c>
      <c r="E14" s="493"/>
      <c r="F14" s="118" t="s">
        <v>753</v>
      </c>
      <c r="G14" s="109">
        <f>8+5+1</f>
        <v>14</v>
      </c>
      <c r="H14" s="9" t="str">
        <f>IF($F14="부록4",IFERROR(INDEX(③1일작업량DB!$H$6:$H$112,MATCH($C14&amp;"|"&amp;$D14,③1일작업량DB!$J$6:$J$112,0)),"-"),"")</f>
        <v>본/일</v>
      </c>
      <c r="I14" s="110"/>
      <c r="J14" s="111">
        <f>IF($F14="부록4",IFERROR(INDEX(③1일작업량DB!$G$6:$G$112,MATCH($C14&amp;"|"&amp;$D14,③1일작업량DB!$J$6:$J$112,0)),""),$I14)</f>
        <v>10</v>
      </c>
      <c r="K14" s="112">
        <v>3</v>
      </c>
      <c r="L14" s="139">
        <f t="shared" si="0"/>
        <v>0.5</v>
      </c>
      <c r="M14" s="112">
        <v>0</v>
      </c>
      <c r="N14" s="112">
        <v>0</v>
      </c>
      <c r="O14" s="142">
        <f t="shared" si="1"/>
        <v>0.5</v>
      </c>
    </row>
    <row r="15" spans="1:18" ht="16" customHeight="1">
      <c r="B15" s="63">
        <f t="shared" si="2"/>
        <v>10</v>
      </c>
      <c r="C15" s="114" t="s">
        <v>778</v>
      </c>
      <c r="D15" s="119" t="s">
        <v>754</v>
      </c>
      <c r="E15" s="492" t="s">
        <v>798</v>
      </c>
      <c r="F15" s="118" t="s">
        <v>753</v>
      </c>
      <c r="G15" s="109">
        <v>92</v>
      </c>
      <c r="H15" s="9" t="str">
        <f>IF($F15="부록4",IFERROR(INDEX(③1일작업량DB!$H$6:$H$112,MATCH($C15&amp;"|"&amp;$D15,③1일작업량DB!$J$6:$J$112,0)),"-"),"")</f>
        <v>본/일</v>
      </c>
      <c r="I15" s="110"/>
      <c r="J15" s="111">
        <f>IF($F15="부록4",IFERROR(INDEX(③1일작업량DB!$G$6:$G$112,MATCH($C15&amp;"|"&amp;$D15,③1일작업량DB!$J$6:$J$112,0)),""),$I15)</f>
        <v>10</v>
      </c>
      <c r="K15" s="112">
        <v>3</v>
      </c>
      <c r="L15" s="139">
        <f t="shared" si="0"/>
        <v>3.1</v>
      </c>
      <c r="M15" s="112">
        <v>0</v>
      </c>
      <c r="N15" s="112">
        <v>0</v>
      </c>
      <c r="O15" s="142">
        <f t="shared" si="1"/>
        <v>3.1</v>
      </c>
    </row>
    <row r="16" spans="1:18" ht="16" customHeight="1">
      <c r="B16" s="63">
        <f t="shared" si="2"/>
        <v>11</v>
      </c>
      <c r="C16" s="114" t="s">
        <v>770</v>
      </c>
      <c r="D16" s="119" t="s">
        <v>771</v>
      </c>
      <c r="E16" s="493"/>
      <c r="F16" s="118" t="s">
        <v>755</v>
      </c>
      <c r="G16" s="109">
        <f>4+16</f>
        <v>20</v>
      </c>
      <c r="H16" s="9" t="str">
        <f>IF($F16="부록4",IFERROR(INDEX(③1일작업량DB!$H$6:$H$112,MATCH($C16&amp;"|"&amp;$D16,③1일작업량DB!$J$6:$J$112,0)),"-"),"")</f>
        <v>본/일</v>
      </c>
      <c r="I16" s="110"/>
      <c r="J16" s="111">
        <f>IF($F16="부록4",IFERROR(INDEX(③1일작업량DB!$G$6:$G$112,MATCH($C16&amp;"|"&amp;$D16,③1일작업량DB!$J$6:$J$112,0)),""),$I16)</f>
        <v>10</v>
      </c>
      <c r="K16" s="112">
        <v>3</v>
      </c>
      <c r="L16" s="139">
        <f t="shared" si="0"/>
        <v>0.7</v>
      </c>
      <c r="M16" s="112">
        <v>0</v>
      </c>
      <c r="N16" s="112">
        <v>0</v>
      </c>
      <c r="O16" s="142">
        <f t="shared" si="1"/>
        <v>0.7</v>
      </c>
    </row>
    <row r="17" spans="2:15" ht="16" customHeight="1">
      <c r="B17" s="63">
        <f t="shared" si="2"/>
        <v>12</v>
      </c>
      <c r="C17" s="114" t="s">
        <v>361</v>
      </c>
      <c r="D17" s="119" t="s">
        <v>757</v>
      </c>
      <c r="E17" s="495" t="s">
        <v>783</v>
      </c>
      <c r="F17" s="118" t="s">
        <v>755</v>
      </c>
      <c r="G17" s="109">
        <v>4513</v>
      </c>
      <c r="H17" s="9" t="str">
        <f>IF($F17="부록4",IFERROR(INDEX(③1일작업량DB!$H$6:$H$112,MATCH($C17&amp;"|"&amp;$D17,③1일작업량DB!$J$6:$J$112,0)),"-"),"")</f>
        <v>㎥/일</v>
      </c>
      <c r="I17" s="110"/>
      <c r="J17" s="111">
        <f>IF($F17="부록4",IFERROR(INDEX(③1일작업량DB!$G$6:$G$112,MATCH($C17&amp;"|"&amp;$D17,③1일작업량DB!$J$6:$J$112,0)),""),$I17)</f>
        <v>130</v>
      </c>
      <c r="K17" s="112">
        <v>3</v>
      </c>
      <c r="L17" s="139">
        <f t="shared" si="0"/>
        <v>11.6</v>
      </c>
      <c r="M17" s="112">
        <v>3</v>
      </c>
      <c r="N17" s="112">
        <v>2</v>
      </c>
      <c r="O17" s="142">
        <f t="shared" si="1"/>
        <v>16.600000000000001</v>
      </c>
    </row>
    <row r="18" spans="2:15" ht="16" customHeight="1">
      <c r="B18" s="63">
        <f t="shared" si="2"/>
        <v>13</v>
      </c>
      <c r="C18" s="114" t="s">
        <v>361</v>
      </c>
      <c r="D18" s="119" t="s">
        <v>756</v>
      </c>
      <c r="E18" s="496"/>
      <c r="F18" s="118" t="s">
        <v>755</v>
      </c>
      <c r="G18" s="109">
        <v>662</v>
      </c>
      <c r="H18" s="9" t="str">
        <f>IF($F18="부록4",IFERROR(INDEX(③1일작업량DB!$H$6:$H$112,MATCH($C18&amp;"|"&amp;$D18,③1일작업량DB!$J$6:$J$112,0)),"-"),"")</f>
        <v>㎥/일</v>
      </c>
      <c r="I18" s="110"/>
      <c r="J18" s="111">
        <f>IF($F18="부록4",IFERROR(INDEX(③1일작업량DB!$G$6:$G$112,MATCH($C18&amp;"|"&amp;$D18,③1일작업량DB!$J$6:$J$112,0)),""),$I18)</f>
        <v>189</v>
      </c>
      <c r="K18" s="112">
        <v>3</v>
      </c>
      <c r="L18" s="139">
        <f t="shared" si="0"/>
        <v>1.2000000000000002</v>
      </c>
      <c r="M18" s="112">
        <v>1</v>
      </c>
      <c r="N18" s="112">
        <v>0</v>
      </c>
      <c r="O18" s="142">
        <f t="shared" si="1"/>
        <v>2.2000000000000002</v>
      </c>
    </row>
    <row r="19" spans="2:15" ht="16" customHeight="1">
      <c r="B19" s="63">
        <f t="shared" si="2"/>
        <v>14</v>
      </c>
      <c r="C19" s="114" t="s">
        <v>361</v>
      </c>
      <c r="D19" s="119" t="s">
        <v>759</v>
      </c>
      <c r="E19" s="496"/>
      <c r="F19" s="118" t="s">
        <v>755</v>
      </c>
      <c r="G19" s="109">
        <f>3619+350</f>
        <v>3969</v>
      </c>
      <c r="H19" s="9" t="str">
        <f>IF($F19="부록4",IFERROR(INDEX(③1일작업량DB!$H$6:$H$112,MATCH($C19&amp;"|"&amp;$D19,③1일작업량DB!$J$6:$J$112,0)),"-"),"")</f>
        <v>㎡/일</v>
      </c>
      <c r="I19" s="110"/>
      <c r="J19" s="111">
        <f>IF($F19="부록4",IFERROR(INDEX(③1일작업량DB!$G$6:$G$112,MATCH($C19&amp;"|"&amp;$D19,③1일작업량DB!$J$6:$J$112,0)),""),$I19)</f>
        <v>50</v>
      </c>
      <c r="K19" s="112">
        <v>3</v>
      </c>
      <c r="L19" s="139">
        <f t="shared" si="0"/>
        <v>26.5</v>
      </c>
      <c r="M19" s="112">
        <v>0</v>
      </c>
      <c r="N19" s="112">
        <v>0</v>
      </c>
      <c r="O19" s="142">
        <f t="shared" si="1"/>
        <v>26.5</v>
      </c>
    </row>
    <row r="20" spans="2:15" ht="16" customHeight="1">
      <c r="B20" s="63">
        <f t="shared" si="2"/>
        <v>15</v>
      </c>
      <c r="C20" s="114" t="s">
        <v>361</v>
      </c>
      <c r="D20" s="119" t="s">
        <v>758</v>
      </c>
      <c r="E20" s="496"/>
      <c r="F20" s="118" t="s">
        <v>755</v>
      </c>
      <c r="G20" s="109">
        <f>1105+109</f>
        <v>1214</v>
      </c>
      <c r="H20" s="9" t="str">
        <f>IF($F20="부록4",IFERROR(INDEX(③1일작업량DB!$H$6:$H$112,MATCH($C20&amp;"|"&amp;$D20,③1일작업량DB!$J$6:$J$112,0)),"-"),"")</f>
        <v>㎡/일</v>
      </c>
      <c r="I20" s="110"/>
      <c r="J20" s="111">
        <f>IF($F20="부록4",IFERROR(INDEX(③1일작업량DB!$G$6:$G$112,MATCH($C20&amp;"|"&amp;$D20,③1일작업량DB!$J$6:$J$112,0)),""),$I20)</f>
        <v>60</v>
      </c>
      <c r="K20" s="112">
        <v>3</v>
      </c>
      <c r="L20" s="139">
        <f t="shared" si="0"/>
        <v>6.8</v>
      </c>
      <c r="M20" s="112">
        <v>3</v>
      </c>
      <c r="N20" s="112">
        <v>0</v>
      </c>
      <c r="O20" s="142">
        <f t="shared" si="1"/>
        <v>9.8000000000000007</v>
      </c>
    </row>
    <row r="21" spans="2:15" ht="16" customHeight="1">
      <c r="B21" s="63">
        <f t="shared" si="2"/>
        <v>16</v>
      </c>
      <c r="C21" s="114" t="s">
        <v>361</v>
      </c>
      <c r="D21" s="119" t="s">
        <v>780</v>
      </c>
      <c r="E21" s="496"/>
      <c r="F21" s="118" t="s">
        <v>755</v>
      </c>
      <c r="G21" s="109">
        <v>871</v>
      </c>
      <c r="H21" s="9" t="str">
        <f>IF($F21="부록4",IFERROR(INDEX(③1일작업량DB!$H$6:$H$112,MATCH($C21&amp;"|"&amp;$D21,③1일작업량DB!$J$6:$J$112,0)),"-"),"")</f>
        <v>㎡/일</v>
      </c>
      <c r="I21" s="110"/>
      <c r="J21" s="111">
        <f>IF($F21="부록4",IFERROR(INDEX(③1일작업량DB!$G$6:$G$112,MATCH($C21&amp;"|"&amp;$D21,③1일작업량DB!$J$6:$J$112,0)),""),$I21)</f>
        <v>40</v>
      </c>
      <c r="K21" s="112">
        <v>3</v>
      </c>
      <c r="L21" s="139">
        <f t="shared" si="0"/>
        <v>7.3</v>
      </c>
      <c r="M21" s="112">
        <v>0</v>
      </c>
      <c r="N21" s="112">
        <v>0</v>
      </c>
      <c r="O21" s="142">
        <f t="shared" si="1"/>
        <v>7.3</v>
      </c>
    </row>
    <row r="22" spans="2:15" ht="16" customHeight="1">
      <c r="B22" s="63">
        <f t="shared" si="2"/>
        <v>17</v>
      </c>
      <c r="C22" s="114" t="s">
        <v>781</v>
      </c>
      <c r="D22" s="119" t="s">
        <v>341</v>
      </c>
      <c r="E22" s="496"/>
      <c r="F22" s="118" t="s">
        <v>755</v>
      </c>
      <c r="G22" s="109">
        <v>4463</v>
      </c>
      <c r="H22" s="9" t="str">
        <f>IF($F22="부록4",IFERROR(INDEX(③1일작업량DB!$H$6:$H$112,MATCH($C22&amp;"|"&amp;$D22,③1일작업량DB!$J$6:$J$112,0)),"-"),"")</f>
        <v>㎡/일</v>
      </c>
      <c r="I22" s="110"/>
      <c r="J22" s="111">
        <f>IF($F22="부록4",IFERROR(INDEX(③1일작업량DB!$G$6:$G$112,MATCH($C22&amp;"|"&amp;$D22,③1일작업량DB!$J$6:$J$112,0)),""),$I22)</f>
        <v>100</v>
      </c>
      <c r="K22" s="112">
        <v>3</v>
      </c>
      <c r="L22" s="139">
        <f t="shared" si="0"/>
        <v>14.9</v>
      </c>
      <c r="M22" s="112">
        <v>0</v>
      </c>
      <c r="N22" s="112">
        <v>0</v>
      </c>
      <c r="O22" s="142">
        <f t="shared" si="1"/>
        <v>14.9</v>
      </c>
    </row>
    <row r="23" spans="2:15" ht="16" customHeight="1">
      <c r="B23" s="63">
        <f t="shared" si="2"/>
        <v>18</v>
      </c>
      <c r="C23" s="114" t="s">
        <v>782</v>
      </c>
      <c r="D23" s="119" t="s">
        <v>379</v>
      </c>
      <c r="E23" s="496"/>
      <c r="F23" s="118" t="s">
        <v>755</v>
      </c>
      <c r="G23" s="109">
        <v>8639</v>
      </c>
      <c r="H23" s="9" t="str">
        <f>IF($F23="부록4",IFERROR(INDEX(③1일작업량DB!$H$6:$H$112,MATCH($C23&amp;"|"&amp;$D23,③1일작업량DB!$J$6:$J$112,0)),"-"),"")</f>
        <v>㎥/일</v>
      </c>
      <c r="I23" s="110"/>
      <c r="J23" s="111">
        <f>IF($F23="부록4",IFERROR(INDEX(③1일작업량DB!$G$6:$G$112,MATCH($C23&amp;"|"&amp;$D23,③1일작업량DB!$J$6:$J$112,0)),""),$I23)</f>
        <v>69</v>
      </c>
      <c r="K23" s="112">
        <v>3</v>
      </c>
      <c r="L23" s="139">
        <f t="shared" si="0"/>
        <v>41.800000000000004</v>
      </c>
      <c r="M23" s="112">
        <v>0</v>
      </c>
      <c r="N23" s="112">
        <v>0</v>
      </c>
      <c r="O23" s="142">
        <f t="shared" si="1"/>
        <v>41.800000000000004</v>
      </c>
    </row>
    <row r="24" spans="2:15" ht="16" customHeight="1">
      <c r="B24" s="63">
        <f t="shared" si="2"/>
        <v>19</v>
      </c>
      <c r="C24" s="114" t="s">
        <v>361</v>
      </c>
      <c r="D24" s="119" t="s">
        <v>362</v>
      </c>
      <c r="E24" s="497"/>
      <c r="F24" s="118" t="s">
        <v>755</v>
      </c>
      <c r="G24" s="109">
        <v>1654.8920000000001</v>
      </c>
      <c r="H24" s="9" t="str">
        <f>IF($F24="부록4",IFERROR(INDEX(③1일작업량DB!$H$6:$H$112,MATCH($C24&amp;"|"&amp;$D24,③1일작업량DB!$J$6:$J$112,0)),"-"),"")</f>
        <v>ton/일</v>
      </c>
      <c r="I24" s="110"/>
      <c r="J24" s="111">
        <f>IF($F24="부록4",IFERROR(INDEX(③1일작업량DB!$G$6:$G$112,MATCH($C24&amp;"|"&amp;$D24,③1일작업량DB!$J$6:$J$112,0)),""),$I24)</f>
        <v>4</v>
      </c>
      <c r="K24" s="112">
        <v>4</v>
      </c>
      <c r="L24" s="139">
        <f t="shared" si="0"/>
        <v>103.5</v>
      </c>
      <c r="M24" s="112">
        <v>0</v>
      </c>
      <c r="N24" s="112">
        <v>0</v>
      </c>
      <c r="O24" s="142">
        <f t="shared" si="1"/>
        <v>103.5</v>
      </c>
    </row>
    <row r="25" spans="2:15" ht="16" customHeight="1">
      <c r="B25" s="63">
        <f t="shared" si="2"/>
        <v>20</v>
      </c>
      <c r="C25" s="114" t="s">
        <v>361</v>
      </c>
      <c r="D25" s="119" t="s">
        <v>757</v>
      </c>
      <c r="E25" s="495" t="s">
        <v>784</v>
      </c>
      <c r="F25" s="118" t="s">
        <v>755</v>
      </c>
      <c r="G25" s="109">
        <v>132</v>
      </c>
      <c r="H25" s="9" t="str">
        <f>IF($F25="부록4",IFERROR(INDEX(③1일작업량DB!$H$6:$H$112,MATCH($C25&amp;"|"&amp;$D25,③1일작업량DB!$J$6:$J$112,0)),"-"),"")</f>
        <v>㎥/일</v>
      </c>
      <c r="I25" s="110"/>
      <c r="J25" s="111">
        <f>IF($F25="부록4",IFERROR(INDEX(③1일작업량DB!$G$6:$G$112,MATCH($C25&amp;"|"&amp;$D25,③1일작업량DB!$J$6:$J$112,0)),""),$I25)</f>
        <v>130</v>
      </c>
      <c r="K25" s="112">
        <v>1</v>
      </c>
      <c r="L25" s="139">
        <f t="shared" si="0"/>
        <v>1.1000000000000001</v>
      </c>
      <c r="M25" s="112">
        <v>3</v>
      </c>
      <c r="N25" s="112">
        <v>2</v>
      </c>
      <c r="O25" s="142">
        <f t="shared" si="1"/>
        <v>6.1</v>
      </c>
    </row>
    <row r="26" spans="2:15" ht="16" customHeight="1">
      <c r="B26" s="63">
        <f t="shared" si="2"/>
        <v>21</v>
      </c>
      <c r="C26" s="114" t="s">
        <v>361</v>
      </c>
      <c r="D26" s="119" t="s">
        <v>756</v>
      </c>
      <c r="E26" s="496"/>
      <c r="F26" s="118" t="s">
        <v>755</v>
      </c>
      <c r="G26" s="109">
        <v>7</v>
      </c>
      <c r="H26" s="9" t="str">
        <f>IF($F26="부록4",IFERROR(INDEX(③1일작업량DB!$H$6:$H$112,MATCH($C26&amp;"|"&amp;$D26,③1일작업량DB!$J$6:$J$112,0)),"-"),"")</f>
        <v>㎥/일</v>
      </c>
      <c r="I26" s="110"/>
      <c r="J26" s="111">
        <f>IF($F26="부록4",IFERROR(INDEX(③1일작업량DB!$G$6:$G$112,MATCH($C26&amp;"|"&amp;$D26,③1일작업량DB!$J$6:$J$112,0)),""),$I26)</f>
        <v>189</v>
      </c>
      <c r="K26" s="112">
        <v>1</v>
      </c>
      <c r="L26" s="139">
        <f t="shared" si="0"/>
        <v>0.1</v>
      </c>
      <c r="M26" s="112">
        <v>1</v>
      </c>
      <c r="N26" s="112">
        <v>0</v>
      </c>
      <c r="O26" s="142">
        <f t="shared" si="1"/>
        <v>1.1000000000000001</v>
      </c>
    </row>
    <row r="27" spans="2:15" ht="16" customHeight="1">
      <c r="B27" s="63">
        <f t="shared" si="2"/>
        <v>22</v>
      </c>
      <c r="C27" s="114" t="s">
        <v>361</v>
      </c>
      <c r="D27" s="119" t="s">
        <v>759</v>
      </c>
      <c r="E27" s="496"/>
      <c r="F27" s="118" t="s">
        <v>755</v>
      </c>
      <c r="G27" s="109">
        <v>104</v>
      </c>
      <c r="H27" s="9" t="str">
        <f>IF($F27="부록4",IFERROR(INDEX(③1일작업량DB!$H$6:$H$112,MATCH($C27&amp;"|"&amp;$D27,③1일작업량DB!$J$6:$J$112,0)),"-"),"")</f>
        <v>㎡/일</v>
      </c>
      <c r="I27" s="110"/>
      <c r="J27" s="111">
        <f>IF($F27="부록4",IFERROR(INDEX(③1일작업량DB!$G$6:$G$112,MATCH($C27&amp;"|"&amp;$D27,③1일작업량DB!$J$6:$J$112,0)),""),$I27)</f>
        <v>50</v>
      </c>
      <c r="K27" s="112">
        <v>1</v>
      </c>
      <c r="L27" s="139">
        <f t="shared" si="0"/>
        <v>2.1</v>
      </c>
      <c r="M27" s="112">
        <v>0</v>
      </c>
      <c r="N27" s="112">
        <v>0</v>
      </c>
      <c r="O27" s="142">
        <f t="shared" si="1"/>
        <v>2.1</v>
      </c>
    </row>
    <row r="28" spans="2:15" ht="16" customHeight="1">
      <c r="B28" s="63">
        <f t="shared" si="2"/>
        <v>23</v>
      </c>
      <c r="C28" s="114" t="s">
        <v>361</v>
      </c>
      <c r="D28" s="119" t="s">
        <v>758</v>
      </c>
      <c r="E28" s="496"/>
      <c r="F28" s="118" t="s">
        <v>755</v>
      </c>
      <c r="G28" s="109">
        <v>42</v>
      </c>
      <c r="H28" s="9" t="str">
        <f>IF($F28="부록4",IFERROR(INDEX(③1일작업량DB!$H$6:$H$112,MATCH($C28&amp;"|"&amp;$D28,③1일작업량DB!$J$6:$J$112,0)),"-"),"")</f>
        <v>㎡/일</v>
      </c>
      <c r="I28" s="110"/>
      <c r="J28" s="111">
        <f>IF($F28="부록4",IFERROR(INDEX(③1일작업량DB!$G$6:$G$112,MATCH($C28&amp;"|"&amp;$D28,③1일작업량DB!$J$6:$J$112,0)),""),$I28)</f>
        <v>60</v>
      </c>
      <c r="K28" s="112">
        <v>1</v>
      </c>
      <c r="L28" s="139">
        <f t="shared" si="0"/>
        <v>0.7</v>
      </c>
      <c r="M28" s="112">
        <v>3</v>
      </c>
      <c r="N28" s="112">
        <v>0</v>
      </c>
      <c r="O28" s="142">
        <f t="shared" si="1"/>
        <v>3.7</v>
      </c>
    </row>
    <row r="29" spans="2:15" ht="16" customHeight="1">
      <c r="B29" s="63">
        <f t="shared" si="2"/>
        <v>24</v>
      </c>
      <c r="C29" s="114" t="s">
        <v>361</v>
      </c>
      <c r="D29" s="119" t="s">
        <v>780</v>
      </c>
      <c r="E29" s="496"/>
      <c r="F29" s="118" t="s">
        <v>755</v>
      </c>
      <c r="G29" s="109">
        <v>56</v>
      </c>
      <c r="H29" s="9" t="str">
        <f>IF($F29="부록4",IFERROR(INDEX(③1일작업량DB!$H$6:$H$112,MATCH($C29&amp;"|"&amp;$D29,③1일작업량DB!$J$6:$J$112,0)),"-"),"")</f>
        <v>㎡/일</v>
      </c>
      <c r="I29" s="110"/>
      <c r="J29" s="111">
        <f>IF($F29="부록4",IFERROR(INDEX(③1일작업량DB!$G$6:$G$112,MATCH($C29&amp;"|"&amp;$D29,③1일작업량DB!$J$6:$J$112,0)),""),$I29)</f>
        <v>40</v>
      </c>
      <c r="K29" s="112">
        <v>1</v>
      </c>
      <c r="L29" s="139">
        <f t="shared" si="0"/>
        <v>1.4</v>
      </c>
      <c r="M29" s="112">
        <v>0</v>
      </c>
      <c r="N29" s="112">
        <v>0</v>
      </c>
      <c r="O29" s="142">
        <f t="shared" si="1"/>
        <v>1.4</v>
      </c>
    </row>
    <row r="30" spans="2:15" ht="16" customHeight="1">
      <c r="B30" s="63">
        <f t="shared" si="2"/>
        <v>25</v>
      </c>
      <c r="C30" s="114" t="s">
        <v>781</v>
      </c>
      <c r="D30" s="119" t="s">
        <v>341</v>
      </c>
      <c r="E30" s="496"/>
      <c r="F30" s="118" t="s">
        <v>755</v>
      </c>
      <c r="G30" s="109">
        <v>73</v>
      </c>
      <c r="H30" s="9" t="str">
        <f>IF($F30="부록4",IFERROR(INDEX(③1일작업량DB!$H$6:$H$112,MATCH($C30&amp;"|"&amp;$D30,③1일작업량DB!$J$6:$J$112,0)),"-"),"")</f>
        <v>㎡/일</v>
      </c>
      <c r="I30" s="110"/>
      <c r="J30" s="111">
        <f>IF($F30="부록4",IFERROR(INDEX(③1일작업량DB!$G$6:$G$112,MATCH($C30&amp;"|"&amp;$D30,③1일작업량DB!$J$6:$J$112,0)),""),$I30)</f>
        <v>100</v>
      </c>
      <c r="K30" s="112">
        <v>1</v>
      </c>
      <c r="L30" s="139">
        <f t="shared" si="0"/>
        <v>0.79999999999999993</v>
      </c>
      <c r="M30" s="112">
        <v>0</v>
      </c>
      <c r="N30" s="112">
        <v>0</v>
      </c>
      <c r="O30" s="142">
        <f t="shared" si="1"/>
        <v>0.79999999999999993</v>
      </c>
    </row>
    <row r="31" spans="2:15" ht="16" customHeight="1">
      <c r="B31" s="63">
        <f t="shared" si="2"/>
        <v>26</v>
      </c>
      <c r="C31" s="114" t="s">
        <v>782</v>
      </c>
      <c r="D31" s="119" t="s">
        <v>379</v>
      </c>
      <c r="E31" s="496"/>
      <c r="F31" s="118" t="s">
        <v>755</v>
      </c>
      <c r="G31" s="109">
        <v>105</v>
      </c>
      <c r="H31" s="9" t="str">
        <f>IF($F31="부록4",IFERROR(INDEX(③1일작업량DB!$H$6:$H$112,MATCH($C31&amp;"|"&amp;$D31,③1일작업량DB!$J$6:$J$112,0)),"-"),"")</f>
        <v>㎥/일</v>
      </c>
      <c r="I31" s="110"/>
      <c r="J31" s="111">
        <f>IF($F31="부록4",IFERROR(INDEX(③1일작업량DB!$G$6:$G$112,MATCH($C31&amp;"|"&amp;$D31,③1일작업량DB!$J$6:$J$112,0)),""),$I31)</f>
        <v>69</v>
      </c>
      <c r="K31" s="112">
        <v>1</v>
      </c>
      <c r="L31" s="139">
        <f t="shared" si="0"/>
        <v>1.6</v>
      </c>
      <c r="M31" s="112">
        <v>0</v>
      </c>
      <c r="N31" s="112">
        <v>0</v>
      </c>
      <c r="O31" s="142">
        <f t="shared" si="1"/>
        <v>1.6</v>
      </c>
    </row>
    <row r="32" spans="2:15" ht="16" customHeight="1">
      <c r="B32" s="63">
        <f t="shared" si="2"/>
        <v>27</v>
      </c>
      <c r="C32" s="114" t="s">
        <v>361</v>
      </c>
      <c r="D32" s="119" t="s">
        <v>362</v>
      </c>
      <c r="E32" s="497"/>
      <c r="F32" s="118" t="s">
        <v>755</v>
      </c>
      <c r="G32" s="109">
        <v>9.0530000000000008</v>
      </c>
      <c r="H32" s="9" t="str">
        <f>IF($F32="부록4",IFERROR(INDEX(③1일작업량DB!$H$6:$H$112,MATCH($C32&amp;"|"&amp;$D32,③1일작업량DB!$J$6:$J$112,0)),"-"),"")</f>
        <v>ton/일</v>
      </c>
      <c r="I32" s="110"/>
      <c r="J32" s="111">
        <f>IF($F32="부록4",IFERROR(INDEX(③1일작업량DB!$G$6:$G$112,MATCH($C32&amp;"|"&amp;$D32,③1일작업량DB!$J$6:$J$112,0)),""),$I32)</f>
        <v>4</v>
      </c>
      <c r="K32" s="112">
        <v>1</v>
      </c>
      <c r="L32" s="139">
        <f t="shared" si="0"/>
        <v>2.3000000000000003</v>
      </c>
      <c r="M32" s="112">
        <v>0</v>
      </c>
      <c r="N32" s="112">
        <v>0</v>
      </c>
      <c r="O32" s="142">
        <f t="shared" si="1"/>
        <v>2.3000000000000003</v>
      </c>
    </row>
    <row r="33" spans="2:15" ht="16" customHeight="1">
      <c r="B33" s="63">
        <f t="shared" si="2"/>
        <v>28</v>
      </c>
      <c r="C33" s="114" t="s">
        <v>361</v>
      </c>
      <c r="D33" s="119" t="s">
        <v>757</v>
      </c>
      <c r="E33" s="492" t="s">
        <v>785</v>
      </c>
      <c r="F33" s="118" t="s">
        <v>755</v>
      </c>
      <c r="G33" s="109">
        <v>121</v>
      </c>
      <c r="H33" s="9" t="str">
        <f>IF($F33="부록4",IFERROR(INDEX(③1일작업량DB!$H$6:$H$112,MATCH($C33&amp;"|"&amp;$D33,③1일작업량DB!$J$6:$J$112,0)),"-"),"")</f>
        <v>㎥/일</v>
      </c>
      <c r="I33" s="110"/>
      <c r="J33" s="111">
        <f>IF($F33="부록4",IFERROR(INDEX(③1일작업량DB!$G$6:$G$112,MATCH($C33&amp;"|"&amp;$D33,③1일작업량DB!$J$6:$J$112,0)),""),$I33)</f>
        <v>130</v>
      </c>
      <c r="K33" s="112">
        <v>1</v>
      </c>
      <c r="L33" s="139">
        <f t="shared" si="0"/>
        <v>1</v>
      </c>
      <c r="M33" s="112">
        <v>3</v>
      </c>
      <c r="N33" s="112">
        <v>2</v>
      </c>
      <c r="O33" s="142">
        <f t="shared" si="1"/>
        <v>6</v>
      </c>
    </row>
    <row r="34" spans="2:15" ht="16" customHeight="1">
      <c r="B34" s="63">
        <f t="shared" si="2"/>
        <v>29</v>
      </c>
      <c r="C34" s="114" t="s">
        <v>361</v>
      </c>
      <c r="D34" s="119" t="s">
        <v>756</v>
      </c>
      <c r="E34" s="498"/>
      <c r="F34" s="118" t="s">
        <v>755</v>
      </c>
      <c r="G34" s="109">
        <v>9</v>
      </c>
      <c r="H34" s="9" t="str">
        <f>IF($F34="부록4",IFERROR(INDEX(③1일작업량DB!$H$6:$H$112,MATCH($C34&amp;"|"&amp;$D34,③1일작업량DB!$J$6:$J$112,0)),"-"),"")</f>
        <v>㎥/일</v>
      </c>
      <c r="I34" s="110"/>
      <c r="J34" s="111">
        <f>IF($F34="부록4",IFERROR(INDEX(③1일작업량DB!$G$6:$G$112,MATCH($C34&amp;"|"&amp;$D34,③1일작업량DB!$J$6:$J$112,0)),""),$I34)</f>
        <v>189</v>
      </c>
      <c r="K34" s="112">
        <v>1</v>
      </c>
      <c r="L34" s="139">
        <f t="shared" si="0"/>
        <v>0.1</v>
      </c>
      <c r="M34" s="112">
        <v>1</v>
      </c>
      <c r="N34" s="112">
        <v>0</v>
      </c>
      <c r="O34" s="142">
        <f t="shared" si="1"/>
        <v>1.1000000000000001</v>
      </c>
    </row>
    <row r="35" spans="2:15" ht="16" customHeight="1">
      <c r="B35" s="63">
        <f t="shared" si="2"/>
        <v>30</v>
      </c>
      <c r="C35" s="114" t="s">
        <v>774</v>
      </c>
      <c r="D35" s="119" t="s">
        <v>348</v>
      </c>
      <c r="E35" s="498"/>
      <c r="F35" s="118" t="s">
        <v>755</v>
      </c>
      <c r="G35" s="109">
        <v>43</v>
      </c>
      <c r="H35" s="9" t="str">
        <f>IF($F35="부록4",IFERROR(INDEX(③1일작업량DB!$H$6:$H$112,MATCH($C35&amp;"|"&amp;$D35,③1일작업량DB!$J$6:$J$112,0)),"-"),"")</f>
        <v>㎥/일</v>
      </c>
      <c r="I35" s="110"/>
      <c r="J35" s="111">
        <f>IF($F35="부록4",IFERROR(INDEX(③1일작업량DB!$G$6:$G$112,MATCH($C35&amp;"|"&amp;$D35,③1일작업량DB!$J$6:$J$112,0)),""),$I35)</f>
        <v>65</v>
      </c>
      <c r="K35" s="112">
        <v>1</v>
      </c>
      <c r="L35" s="139">
        <f t="shared" si="0"/>
        <v>0.7</v>
      </c>
      <c r="M35" s="112">
        <v>0</v>
      </c>
      <c r="N35" s="112">
        <v>0</v>
      </c>
      <c r="O35" s="142">
        <f t="shared" si="1"/>
        <v>0.7</v>
      </c>
    </row>
    <row r="36" spans="2:15" ht="16" customHeight="1">
      <c r="B36" s="63">
        <f t="shared" si="2"/>
        <v>31</v>
      </c>
      <c r="C36" s="114" t="s">
        <v>361</v>
      </c>
      <c r="D36" s="119" t="s">
        <v>759</v>
      </c>
      <c r="E36" s="498"/>
      <c r="F36" s="118" t="s">
        <v>755</v>
      </c>
      <c r="G36" s="109">
        <v>174</v>
      </c>
      <c r="H36" s="9" t="str">
        <f>IF($F36="부록4",IFERROR(INDEX(③1일작업량DB!$H$6:$H$112,MATCH($C36&amp;"|"&amp;$D36,③1일작업량DB!$J$6:$J$112,0)),"-"),"")</f>
        <v>㎡/일</v>
      </c>
      <c r="I36" s="110"/>
      <c r="J36" s="111">
        <f>IF($F36="부록4",IFERROR(INDEX(③1일작업량DB!$G$6:$G$112,MATCH($C36&amp;"|"&amp;$D36,③1일작업량DB!$J$6:$J$112,0)),""),$I36)</f>
        <v>50</v>
      </c>
      <c r="K36" s="112">
        <v>1</v>
      </c>
      <c r="L36" s="139">
        <f t="shared" si="0"/>
        <v>3.5</v>
      </c>
      <c r="M36" s="112">
        <v>0</v>
      </c>
      <c r="N36" s="112">
        <v>0</v>
      </c>
      <c r="O36" s="142">
        <f t="shared" si="1"/>
        <v>3.5</v>
      </c>
    </row>
    <row r="37" spans="2:15" ht="16" customHeight="1">
      <c r="B37" s="63">
        <f t="shared" si="2"/>
        <v>32</v>
      </c>
      <c r="C37" s="114" t="s">
        <v>361</v>
      </c>
      <c r="D37" s="119" t="s">
        <v>758</v>
      </c>
      <c r="E37" s="498"/>
      <c r="F37" s="118" t="s">
        <v>755</v>
      </c>
      <c r="G37" s="109">
        <v>3</v>
      </c>
      <c r="H37" s="9" t="str">
        <f>IF($F37="부록4",IFERROR(INDEX(③1일작업량DB!$H$6:$H$112,MATCH($C37&amp;"|"&amp;$D37,③1일작업량DB!$J$6:$J$112,0)),"-"),"")</f>
        <v>㎡/일</v>
      </c>
      <c r="I37" s="110"/>
      <c r="J37" s="111">
        <f>IF($F37="부록4",IFERROR(INDEX(③1일작업량DB!$G$6:$G$112,MATCH($C37&amp;"|"&amp;$D37,③1일작업량DB!$J$6:$J$112,0)),""),$I37)</f>
        <v>60</v>
      </c>
      <c r="K37" s="112">
        <v>1</v>
      </c>
      <c r="L37" s="139">
        <f t="shared" si="0"/>
        <v>0.1</v>
      </c>
      <c r="M37" s="112">
        <v>0</v>
      </c>
      <c r="N37" s="112">
        <v>0</v>
      </c>
      <c r="O37" s="142">
        <f t="shared" si="1"/>
        <v>0.1</v>
      </c>
    </row>
    <row r="38" spans="2:15" ht="16" customHeight="1">
      <c r="B38" s="63">
        <f t="shared" si="2"/>
        <v>33</v>
      </c>
      <c r="C38" s="114" t="s">
        <v>361</v>
      </c>
      <c r="D38" s="119" t="s">
        <v>780</v>
      </c>
      <c r="E38" s="498"/>
      <c r="F38" s="118" t="s">
        <v>755</v>
      </c>
      <c r="G38" s="109">
        <v>15</v>
      </c>
      <c r="H38" s="9" t="str">
        <f>IF($F38="부록4",IFERROR(INDEX(③1일작업량DB!$H$6:$H$112,MATCH($C38&amp;"|"&amp;$D38,③1일작업량DB!$J$6:$J$112,0)),"-"),"")</f>
        <v>㎡/일</v>
      </c>
      <c r="I38" s="110"/>
      <c r="J38" s="111">
        <f>IF($F38="부록4",IFERROR(INDEX(③1일작업량DB!$G$6:$G$112,MATCH($C38&amp;"|"&amp;$D38,③1일작업량DB!$J$6:$J$112,0)),""),$I38)</f>
        <v>40</v>
      </c>
      <c r="K38" s="112">
        <v>1</v>
      </c>
      <c r="L38" s="139">
        <f t="shared" si="0"/>
        <v>0.4</v>
      </c>
      <c r="M38" s="112">
        <v>0</v>
      </c>
      <c r="N38" s="112">
        <v>0</v>
      </c>
      <c r="O38" s="142">
        <f t="shared" si="1"/>
        <v>0.4</v>
      </c>
    </row>
    <row r="39" spans="2:15" ht="16" customHeight="1">
      <c r="B39" s="63">
        <f t="shared" si="2"/>
        <v>34</v>
      </c>
      <c r="C39" s="114" t="s">
        <v>781</v>
      </c>
      <c r="D39" s="119" t="s">
        <v>341</v>
      </c>
      <c r="E39" s="498"/>
      <c r="F39" s="118" t="s">
        <v>755</v>
      </c>
      <c r="G39" s="109">
        <v>185</v>
      </c>
      <c r="H39" s="9" t="str">
        <f>IF($F39="부록4",IFERROR(INDEX(③1일작업량DB!$H$6:$H$112,MATCH($C39&amp;"|"&amp;$D39,③1일작업량DB!$J$6:$J$112,0)),"-"),"")</f>
        <v>㎡/일</v>
      </c>
      <c r="I39" s="110"/>
      <c r="J39" s="111">
        <f>IF($F39="부록4",IFERROR(INDEX(③1일작업량DB!$G$6:$G$112,MATCH($C39&amp;"|"&amp;$D39,③1일작업량DB!$J$6:$J$112,0)),""),$I39)</f>
        <v>100</v>
      </c>
      <c r="K39" s="112">
        <v>1</v>
      </c>
      <c r="L39" s="139">
        <f t="shared" si="0"/>
        <v>1.9000000000000001</v>
      </c>
      <c r="M39" s="112">
        <v>0</v>
      </c>
      <c r="N39" s="112">
        <v>0</v>
      </c>
      <c r="O39" s="142">
        <f t="shared" si="1"/>
        <v>1.9000000000000001</v>
      </c>
    </row>
    <row r="40" spans="2:15" ht="16" customHeight="1">
      <c r="B40" s="63">
        <f t="shared" si="2"/>
        <v>35</v>
      </c>
      <c r="C40" s="114" t="s">
        <v>786</v>
      </c>
      <c r="D40" s="119" t="s">
        <v>787</v>
      </c>
      <c r="E40" s="492" t="s">
        <v>783</v>
      </c>
      <c r="F40" s="118" t="s">
        <v>755</v>
      </c>
      <c r="G40" s="109">
        <v>289</v>
      </c>
      <c r="H40" s="9" t="s">
        <v>793</v>
      </c>
      <c r="I40" s="110"/>
      <c r="J40" s="111">
        <v>4800</v>
      </c>
      <c r="K40" s="112">
        <v>1</v>
      </c>
      <c r="L40" s="139">
        <f t="shared" si="0"/>
        <v>0.1</v>
      </c>
      <c r="M40" s="112">
        <v>0</v>
      </c>
      <c r="N40" s="112">
        <v>0</v>
      </c>
      <c r="O40" s="142">
        <f t="shared" si="1"/>
        <v>0.1</v>
      </c>
    </row>
    <row r="41" spans="2:15" ht="16" customHeight="1">
      <c r="B41" s="63">
        <f t="shared" si="2"/>
        <v>36</v>
      </c>
      <c r="C41" s="114" t="s">
        <v>786</v>
      </c>
      <c r="D41" s="119" t="s">
        <v>761</v>
      </c>
      <c r="E41" s="498"/>
      <c r="F41" s="118" t="s">
        <v>755</v>
      </c>
      <c r="G41" s="109">
        <v>289</v>
      </c>
      <c r="H41" s="9" t="s">
        <v>793</v>
      </c>
      <c r="I41" s="110"/>
      <c r="J41" s="111">
        <v>4800</v>
      </c>
      <c r="K41" s="112">
        <v>1</v>
      </c>
      <c r="L41" s="139">
        <f t="shared" si="0"/>
        <v>0.1</v>
      </c>
      <c r="M41" s="112">
        <v>0</v>
      </c>
      <c r="N41" s="112">
        <v>0</v>
      </c>
      <c r="O41" s="142">
        <f t="shared" si="1"/>
        <v>0.1</v>
      </c>
    </row>
    <row r="42" spans="2:15" ht="16" customHeight="1">
      <c r="B42" s="63">
        <f t="shared" si="2"/>
        <v>37</v>
      </c>
      <c r="C42" s="119" t="s">
        <v>143</v>
      </c>
      <c r="D42" s="114" t="s">
        <v>788</v>
      </c>
      <c r="E42" s="498"/>
      <c r="F42" s="118" t="s">
        <v>755</v>
      </c>
      <c r="G42" s="109">
        <v>289</v>
      </c>
      <c r="H42" s="9" t="s">
        <v>793</v>
      </c>
      <c r="I42" s="110"/>
      <c r="J42" s="111">
        <v>20000</v>
      </c>
      <c r="K42" s="112">
        <v>1</v>
      </c>
      <c r="L42" s="139">
        <f t="shared" si="0"/>
        <v>0.1</v>
      </c>
      <c r="M42" s="112">
        <v>0</v>
      </c>
      <c r="N42" s="112">
        <v>0</v>
      </c>
      <c r="O42" s="142">
        <f t="shared" si="1"/>
        <v>0.1</v>
      </c>
    </row>
    <row r="43" spans="2:15" ht="16" customHeight="1">
      <c r="B43" s="63">
        <f t="shared" si="2"/>
        <v>38</v>
      </c>
      <c r="C43" s="119" t="s">
        <v>143</v>
      </c>
      <c r="D43" s="114" t="s">
        <v>789</v>
      </c>
      <c r="E43" s="498"/>
      <c r="F43" s="118" t="s">
        <v>755</v>
      </c>
      <c r="G43" s="109">
        <v>289</v>
      </c>
      <c r="H43" s="9" t="s">
        <v>793</v>
      </c>
      <c r="I43" s="110"/>
      <c r="J43" s="111">
        <v>20000</v>
      </c>
      <c r="K43" s="112">
        <v>1</v>
      </c>
      <c r="L43" s="139">
        <f t="shared" si="0"/>
        <v>0.1</v>
      </c>
      <c r="M43" s="112">
        <v>0</v>
      </c>
      <c r="N43" s="112">
        <v>0</v>
      </c>
      <c r="O43" s="142">
        <f t="shared" si="1"/>
        <v>0.1</v>
      </c>
    </row>
    <row r="44" spans="2:15" ht="16" customHeight="1">
      <c r="B44" s="63">
        <f t="shared" si="2"/>
        <v>39</v>
      </c>
      <c r="C44" s="119" t="s">
        <v>786</v>
      </c>
      <c r="D44" s="114" t="s">
        <v>292</v>
      </c>
      <c r="E44" s="498"/>
      <c r="F44" s="118" t="s">
        <v>755</v>
      </c>
      <c r="G44" s="109">
        <v>116</v>
      </c>
      <c r="H44" s="9" t="str">
        <f>IF($F44="부록4",IFERROR(INDEX(③1일작업량DB!$H$6:$H$112,MATCH($C44&amp;"|"&amp;$D44,③1일작업량DB!$J$6:$J$112,0)),"-"),"")</f>
        <v>㎥/일</v>
      </c>
      <c r="I44" s="110"/>
      <c r="J44" s="111">
        <f>IF($F44="부록4",IFERROR(INDEX(③1일작업량DB!$G$6:$G$112,MATCH($C44&amp;"|"&amp;$D44,③1일작업량DB!$J$6:$J$112,0)),""),$I44)</f>
        <v>550</v>
      </c>
      <c r="K44" s="112">
        <v>1</v>
      </c>
      <c r="L44" s="139">
        <f t="shared" si="0"/>
        <v>0.30000000000000004</v>
      </c>
      <c r="M44" s="112">
        <v>0</v>
      </c>
      <c r="N44" s="112">
        <v>0</v>
      </c>
      <c r="O44" s="142">
        <f t="shared" si="1"/>
        <v>0.30000000000000004</v>
      </c>
    </row>
    <row r="45" spans="2:15" ht="16" customHeight="1">
      <c r="B45" s="63">
        <f t="shared" si="2"/>
        <v>40</v>
      </c>
      <c r="C45" s="114" t="s">
        <v>774</v>
      </c>
      <c r="D45" s="114" t="s">
        <v>232</v>
      </c>
      <c r="E45" s="498"/>
      <c r="F45" s="118" t="s">
        <v>755</v>
      </c>
      <c r="G45" s="109">
        <v>34</v>
      </c>
      <c r="H45" s="9" t="str">
        <f>IF($F45="부록4",IFERROR(INDEX(③1일작업량DB!$H$6:$H$112,MATCH($C45&amp;"|"&amp;$D45,③1일작업량DB!$J$6:$J$112,0)),"-"),"")</f>
        <v>㎥/일</v>
      </c>
      <c r="I45" s="110"/>
      <c r="J45" s="111">
        <f>IF($F45="부록4",IFERROR(INDEX(③1일작업량DB!$G$6:$G$112,MATCH($C45&amp;"|"&amp;$D45,③1일작업량DB!$J$6:$J$112,0)),""),$I45)</f>
        <v>54</v>
      </c>
      <c r="K45" s="112">
        <v>1</v>
      </c>
      <c r="L45" s="139">
        <f t="shared" si="0"/>
        <v>0.7</v>
      </c>
      <c r="M45" s="112">
        <v>0</v>
      </c>
      <c r="N45" s="112">
        <v>0</v>
      </c>
      <c r="O45" s="142">
        <f t="shared" si="1"/>
        <v>0.7</v>
      </c>
    </row>
    <row r="46" spans="2:15" ht="16" customHeight="1">
      <c r="B46" s="63">
        <f t="shared" si="2"/>
        <v>41</v>
      </c>
      <c r="C46" s="119" t="s">
        <v>786</v>
      </c>
      <c r="D46" s="114" t="s">
        <v>790</v>
      </c>
      <c r="E46" s="498"/>
      <c r="F46" s="118" t="s">
        <v>755</v>
      </c>
      <c r="G46" s="109">
        <v>223</v>
      </c>
      <c r="H46" s="9" t="str">
        <f>IF($F46="부록4",IFERROR(INDEX(③1일작업량DB!$H$6:$H$112,MATCH($C46&amp;"|"&amp;$D46,③1일작업량DB!$J$6:$J$112,0)),"-"),"")</f>
        <v>㎥/일</v>
      </c>
      <c r="I46" s="110"/>
      <c r="J46" s="111">
        <f>IF($F46="부록4",IFERROR(INDEX(③1일작업량DB!$G$6:$G$112,MATCH($C46&amp;"|"&amp;$D46,③1일작업량DB!$J$6:$J$112,0)),""),$I46)</f>
        <v>300</v>
      </c>
      <c r="K46" s="112">
        <v>1</v>
      </c>
      <c r="L46" s="139">
        <f t="shared" si="0"/>
        <v>0.79999999999999993</v>
      </c>
      <c r="M46" s="112">
        <v>0</v>
      </c>
      <c r="N46" s="112">
        <v>0</v>
      </c>
      <c r="O46" s="142">
        <f t="shared" si="1"/>
        <v>0.79999999999999993</v>
      </c>
    </row>
    <row r="47" spans="2:15" ht="16" customHeight="1">
      <c r="B47" s="63">
        <f t="shared" si="2"/>
        <v>42</v>
      </c>
      <c r="C47" s="119" t="s">
        <v>786</v>
      </c>
      <c r="D47" s="114" t="s">
        <v>292</v>
      </c>
      <c r="E47" s="498"/>
      <c r="F47" s="118" t="s">
        <v>755</v>
      </c>
      <c r="G47" s="109">
        <v>45</v>
      </c>
      <c r="H47" s="9" t="str">
        <f>IF($F47="부록4",IFERROR(INDEX(③1일작업량DB!$H$6:$H$112,MATCH($C47&amp;"|"&amp;$D47,③1일작업량DB!$J$6:$J$112,0)),"-"),"")</f>
        <v>㎥/일</v>
      </c>
      <c r="I47" s="110"/>
      <c r="J47" s="111">
        <f>IF($F47="부록4",IFERROR(INDEX(③1일작업량DB!$G$6:$G$112,MATCH($C47&amp;"|"&amp;$D47,③1일작업량DB!$J$6:$J$112,0)),""),$I47)</f>
        <v>550</v>
      </c>
      <c r="K47" s="112">
        <v>1</v>
      </c>
      <c r="L47" s="139">
        <f t="shared" si="0"/>
        <v>0.1</v>
      </c>
      <c r="M47" s="112">
        <v>0</v>
      </c>
      <c r="N47" s="112">
        <v>0</v>
      </c>
      <c r="O47" s="142">
        <f t="shared" si="1"/>
        <v>0.1</v>
      </c>
    </row>
    <row r="48" spans="2:15" ht="16" customHeight="1">
      <c r="B48" s="63">
        <f t="shared" si="2"/>
        <v>43</v>
      </c>
      <c r="C48" s="119" t="s">
        <v>791</v>
      </c>
      <c r="D48" s="114" t="s">
        <v>762</v>
      </c>
      <c r="E48" s="493"/>
      <c r="F48" s="118" t="s">
        <v>755</v>
      </c>
      <c r="G48" s="109">
        <f>124+45</f>
        <v>169</v>
      </c>
      <c r="H48" s="9" t="str">
        <f>IF($F48="부록4",IFERROR(INDEX(③1일작업량DB!$H$6:$H$112,MATCH($C48&amp;"|"&amp;$D48,③1일작업량DB!$J$6:$J$112,0)),"-"),"")</f>
        <v>㎡/일</v>
      </c>
      <c r="I48" s="110"/>
      <c r="J48" s="111">
        <f>IF($F48="부록4",IFERROR(INDEX(③1일작업량DB!$G$6:$G$112,MATCH($C48&amp;"|"&amp;$D48,③1일작업량DB!$J$6:$J$112,0)),""),$I48)</f>
        <v>14</v>
      </c>
      <c r="K48" s="112">
        <v>2</v>
      </c>
      <c r="L48" s="139">
        <f t="shared" si="0"/>
        <v>6.1</v>
      </c>
      <c r="M48" s="112">
        <v>0</v>
      </c>
      <c r="N48" s="112">
        <v>0</v>
      </c>
      <c r="O48" s="142">
        <f t="shared" si="1"/>
        <v>6.1</v>
      </c>
    </row>
    <row r="49" spans="2:15" ht="16" customHeight="1">
      <c r="B49" s="63">
        <f t="shared" si="2"/>
        <v>44</v>
      </c>
      <c r="C49" s="114" t="s">
        <v>770</v>
      </c>
      <c r="D49" s="114" t="s">
        <v>792</v>
      </c>
      <c r="E49" s="499" t="s">
        <v>783</v>
      </c>
      <c r="F49" s="118" t="s">
        <v>755</v>
      </c>
      <c r="G49" s="109">
        <f>4+175+9+9+63</f>
        <v>260</v>
      </c>
      <c r="H49" s="9" t="str">
        <f>IF($F49="부록4",IFERROR(INDEX(③1일작업량DB!$H$6:$H$112,MATCH($C49&amp;"|"&amp;$D49,③1일작업량DB!$J$6:$J$112,0)),"-"),"")</f>
        <v>본/일</v>
      </c>
      <c r="I49" s="110"/>
      <c r="J49" s="111">
        <f>IF($F49="부록4",IFERROR(INDEX(③1일작업량DB!$G$6:$G$112,MATCH($C49&amp;"|"&amp;$D49,③1일작업량DB!$J$6:$J$112,0)),""),$I49)</f>
        <v>15</v>
      </c>
      <c r="K49" s="112">
        <v>2</v>
      </c>
      <c r="L49" s="139">
        <f t="shared" si="0"/>
        <v>8.6999999999999993</v>
      </c>
      <c r="M49" s="112">
        <v>0</v>
      </c>
      <c r="N49" s="112">
        <v>0</v>
      </c>
      <c r="O49" s="142">
        <f t="shared" si="1"/>
        <v>8.6999999999999993</v>
      </c>
    </row>
    <row r="50" spans="2:15" ht="16" customHeight="1">
      <c r="B50" s="63">
        <f t="shared" si="2"/>
        <v>45</v>
      </c>
      <c r="C50" s="114" t="s">
        <v>770</v>
      </c>
      <c r="D50" s="114" t="s">
        <v>358</v>
      </c>
      <c r="E50" s="500"/>
      <c r="F50" s="118" t="s">
        <v>755</v>
      </c>
      <c r="G50" s="109">
        <v>260</v>
      </c>
      <c r="H50" s="9" t="str">
        <f>IF($F50="부록4",IFERROR(INDEX(③1일작업량DB!$H$6:$H$112,MATCH($C50&amp;"|"&amp;$D50,③1일작업량DB!$J$6:$J$112,0)),"-"),"")</f>
        <v>본/일</v>
      </c>
      <c r="I50" s="110"/>
      <c r="J50" s="111">
        <f>IF($F50="부록4",IFERROR(INDEX(③1일작업량DB!$G$6:$G$112,MATCH($C50&amp;"|"&amp;$D50,③1일작업량DB!$J$6:$J$112,0)),""),$I50)</f>
        <v>21</v>
      </c>
      <c r="K50" s="112">
        <v>2</v>
      </c>
      <c r="L50" s="139">
        <f t="shared" si="0"/>
        <v>6.1999999999999993</v>
      </c>
      <c r="M50" s="112">
        <v>0</v>
      </c>
      <c r="N50" s="112">
        <v>0</v>
      </c>
      <c r="O50" s="142">
        <f t="shared" si="1"/>
        <v>6.1999999999999993</v>
      </c>
    </row>
    <row r="51" spans="2:15" ht="16" customHeight="1">
      <c r="B51" s="63">
        <f t="shared" si="2"/>
        <v>46</v>
      </c>
      <c r="C51" s="114" t="s">
        <v>770</v>
      </c>
      <c r="D51" s="114" t="s">
        <v>792</v>
      </c>
      <c r="E51" s="492" t="s">
        <v>785</v>
      </c>
      <c r="F51" s="118" t="s">
        <v>755</v>
      </c>
      <c r="G51" s="109">
        <v>12</v>
      </c>
      <c r="H51" s="9" t="str">
        <f>IF($F51="부록4",IFERROR(INDEX(③1일작업량DB!$H$6:$H$112,MATCH($C51&amp;"|"&amp;$D51,③1일작업량DB!$J$6:$J$112,0)),"-"),"")</f>
        <v>본/일</v>
      </c>
      <c r="I51" s="110"/>
      <c r="J51" s="111">
        <f>IF($F51="부록4",IFERROR(INDEX(③1일작업량DB!$G$6:$G$112,MATCH($C51&amp;"|"&amp;$D51,③1일작업량DB!$J$6:$J$112,0)),""),$I51)</f>
        <v>15</v>
      </c>
      <c r="K51" s="112">
        <v>1</v>
      </c>
      <c r="L51" s="139">
        <f t="shared" si="0"/>
        <v>0.8</v>
      </c>
      <c r="M51" s="112">
        <v>0</v>
      </c>
      <c r="N51" s="112">
        <v>0</v>
      </c>
      <c r="O51" s="142">
        <f t="shared" si="1"/>
        <v>0.8</v>
      </c>
    </row>
    <row r="52" spans="2:15" ht="16" customHeight="1">
      <c r="B52" s="63">
        <f t="shared" si="2"/>
        <v>47</v>
      </c>
      <c r="C52" s="114" t="s">
        <v>770</v>
      </c>
      <c r="D52" s="114" t="s">
        <v>358</v>
      </c>
      <c r="E52" s="500"/>
      <c r="F52" s="118" t="s">
        <v>755</v>
      </c>
      <c r="G52" s="109">
        <v>12</v>
      </c>
      <c r="H52" s="9" t="str">
        <f>IF($F52="부록4",IFERROR(INDEX(③1일작업량DB!$H$6:$H$112,MATCH($C52&amp;"|"&amp;$D52,③1일작업량DB!$J$6:$J$112,0)),"-"),"")</f>
        <v>본/일</v>
      </c>
      <c r="I52" s="110"/>
      <c r="J52" s="111">
        <f>IF($F52="부록4",IFERROR(INDEX(③1일작업량DB!$G$6:$G$112,MATCH($C52&amp;"|"&amp;$D52,③1일작업량DB!$J$6:$J$112,0)),""),$I52)</f>
        <v>21</v>
      </c>
      <c r="K52" s="112">
        <v>1</v>
      </c>
      <c r="L52" s="139">
        <f t="shared" si="0"/>
        <v>0.6</v>
      </c>
      <c r="M52" s="112">
        <v>0</v>
      </c>
      <c r="N52" s="112">
        <v>0</v>
      </c>
      <c r="O52" s="142">
        <f t="shared" si="1"/>
        <v>0.6</v>
      </c>
    </row>
    <row r="53" spans="2:15" ht="16" customHeight="1">
      <c r="B53" s="63">
        <f t="shared" si="2"/>
        <v>48</v>
      </c>
      <c r="C53" s="119" t="s">
        <v>794</v>
      </c>
      <c r="D53" s="114" t="s">
        <v>795</v>
      </c>
      <c r="E53" s="118" t="s">
        <v>798</v>
      </c>
      <c r="F53" s="118"/>
      <c r="G53" s="109">
        <v>69</v>
      </c>
      <c r="H53" s="9" t="s">
        <v>796</v>
      </c>
      <c r="I53" s="110"/>
      <c r="J53" s="111">
        <v>1</v>
      </c>
      <c r="K53" s="112">
        <v>1</v>
      </c>
      <c r="L53" s="139">
        <f t="shared" si="0"/>
        <v>69</v>
      </c>
      <c r="M53" s="112">
        <v>0</v>
      </c>
      <c r="N53" s="112">
        <v>0</v>
      </c>
      <c r="O53" s="142">
        <f t="shared" si="1"/>
        <v>69</v>
      </c>
    </row>
    <row r="54" spans="2:15" ht="16" customHeight="1">
      <c r="B54" s="63">
        <f t="shared" si="2"/>
        <v>49</v>
      </c>
      <c r="C54" s="114" t="s">
        <v>778</v>
      </c>
      <c r="D54" s="114" t="s">
        <v>213</v>
      </c>
      <c r="E54" s="119"/>
      <c r="F54" s="118" t="s">
        <v>755</v>
      </c>
      <c r="G54" s="109">
        <v>4</v>
      </c>
      <c r="H54" s="9" t="str">
        <f>IF($F54="부록4",IFERROR(INDEX(③1일작업량DB!$H$6:$H$112,MATCH($C54&amp;"|"&amp;$D54,③1일작업량DB!$J$6:$J$112,0)),"-"),"")</f>
        <v>개소/일</v>
      </c>
      <c r="I54" s="110"/>
      <c r="J54" s="111">
        <f>IF($F54="부록4",IFERROR(INDEX(③1일작업량DB!$G$6:$G$112,MATCH($C54&amp;"|"&amp;$D54,③1일작업량DB!$J$6:$J$112,0)),""),$I54)</f>
        <v>0.14299999999999999</v>
      </c>
      <c r="K54" s="112">
        <v>4</v>
      </c>
      <c r="L54" s="139">
        <f t="shared" si="0"/>
        <v>7</v>
      </c>
      <c r="M54" s="112">
        <v>0</v>
      </c>
      <c r="N54" s="112">
        <v>0</v>
      </c>
      <c r="O54" s="142">
        <f t="shared" si="1"/>
        <v>7</v>
      </c>
    </row>
    <row r="55" spans="2:15" ht="16" customHeight="1">
      <c r="B55" s="63">
        <f t="shared" ref="B55:B98" si="3">B54+1</f>
        <v>50</v>
      </c>
      <c r="C55" s="119" t="s">
        <v>797</v>
      </c>
      <c r="D55" s="114" t="s">
        <v>765</v>
      </c>
      <c r="E55" s="119"/>
      <c r="F55" s="118"/>
      <c r="G55" s="109">
        <v>90</v>
      </c>
      <c r="H55" s="9" t="s">
        <v>796</v>
      </c>
      <c r="I55" s="110"/>
      <c r="J55" s="111">
        <v>1</v>
      </c>
      <c r="K55" s="112">
        <v>1</v>
      </c>
      <c r="L55" s="139">
        <f t="shared" si="0"/>
        <v>90</v>
      </c>
      <c r="M55" s="112">
        <v>0</v>
      </c>
      <c r="N55" s="112">
        <v>0</v>
      </c>
      <c r="O55" s="142">
        <f t="shared" si="1"/>
        <v>90</v>
      </c>
    </row>
    <row r="56" spans="2:15" ht="16" customHeight="1">
      <c r="B56" s="145"/>
      <c r="C56" s="157" t="s">
        <v>799</v>
      </c>
      <c r="D56" s="158"/>
      <c r="E56" s="157"/>
      <c r="F56" s="159"/>
      <c r="G56" s="160"/>
      <c r="H56" s="145"/>
      <c r="I56" s="161"/>
      <c r="J56" s="162"/>
      <c r="K56" s="163"/>
      <c r="L56" s="164"/>
      <c r="M56" s="163"/>
      <c r="N56" s="163"/>
      <c r="O56" s="165">
        <f>SUM(O57:O63)</f>
        <v>8.6999999999999975</v>
      </c>
    </row>
    <row r="57" spans="2:15" ht="16" customHeight="1">
      <c r="B57" s="63">
        <f>B55+1</f>
        <v>51</v>
      </c>
      <c r="C57" s="114" t="s">
        <v>231</v>
      </c>
      <c r="D57" s="117" t="s">
        <v>768</v>
      </c>
      <c r="E57" s="140" t="s">
        <v>773</v>
      </c>
      <c r="F57" s="118" t="s">
        <v>753</v>
      </c>
      <c r="G57" s="109">
        <v>380</v>
      </c>
      <c r="H57" s="9" t="str">
        <f>IF($F57="부록4",IFERROR(INDEX(③1일작업량DB!$H$6:$H$112,MATCH($C57&amp;"|"&amp;$D57,③1일작업량DB!$J$6:$J$112,0)),"-"),"")</f>
        <v>㎥/일</v>
      </c>
      <c r="I57" s="110"/>
      <c r="J57" s="111">
        <v>514</v>
      </c>
      <c r="K57" s="112">
        <v>1</v>
      </c>
      <c r="L57" s="139">
        <f t="shared" si="0"/>
        <v>0.79999999999999993</v>
      </c>
      <c r="M57" s="112">
        <v>1</v>
      </c>
      <c r="N57" s="112">
        <v>0</v>
      </c>
      <c r="O57" s="142">
        <f t="shared" si="1"/>
        <v>1.7999999999999998</v>
      </c>
    </row>
    <row r="58" spans="2:15" ht="16" customHeight="1">
      <c r="B58" s="63">
        <f t="shared" si="3"/>
        <v>52</v>
      </c>
      <c r="C58" s="114" t="s">
        <v>774</v>
      </c>
      <c r="D58" s="119" t="s">
        <v>257</v>
      </c>
      <c r="E58" s="140" t="s">
        <v>775</v>
      </c>
      <c r="F58" s="118" t="s">
        <v>753</v>
      </c>
      <c r="G58" s="109">
        <v>223</v>
      </c>
      <c r="H58" s="9" t="str">
        <f>IF($F58="부록4",IFERROR(INDEX(③1일작업량DB!$H$6:$H$112,MATCH($C58&amp;"|"&amp;$D58,③1일작업량DB!$J$6:$J$112,0)),"-"),"")</f>
        <v>㎥/일</v>
      </c>
      <c r="I58" s="110"/>
      <c r="J58" s="111">
        <f>IF($F58="부록4",IFERROR(INDEX(③1일작업량DB!$G$6:$G$112,MATCH($C58&amp;"|"&amp;$D58,③1일작업량DB!$J$6:$J$112,0)),""),$I58)</f>
        <v>42</v>
      </c>
      <c r="K58" s="112">
        <v>1</v>
      </c>
      <c r="L58" s="139">
        <f t="shared" si="0"/>
        <v>5.3999999999999995</v>
      </c>
      <c r="M58" s="112">
        <v>1</v>
      </c>
      <c r="N58" s="112">
        <v>0</v>
      </c>
      <c r="O58" s="142">
        <f t="shared" si="1"/>
        <v>6.3999999999999995</v>
      </c>
    </row>
    <row r="59" spans="2:15" ht="16" customHeight="1">
      <c r="B59" s="63">
        <f t="shared" si="3"/>
        <v>53</v>
      </c>
      <c r="C59" s="114" t="s">
        <v>786</v>
      </c>
      <c r="D59" s="119" t="s">
        <v>787</v>
      </c>
      <c r="E59" s="492" t="s">
        <v>786</v>
      </c>
      <c r="F59" s="118" t="s">
        <v>755</v>
      </c>
      <c r="G59" s="109">
        <v>82</v>
      </c>
      <c r="H59" s="9" t="s">
        <v>793</v>
      </c>
      <c r="I59" s="110"/>
      <c r="J59" s="111">
        <v>4800</v>
      </c>
      <c r="K59" s="112">
        <v>1</v>
      </c>
      <c r="L59" s="139">
        <f t="shared" si="0"/>
        <v>0.1</v>
      </c>
      <c r="M59" s="112">
        <v>0</v>
      </c>
      <c r="N59" s="112">
        <v>0</v>
      </c>
      <c r="O59" s="142">
        <f t="shared" si="1"/>
        <v>0.1</v>
      </c>
    </row>
    <row r="60" spans="2:15" ht="16" customHeight="1">
      <c r="B60" s="63">
        <f t="shared" si="3"/>
        <v>54</v>
      </c>
      <c r="C60" s="114" t="s">
        <v>786</v>
      </c>
      <c r="D60" s="119" t="s">
        <v>761</v>
      </c>
      <c r="E60" s="498"/>
      <c r="F60" s="118" t="s">
        <v>755</v>
      </c>
      <c r="G60" s="109">
        <v>82</v>
      </c>
      <c r="H60" s="9" t="s">
        <v>793</v>
      </c>
      <c r="I60" s="110"/>
      <c r="J60" s="111">
        <v>4800</v>
      </c>
      <c r="K60" s="112">
        <v>1</v>
      </c>
      <c r="L60" s="139">
        <f t="shared" si="0"/>
        <v>0.1</v>
      </c>
      <c r="M60" s="112">
        <v>0</v>
      </c>
      <c r="N60" s="112">
        <v>0</v>
      </c>
      <c r="O60" s="142">
        <f t="shared" si="1"/>
        <v>0.1</v>
      </c>
    </row>
    <row r="61" spans="2:15" ht="16" customHeight="1">
      <c r="B61" s="63">
        <f t="shared" si="3"/>
        <v>55</v>
      </c>
      <c r="C61" s="119" t="s">
        <v>143</v>
      </c>
      <c r="D61" s="114" t="s">
        <v>788</v>
      </c>
      <c r="E61" s="498"/>
      <c r="F61" s="118" t="s">
        <v>755</v>
      </c>
      <c r="G61" s="109">
        <v>41</v>
      </c>
      <c r="H61" s="9" t="s">
        <v>793</v>
      </c>
      <c r="I61" s="110"/>
      <c r="J61" s="111">
        <v>20000</v>
      </c>
      <c r="K61" s="112">
        <v>1</v>
      </c>
      <c r="L61" s="139">
        <f t="shared" si="0"/>
        <v>0.1</v>
      </c>
      <c r="M61" s="112">
        <v>0</v>
      </c>
      <c r="N61" s="112">
        <v>0</v>
      </c>
      <c r="O61" s="142">
        <f t="shared" si="1"/>
        <v>0.1</v>
      </c>
    </row>
    <row r="62" spans="2:15" ht="16" customHeight="1">
      <c r="B62" s="63">
        <f t="shared" si="3"/>
        <v>56</v>
      </c>
      <c r="C62" s="119" t="s">
        <v>143</v>
      </c>
      <c r="D62" s="114" t="s">
        <v>789</v>
      </c>
      <c r="E62" s="498"/>
      <c r="F62" s="118" t="s">
        <v>755</v>
      </c>
      <c r="G62" s="109">
        <v>82</v>
      </c>
      <c r="H62" s="9" t="s">
        <v>793</v>
      </c>
      <c r="I62" s="110"/>
      <c r="J62" s="111">
        <v>20000</v>
      </c>
      <c r="K62" s="112">
        <v>1</v>
      </c>
      <c r="L62" s="139">
        <f t="shared" si="0"/>
        <v>0.1</v>
      </c>
      <c r="M62" s="112">
        <v>0</v>
      </c>
      <c r="N62" s="112">
        <v>0</v>
      </c>
      <c r="O62" s="142">
        <f t="shared" si="1"/>
        <v>0.1</v>
      </c>
    </row>
    <row r="63" spans="2:15" ht="16" customHeight="1">
      <c r="B63" s="63">
        <f t="shared" si="3"/>
        <v>57</v>
      </c>
      <c r="C63" s="119" t="s">
        <v>786</v>
      </c>
      <c r="D63" s="114" t="s">
        <v>292</v>
      </c>
      <c r="E63" s="493"/>
      <c r="F63" s="118" t="s">
        <v>755</v>
      </c>
      <c r="G63" s="109">
        <v>8</v>
      </c>
      <c r="H63" s="9" t="str">
        <f>IF($F63="부록4",IFERROR(INDEX(③1일작업량DB!$H$6:$H$112,MATCH($C63&amp;"|"&amp;$D63,③1일작업량DB!$J$6:$J$112,0)),"-"),"")</f>
        <v>㎥/일</v>
      </c>
      <c r="I63" s="110"/>
      <c r="J63" s="111">
        <f>IF($F63="부록4",IFERROR(INDEX(③1일작업량DB!$G$6:$G$112,MATCH($C63&amp;"|"&amp;$D63,③1일작업량DB!$J$6:$J$112,0)),""),$I63)</f>
        <v>550</v>
      </c>
      <c r="K63" s="112">
        <v>1</v>
      </c>
      <c r="L63" s="139">
        <f t="shared" si="0"/>
        <v>0.1</v>
      </c>
      <c r="M63" s="112">
        <v>0</v>
      </c>
      <c r="N63" s="112">
        <v>0</v>
      </c>
      <c r="O63" s="142">
        <f t="shared" si="1"/>
        <v>0.1</v>
      </c>
    </row>
    <row r="64" spans="2:15" ht="16" customHeight="1">
      <c r="B64" s="145"/>
      <c r="C64" s="146" t="s">
        <v>800</v>
      </c>
      <c r="D64" s="147"/>
      <c r="E64" s="148"/>
      <c r="F64" s="149"/>
      <c r="G64" s="150"/>
      <c r="H64" s="151"/>
      <c r="I64" s="152"/>
      <c r="J64" s="153"/>
      <c r="K64" s="154"/>
      <c r="L64" s="155"/>
      <c r="M64" s="154"/>
      <c r="N64" s="154"/>
      <c r="O64" s="156">
        <f>SUM(O65:O89)</f>
        <v>157.79999999999998</v>
      </c>
    </row>
    <row r="65" spans="2:15" ht="16" customHeight="1">
      <c r="B65" s="63">
        <f>B63+1</f>
        <v>58</v>
      </c>
      <c r="C65" s="114" t="s">
        <v>231</v>
      </c>
      <c r="D65" s="117" t="s">
        <v>768</v>
      </c>
      <c r="E65" s="492" t="s">
        <v>801</v>
      </c>
      <c r="F65" s="118" t="s">
        <v>753</v>
      </c>
      <c r="G65" s="109">
        <v>7001</v>
      </c>
      <c r="H65" s="9" t="str">
        <f>IF($F65="부록4",IFERROR(INDEX(③1일작업량DB!$H$6:$H$112,MATCH($C65&amp;"|"&amp;$D65,③1일작업량DB!$J$6:$J$112,0)),"-"),"")</f>
        <v>㎥/일</v>
      </c>
      <c r="I65" s="110"/>
      <c r="J65" s="111">
        <v>514</v>
      </c>
      <c r="K65" s="112">
        <v>2</v>
      </c>
      <c r="L65" s="139">
        <f t="shared" si="0"/>
        <v>6.8999999999999995</v>
      </c>
      <c r="M65" s="112">
        <v>0</v>
      </c>
      <c r="N65" s="112">
        <v>0</v>
      </c>
      <c r="O65" s="142">
        <f t="shared" si="1"/>
        <v>6.8999999999999995</v>
      </c>
    </row>
    <row r="66" spans="2:15" ht="16" customHeight="1">
      <c r="B66" s="63">
        <f t="shared" si="3"/>
        <v>59</v>
      </c>
      <c r="C66" s="114" t="s">
        <v>774</v>
      </c>
      <c r="D66" s="119" t="s">
        <v>257</v>
      </c>
      <c r="E66" s="493"/>
      <c r="F66" s="118" t="s">
        <v>753</v>
      </c>
      <c r="G66" s="109">
        <v>1482</v>
      </c>
      <c r="H66" s="9" t="str">
        <f>IF($F66="부록4",IFERROR(INDEX(③1일작업량DB!$H$6:$H$112,MATCH($C66&amp;"|"&amp;$D66,③1일작업량DB!$J$6:$J$112,0)),"-"),"")</f>
        <v>㎥/일</v>
      </c>
      <c r="I66" s="110"/>
      <c r="J66" s="111">
        <f>IF($F66="부록4",IFERROR(INDEX(③1일작업량DB!$G$6:$G$112,MATCH($C66&amp;"|"&amp;$D66,③1일작업량DB!$J$6:$J$112,0)),""),$I66)</f>
        <v>42</v>
      </c>
      <c r="K66" s="112">
        <v>2</v>
      </c>
      <c r="L66" s="139">
        <f t="shared" si="0"/>
        <v>17.700000000000003</v>
      </c>
      <c r="M66" s="112">
        <v>0</v>
      </c>
      <c r="N66" s="112">
        <v>0</v>
      </c>
      <c r="O66" s="142">
        <f t="shared" si="1"/>
        <v>17.700000000000003</v>
      </c>
    </row>
    <row r="67" spans="2:15" ht="16" customHeight="1">
      <c r="B67" s="63">
        <f t="shared" si="3"/>
        <v>60</v>
      </c>
      <c r="C67" s="114" t="s">
        <v>774</v>
      </c>
      <c r="D67" s="117" t="s">
        <v>768</v>
      </c>
      <c r="E67" s="492" t="s">
        <v>802</v>
      </c>
      <c r="F67" s="118" t="s">
        <v>753</v>
      </c>
      <c r="G67" s="109">
        <v>1925</v>
      </c>
      <c r="H67" s="9" t="str">
        <f>IF($F67="부록4",IFERROR(INDEX(③1일작업량DB!$H$6:$H$112,MATCH($C67&amp;"|"&amp;$D67,③1일작업량DB!$J$6:$J$112,0)),"-"),"")</f>
        <v>㎥/일</v>
      </c>
      <c r="I67" s="110"/>
      <c r="J67" s="111">
        <v>514</v>
      </c>
      <c r="K67" s="112">
        <v>1</v>
      </c>
      <c r="L67" s="139">
        <f t="shared" si="0"/>
        <v>3.8000000000000003</v>
      </c>
      <c r="M67" s="112">
        <v>0</v>
      </c>
      <c r="N67" s="112">
        <v>0</v>
      </c>
      <c r="O67" s="142">
        <f t="shared" si="1"/>
        <v>3.8000000000000003</v>
      </c>
    </row>
    <row r="68" spans="2:15" ht="16" customHeight="1">
      <c r="B68" s="63">
        <f t="shared" si="3"/>
        <v>61</v>
      </c>
      <c r="C68" s="114" t="s">
        <v>774</v>
      </c>
      <c r="D68" s="119" t="s">
        <v>257</v>
      </c>
      <c r="E68" s="493"/>
      <c r="F68" s="118" t="s">
        <v>753</v>
      </c>
      <c r="G68" s="109">
        <f>658+362</f>
        <v>1020</v>
      </c>
      <c r="H68" s="9" t="str">
        <f>IF($F68="부록4",IFERROR(INDEX(③1일작업량DB!$H$6:$H$112,MATCH($C68&amp;"|"&amp;$D68,③1일작업량DB!$J$6:$J$112,0)),"-"),"")</f>
        <v>㎥/일</v>
      </c>
      <c r="I68" s="110"/>
      <c r="J68" s="111">
        <f>IF($F68="부록4",IFERROR(INDEX(③1일작업량DB!$G$6:$G$112,MATCH($C68&amp;"|"&amp;$D68,③1일작업량DB!$J$6:$J$112,0)),""),$I68)</f>
        <v>42</v>
      </c>
      <c r="K68" s="112">
        <v>1</v>
      </c>
      <c r="L68" s="139">
        <f t="shared" si="0"/>
        <v>24.3</v>
      </c>
      <c r="M68" s="112">
        <v>0</v>
      </c>
      <c r="N68" s="112">
        <v>0</v>
      </c>
      <c r="O68" s="142">
        <f t="shared" si="1"/>
        <v>24.3</v>
      </c>
    </row>
    <row r="69" spans="2:15" ht="16" customHeight="1">
      <c r="B69" s="63">
        <f t="shared" si="3"/>
        <v>62</v>
      </c>
      <c r="C69" s="114" t="s">
        <v>791</v>
      </c>
      <c r="D69" s="117" t="s">
        <v>760</v>
      </c>
      <c r="E69" s="492" t="s">
        <v>801</v>
      </c>
      <c r="F69" s="118" t="s">
        <v>753</v>
      </c>
      <c r="G69" s="109">
        <f>(22+101+55+25+156+28)*2.5</f>
        <v>967.5</v>
      </c>
      <c r="H69" s="9" t="str">
        <f>IF($F69="부록4",IFERROR(INDEX(③1일작업량DB!$H$6:$H$112,MATCH($C69&amp;"|"&amp;$D69,③1일작업량DB!$J$6:$J$112,0)),"-"),"")</f>
        <v>m/일</v>
      </c>
      <c r="I69" s="110"/>
      <c r="J69" s="111">
        <f>IF($F69="부록4",IFERROR(INDEX(③1일작업량DB!$G$6:$G$112,MATCH($C69&amp;"|"&amp;$D69,③1일작업량DB!$J$6:$J$112,0)),""),$I69)</f>
        <v>43</v>
      </c>
      <c r="K69" s="112">
        <v>1</v>
      </c>
      <c r="L69" s="139">
        <f t="shared" ref="L69:L98" si="4">IFERROR(IF(AND($G69&gt;0,$J69&gt;0,$K69&gt;0),ROUNDUP($G69/($J69*$K69),1),0),0)</f>
        <v>22.5</v>
      </c>
      <c r="M69" s="112">
        <v>0</v>
      </c>
      <c r="N69" s="112">
        <v>0</v>
      </c>
      <c r="O69" s="142">
        <f t="shared" ref="O69:O98" si="5">$L69+$M69+$N69</f>
        <v>22.5</v>
      </c>
    </row>
    <row r="70" spans="2:15" ht="16" customHeight="1">
      <c r="B70" s="63">
        <f t="shared" si="3"/>
        <v>63</v>
      </c>
      <c r="C70" s="114" t="s">
        <v>791</v>
      </c>
      <c r="D70" s="117" t="s">
        <v>803</v>
      </c>
      <c r="E70" s="498"/>
      <c r="F70" s="118" t="s">
        <v>753</v>
      </c>
      <c r="G70" s="109">
        <f>330+92+8</f>
        <v>430</v>
      </c>
      <c r="H70" s="9" t="str">
        <f>IF($F70="부록4",IFERROR(INDEX(③1일작업량DB!$H$6:$H$112,MATCH($C70&amp;"|"&amp;$D70,③1일작업량DB!$J$6:$J$112,0)),"-"),"")</f>
        <v>m/일</v>
      </c>
      <c r="I70" s="110"/>
      <c r="J70" s="111">
        <f>IF($F70="부록4",IFERROR(INDEX(③1일작업량DB!$G$6:$G$112,MATCH($C70&amp;"|"&amp;$D70,③1일작업량DB!$J$6:$J$112,0)),""),$I70)</f>
        <v>38</v>
      </c>
      <c r="K70" s="112">
        <v>1</v>
      </c>
      <c r="L70" s="139">
        <f t="shared" si="4"/>
        <v>11.4</v>
      </c>
      <c r="M70" s="112">
        <v>0</v>
      </c>
      <c r="N70" s="112">
        <v>0</v>
      </c>
      <c r="O70" s="142">
        <f t="shared" si="5"/>
        <v>11.4</v>
      </c>
    </row>
    <row r="71" spans="2:15" ht="16" customHeight="1">
      <c r="B71" s="63">
        <f t="shared" si="3"/>
        <v>64</v>
      </c>
      <c r="C71" s="114" t="s">
        <v>791</v>
      </c>
      <c r="D71" s="114" t="s">
        <v>804</v>
      </c>
      <c r="E71" s="493"/>
      <c r="F71" s="118" t="s">
        <v>753</v>
      </c>
      <c r="G71" s="109">
        <v>54</v>
      </c>
      <c r="H71" s="9" t="str">
        <f>IF($F71="부록4",IFERROR(INDEX(③1일작업량DB!$H$6:$H$112,MATCH($C71&amp;"|"&amp;$D71,③1일작업량DB!$J$6:$J$112,0)),"-"),"")</f>
        <v>span/일</v>
      </c>
      <c r="I71" s="110"/>
      <c r="J71" s="111">
        <f>IF($F71="부록4",IFERROR(INDEX(③1일작업량DB!$G$6:$G$112,MATCH($C71&amp;"|"&amp;$D71,③1일작업량DB!$J$6:$J$112,0)),""),$I71)</f>
        <v>2.5</v>
      </c>
      <c r="K71" s="112">
        <v>1</v>
      </c>
      <c r="L71" s="139">
        <f t="shared" si="4"/>
        <v>21.6</v>
      </c>
      <c r="M71" s="112">
        <v>0</v>
      </c>
      <c r="N71" s="112">
        <v>0</v>
      </c>
      <c r="O71" s="142">
        <f t="shared" si="5"/>
        <v>21.6</v>
      </c>
    </row>
    <row r="72" spans="2:15" ht="16" customHeight="1">
      <c r="B72" s="63">
        <f t="shared" si="3"/>
        <v>65</v>
      </c>
      <c r="C72" s="114" t="s">
        <v>791</v>
      </c>
      <c r="D72" s="117" t="s">
        <v>760</v>
      </c>
      <c r="E72" s="492" t="s">
        <v>802</v>
      </c>
      <c r="F72" s="118" t="s">
        <v>753</v>
      </c>
      <c r="G72" s="109">
        <f>132*2.5</f>
        <v>330</v>
      </c>
      <c r="H72" s="9" t="str">
        <f>IF($F72="부록4",IFERROR(INDEX(③1일작업량DB!$H$6:$H$112,MATCH($C72&amp;"|"&amp;$D72,③1일작업량DB!$J$6:$J$112,0)),"-"),"")</f>
        <v>m/일</v>
      </c>
      <c r="I72" s="110"/>
      <c r="J72" s="111">
        <f>IF($F72="부록4",IFERROR(INDEX(③1일작업량DB!$G$6:$G$112,MATCH($C72&amp;"|"&amp;$D72,③1일작업량DB!$J$6:$J$112,0)),""),$I72)</f>
        <v>43</v>
      </c>
      <c r="K72" s="112">
        <v>1</v>
      </c>
      <c r="L72" s="139">
        <f t="shared" si="4"/>
        <v>7.6999999999999993</v>
      </c>
      <c r="M72" s="112">
        <v>0</v>
      </c>
      <c r="N72" s="112">
        <v>0</v>
      </c>
      <c r="O72" s="142">
        <f t="shared" si="5"/>
        <v>7.6999999999999993</v>
      </c>
    </row>
    <row r="73" spans="2:15" ht="16" customHeight="1">
      <c r="B73" s="63">
        <f t="shared" si="3"/>
        <v>66</v>
      </c>
      <c r="C73" s="114" t="s">
        <v>791</v>
      </c>
      <c r="D73" s="117" t="s">
        <v>803</v>
      </c>
      <c r="E73" s="498"/>
      <c r="F73" s="118" t="s">
        <v>753</v>
      </c>
      <c r="G73" s="109">
        <f>330+92+8</f>
        <v>430</v>
      </c>
      <c r="H73" s="9" t="str">
        <f>IF($F73="부록4",IFERROR(INDEX(③1일작업량DB!$H$6:$H$112,MATCH($C73&amp;"|"&amp;$D73,③1일작업량DB!$J$6:$J$112,0)),"-"),"")</f>
        <v>m/일</v>
      </c>
      <c r="I73" s="110"/>
      <c r="J73" s="111">
        <f>IF($F73="부록4",IFERROR(INDEX(③1일작업량DB!$G$6:$G$112,MATCH($C73&amp;"|"&amp;$D73,③1일작업량DB!$J$6:$J$112,0)),""),$I73)</f>
        <v>38</v>
      </c>
      <c r="K73" s="112">
        <v>1</v>
      </c>
      <c r="L73" s="139">
        <f t="shared" si="4"/>
        <v>11.4</v>
      </c>
      <c r="M73" s="112">
        <v>0</v>
      </c>
      <c r="N73" s="112">
        <v>0</v>
      </c>
      <c r="O73" s="142">
        <f t="shared" si="5"/>
        <v>11.4</v>
      </c>
    </row>
    <row r="74" spans="2:15" ht="16" customHeight="1">
      <c r="B74" s="63">
        <f>B73+1</f>
        <v>67</v>
      </c>
      <c r="C74" s="114" t="s">
        <v>791</v>
      </c>
      <c r="D74" s="114" t="s">
        <v>804</v>
      </c>
      <c r="E74" s="493"/>
      <c r="F74" s="118" t="s">
        <v>753</v>
      </c>
      <c r="G74" s="109">
        <v>54</v>
      </c>
      <c r="H74" s="9" t="str">
        <f>IF($F74="부록4",IFERROR(INDEX(③1일작업량DB!$H$6:$H$112,MATCH($C74&amp;"|"&amp;$D74,③1일작업량DB!$J$6:$J$112,0)),"-"),"")</f>
        <v>span/일</v>
      </c>
      <c r="I74" s="110"/>
      <c r="J74" s="111">
        <f>IF($F74="부록4",IFERROR(INDEX(③1일작업량DB!$G$6:$G$112,MATCH($C74&amp;"|"&amp;$D74,③1일작업량DB!$J$6:$J$112,0)),""),$I74)</f>
        <v>2.5</v>
      </c>
      <c r="K74" s="112">
        <v>1</v>
      </c>
      <c r="L74" s="139">
        <f t="shared" si="4"/>
        <v>21.6</v>
      </c>
      <c r="M74" s="112">
        <v>0</v>
      </c>
      <c r="N74" s="112">
        <v>0</v>
      </c>
      <c r="O74" s="142">
        <f t="shared" si="5"/>
        <v>21.6</v>
      </c>
    </row>
    <row r="75" spans="2:15" ht="16" customHeight="1">
      <c r="B75" s="63">
        <f t="shared" si="3"/>
        <v>68</v>
      </c>
      <c r="C75" s="114" t="s">
        <v>774</v>
      </c>
      <c r="D75" s="114" t="s">
        <v>232</v>
      </c>
      <c r="E75" s="492" t="s">
        <v>801</v>
      </c>
      <c r="F75" s="118" t="s">
        <v>755</v>
      </c>
      <c r="G75" s="109">
        <v>22</v>
      </c>
      <c r="H75" s="9" t="str">
        <f>IF($F75="부록4",IFERROR(INDEX(③1일작업량DB!$H$6:$H$112,MATCH($C75&amp;"|"&amp;$D75,③1일작업량DB!$J$6:$J$112,0)),"-"),"")</f>
        <v>㎥/일</v>
      </c>
      <c r="I75" s="110"/>
      <c r="J75" s="111">
        <f>IF($F75="부록4",IFERROR(INDEX(③1일작업량DB!$G$6:$G$112,MATCH($C75&amp;"|"&amp;$D75,③1일작업량DB!$J$6:$J$112,0)),""),$I75)</f>
        <v>54</v>
      </c>
      <c r="K75" s="112">
        <v>1</v>
      </c>
      <c r="L75" s="139">
        <f t="shared" si="4"/>
        <v>0.5</v>
      </c>
      <c r="M75" s="112">
        <v>0</v>
      </c>
      <c r="N75" s="112">
        <v>0</v>
      </c>
      <c r="O75" s="142">
        <f t="shared" si="5"/>
        <v>0.5</v>
      </c>
    </row>
    <row r="76" spans="2:15" ht="16" customHeight="1">
      <c r="B76" s="63">
        <f t="shared" si="3"/>
        <v>69</v>
      </c>
      <c r="C76" s="119" t="s">
        <v>786</v>
      </c>
      <c r="D76" s="114" t="s">
        <v>790</v>
      </c>
      <c r="E76" s="498"/>
      <c r="F76" s="118" t="s">
        <v>755</v>
      </c>
      <c r="G76" s="109">
        <v>149</v>
      </c>
      <c r="H76" s="9" t="str">
        <f>IF($F76="부록4",IFERROR(INDEX(③1일작업량DB!$H$6:$H$112,MATCH($C76&amp;"|"&amp;$D76,③1일작업량DB!$J$6:$J$112,0)),"-"),"")</f>
        <v>㎥/일</v>
      </c>
      <c r="I76" s="110"/>
      <c r="J76" s="111">
        <f>IF($F76="부록4",IFERROR(INDEX(③1일작업량DB!$G$6:$G$112,MATCH($C76&amp;"|"&amp;$D76,③1일작업량DB!$J$6:$J$112,0)),""),$I76)</f>
        <v>300</v>
      </c>
      <c r="K76" s="112">
        <v>1</v>
      </c>
      <c r="L76" s="139">
        <f t="shared" si="4"/>
        <v>0.5</v>
      </c>
      <c r="M76" s="112">
        <v>0</v>
      </c>
      <c r="N76" s="112">
        <v>0</v>
      </c>
      <c r="O76" s="142">
        <f t="shared" si="5"/>
        <v>0.5</v>
      </c>
    </row>
    <row r="77" spans="2:15" ht="16" customHeight="1">
      <c r="B77" s="63">
        <f t="shared" si="3"/>
        <v>70</v>
      </c>
      <c r="C77" s="119" t="s">
        <v>786</v>
      </c>
      <c r="D77" s="114" t="s">
        <v>292</v>
      </c>
      <c r="E77" s="498"/>
      <c r="F77" s="118" t="s">
        <v>755</v>
      </c>
      <c r="G77" s="109">
        <v>30</v>
      </c>
      <c r="H77" s="9" t="str">
        <f>IF($F77="부록4",IFERROR(INDEX(③1일작업량DB!$H$6:$H$112,MATCH($C77&amp;"|"&amp;$D77,③1일작업량DB!$J$6:$J$112,0)),"-"),"")</f>
        <v>㎥/일</v>
      </c>
      <c r="I77" s="110"/>
      <c r="J77" s="111">
        <f>IF($F77="부록4",IFERROR(INDEX(③1일작업량DB!$G$6:$G$112,MATCH($C77&amp;"|"&amp;$D77,③1일작업량DB!$J$6:$J$112,0)),""),$I77)</f>
        <v>550</v>
      </c>
      <c r="K77" s="112">
        <v>1</v>
      </c>
      <c r="L77" s="139">
        <f t="shared" si="4"/>
        <v>0.1</v>
      </c>
      <c r="M77" s="112">
        <v>0</v>
      </c>
      <c r="N77" s="112">
        <v>0</v>
      </c>
      <c r="O77" s="142">
        <f t="shared" si="5"/>
        <v>0.1</v>
      </c>
    </row>
    <row r="78" spans="2:15" ht="16" customHeight="1">
      <c r="B78" s="63">
        <f t="shared" si="3"/>
        <v>71</v>
      </c>
      <c r="C78" s="114" t="s">
        <v>786</v>
      </c>
      <c r="D78" s="119" t="s">
        <v>787</v>
      </c>
      <c r="E78" s="498"/>
      <c r="F78" s="118" t="s">
        <v>755</v>
      </c>
      <c r="G78" s="109">
        <v>3202</v>
      </c>
      <c r="H78" s="9" t="s">
        <v>793</v>
      </c>
      <c r="I78" s="110"/>
      <c r="J78" s="111">
        <v>4800</v>
      </c>
      <c r="K78" s="112">
        <v>1</v>
      </c>
      <c r="L78" s="139">
        <f t="shared" si="4"/>
        <v>0.7</v>
      </c>
      <c r="M78" s="112">
        <v>0</v>
      </c>
      <c r="N78" s="112">
        <v>0</v>
      </c>
      <c r="O78" s="142">
        <f t="shared" si="5"/>
        <v>0.7</v>
      </c>
    </row>
    <row r="79" spans="2:15" ht="16" customHeight="1">
      <c r="B79" s="63">
        <f t="shared" si="3"/>
        <v>72</v>
      </c>
      <c r="C79" s="114" t="s">
        <v>786</v>
      </c>
      <c r="D79" s="119" t="s">
        <v>761</v>
      </c>
      <c r="E79" s="498"/>
      <c r="F79" s="118" t="s">
        <v>755</v>
      </c>
      <c r="G79" s="109">
        <v>3202</v>
      </c>
      <c r="H79" s="9" t="s">
        <v>793</v>
      </c>
      <c r="I79" s="110"/>
      <c r="J79" s="111">
        <v>4800</v>
      </c>
      <c r="K79" s="112">
        <v>1</v>
      </c>
      <c r="L79" s="139">
        <f t="shared" si="4"/>
        <v>0.7</v>
      </c>
      <c r="M79" s="112">
        <v>0</v>
      </c>
      <c r="N79" s="112">
        <v>0</v>
      </c>
      <c r="O79" s="142">
        <f t="shared" si="5"/>
        <v>0.7</v>
      </c>
    </row>
    <row r="80" spans="2:15" ht="16" customHeight="1">
      <c r="B80" s="63">
        <f t="shared" si="3"/>
        <v>73</v>
      </c>
      <c r="C80" s="119" t="s">
        <v>143</v>
      </c>
      <c r="D80" s="114" t="s">
        <v>788</v>
      </c>
      <c r="E80" s="498"/>
      <c r="F80" s="118" t="s">
        <v>755</v>
      </c>
      <c r="G80" s="109">
        <v>3202</v>
      </c>
      <c r="H80" s="9" t="s">
        <v>793</v>
      </c>
      <c r="I80" s="110"/>
      <c r="J80" s="111">
        <v>20000</v>
      </c>
      <c r="K80" s="112">
        <v>1</v>
      </c>
      <c r="L80" s="139">
        <f t="shared" si="4"/>
        <v>0.2</v>
      </c>
      <c r="M80" s="112">
        <v>0</v>
      </c>
      <c r="N80" s="112">
        <v>0</v>
      </c>
      <c r="O80" s="142">
        <f t="shared" si="5"/>
        <v>0.2</v>
      </c>
    </row>
    <row r="81" spans="2:15" ht="16" customHeight="1">
      <c r="B81" s="63">
        <f t="shared" si="3"/>
        <v>74</v>
      </c>
      <c r="C81" s="119" t="s">
        <v>143</v>
      </c>
      <c r="D81" s="114" t="s">
        <v>789</v>
      </c>
      <c r="E81" s="498"/>
      <c r="F81" s="118" t="s">
        <v>755</v>
      </c>
      <c r="G81" s="109">
        <v>3202</v>
      </c>
      <c r="H81" s="9" t="s">
        <v>793</v>
      </c>
      <c r="I81" s="110"/>
      <c r="J81" s="111">
        <v>20000</v>
      </c>
      <c r="K81" s="112">
        <v>1</v>
      </c>
      <c r="L81" s="139">
        <f t="shared" si="4"/>
        <v>0.2</v>
      </c>
      <c r="M81" s="112">
        <v>0</v>
      </c>
      <c r="N81" s="112">
        <v>0</v>
      </c>
      <c r="O81" s="142">
        <f t="shared" si="5"/>
        <v>0.2</v>
      </c>
    </row>
    <row r="82" spans="2:15" ht="16" customHeight="1">
      <c r="B82" s="63">
        <f t="shared" si="3"/>
        <v>75</v>
      </c>
      <c r="C82" s="119" t="s">
        <v>786</v>
      </c>
      <c r="D82" s="114" t="s">
        <v>292</v>
      </c>
      <c r="E82" s="498"/>
      <c r="F82" s="118" t="s">
        <v>755</v>
      </c>
      <c r="G82" s="109">
        <v>1618</v>
      </c>
      <c r="H82" s="9" t="str">
        <f>IF($F82="부록4",IFERROR(INDEX(③1일작업량DB!$H$6:$H$112,MATCH($C82&amp;"|"&amp;$D82,③1일작업량DB!$J$6:$J$112,0)),"-"),"")</f>
        <v>㎥/일</v>
      </c>
      <c r="I82" s="110"/>
      <c r="J82" s="111">
        <f>IF($F82="부록4",IFERROR(INDEX(③1일작업량DB!$G$6:$G$112,MATCH($C82&amp;"|"&amp;$D82,③1일작업량DB!$J$6:$J$112,0)),""),$I82)</f>
        <v>550</v>
      </c>
      <c r="K82" s="112">
        <v>1</v>
      </c>
      <c r="L82" s="139">
        <f t="shared" si="4"/>
        <v>3</v>
      </c>
      <c r="M82" s="112">
        <v>0</v>
      </c>
      <c r="N82" s="112">
        <v>0</v>
      </c>
      <c r="O82" s="142">
        <f t="shared" si="5"/>
        <v>3</v>
      </c>
    </row>
    <row r="83" spans="2:15" ht="16" customHeight="1">
      <c r="B83" s="63">
        <f t="shared" si="3"/>
        <v>76</v>
      </c>
      <c r="C83" s="114" t="s">
        <v>786</v>
      </c>
      <c r="D83" s="119" t="s">
        <v>787</v>
      </c>
      <c r="E83" s="493"/>
      <c r="F83" s="118" t="s">
        <v>753</v>
      </c>
      <c r="G83" s="109">
        <v>6083</v>
      </c>
      <c r="H83" s="9" t="s">
        <v>793</v>
      </c>
      <c r="I83" s="110"/>
      <c r="J83" s="111">
        <v>4800</v>
      </c>
      <c r="K83" s="112">
        <v>1</v>
      </c>
      <c r="L83" s="139">
        <f t="shared" si="4"/>
        <v>1.3</v>
      </c>
      <c r="M83" s="112">
        <v>0</v>
      </c>
      <c r="N83" s="112">
        <v>0</v>
      </c>
      <c r="O83" s="142">
        <f t="shared" si="5"/>
        <v>1.3</v>
      </c>
    </row>
    <row r="84" spans="2:15" ht="16" customHeight="1">
      <c r="B84" s="63">
        <f t="shared" si="3"/>
        <v>77</v>
      </c>
      <c r="C84" s="114" t="s">
        <v>786</v>
      </c>
      <c r="D84" s="119" t="s">
        <v>787</v>
      </c>
      <c r="E84" s="492" t="s">
        <v>802</v>
      </c>
      <c r="F84" s="118" t="s">
        <v>755</v>
      </c>
      <c r="G84" s="109">
        <v>816</v>
      </c>
      <c r="H84" s="9" t="s">
        <v>793</v>
      </c>
      <c r="I84" s="110"/>
      <c r="J84" s="111">
        <v>4800</v>
      </c>
      <c r="K84" s="112">
        <v>1</v>
      </c>
      <c r="L84" s="139">
        <f t="shared" si="4"/>
        <v>0.2</v>
      </c>
      <c r="M84" s="112">
        <v>0</v>
      </c>
      <c r="N84" s="112">
        <v>0</v>
      </c>
      <c r="O84" s="142">
        <f t="shared" si="5"/>
        <v>0.2</v>
      </c>
    </row>
    <row r="85" spans="2:15" ht="16" customHeight="1">
      <c r="B85" s="63">
        <f t="shared" si="3"/>
        <v>78</v>
      </c>
      <c r="C85" s="114" t="s">
        <v>786</v>
      </c>
      <c r="D85" s="119" t="s">
        <v>761</v>
      </c>
      <c r="E85" s="498"/>
      <c r="F85" s="118" t="s">
        <v>755</v>
      </c>
      <c r="G85" s="109">
        <v>816</v>
      </c>
      <c r="H85" s="9" t="s">
        <v>793</v>
      </c>
      <c r="I85" s="110"/>
      <c r="J85" s="111">
        <v>4800</v>
      </c>
      <c r="K85" s="112">
        <v>1</v>
      </c>
      <c r="L85" s="139">
        <f t="shared" si="4"/>
        <v>0.2</v>
      </c>
      <c r="M85" s="112">
        <v>0</v>
      </c>
      <c r="N85" s="112">
        <v>0</v>
      </c>
      <c r="O85" s="142">
        <f t="shared" si="5"/>
        <v>0.2</v>
      </c>
    </row>
    <row r="86" spans="2:15" ht="16" customHeight="1">
      <c r="B86" s="63">
        <f t="shared" si="3"/>
        <v>79</v>
      </c>
      <c r="C86" s="119" t="s">
        <v>143</v>
      </c>
      <c r="D86" s="114" t="s">
        <v>788</v>
      </c>
      <c r="E86" s="498"/>
      <c r="F86" s="118" t="s">
        <v>755</v>
      </c>
      <c r="G86" s="109">
        <v>816</v>
      </c>
      <c r="H86" s="9" t="s">
        <v>793</v>
      </c>
      <c r="I86" s="110"/>
      <c r="J86" s="111">
        <v>20000</v>
      </c>
      <c r="K86" s="112">
        <v>1</v>
      </c>
      <c r="L86" s="139">
        <f t="shared" si="4"/>
        <v>0.1</v>
      </c>
      <c r="M86" s="112">
        <v>0</v>
      </c>
      <c r="N86" s="112">
        <v>0</v>
      </c>
      <c r="O86" s="142">
        <f t="shared" si="5"/>
        <v>0.1</v>
      </c>
    </row>
    <row r="87" spans="2:15" ht="16" customHeight="1">
      <c r="B87" s="63">
        <f t="shared" si="3"/>
        <v>80</v>
      </c>
      <c r="C87" s="119" t="s">
        <v>143</v>
      </c>
      <c r="D87" s="114" t="s">
        <v>789</v>
      </c>
      <c r="E87" s="498"/>
      <c r="F87" s="118" t="s">
        <v>755</v>
      </c>
      <c r="G87" s="109">
        <v>816</v>
      </c>
      <c r="H87" s="9" t="s">
        <v>793</v>
      </c>
      <c r="I87" s="110"/>
      <c r="J87" s="111">
        <v>20000</v>
      </c>
      <c r="K87" s="112">
        <v>1</v>
      </c>
      <c r="L87" s="139">
        <f t="shared" si="4"/>
        <v>0.1</v>
      </c>
      <c r="M87" s="112">
        <v>0</v>
      </c>
      <c r="N87" s="112">
        <v>0</v>
      </c>
      <c r="O87" s="142">
        <f t="shared" si="5"/>
        <v>0.1</v>
      </c>
    </row>
    <row r="88" spans="2:15" ht="16" customHeight="1">
      <c r="B88" s="63">
        <f t="shared" si="3"/>
        <v>81</v>
      </c>
      <c r="C88" s="119" t="s">
        <v>786</v>
      </c>
      <c r="D88" s="114" t="s">
        <v>292</v>
      </c>
      <c r="E88" s="498"/>
      <c r="F88" s="118" t="s">
        <v>755</v>
      </c>
      <c r="G88" s="109">
        <v>399</v>
      </c>
      <c r="H88" s="9" t="str">
        <f>IF($F88="부록4",IFERROR(INDEX(③1일작업량DB!$H$6:$H$112,MATCH($C88&amp;"|"&amp;$D88,③1일작업량DB!$J$6:$J$112,0)),"-"),"")</f>
        <v>㎥/일</v>
      </c>
      <c r="I88" s="110"/>
      <c r="J88" s="111">
        <f>IF($F88="부록4",IFERROR(INDEX(③1일작업량DB!$G$6:$G$112,MATCH($C88&amp;"|"&amp;$D88,③1일작업량DB!$J$6:$J$112,0)),""),$I88)</f>
        <v>550</v>
      </c>
      <c r="K88" s="112">
        <v>1</v>
      </c>
      <c r="L88" s="139">
        <f t="shared" si="4"/>
        <v>0.79999999999999993</v>
      </c>
      <c r="M88" s="112">
        <v>0</v>
      </c>
      <c r="N88" s="112">
        <v>0</v>
      </c>
      <c r="O88" s="142">
        <f t="shared" si="5"/>
        <v>0.79999999999999993</v>
      </c>
    </row>
    <row r="89" spans="2:15" ht="16" customHeight="1">
      <c r="B89" s="63">
        <f t="shared" si="3"/>
        <v>82</v>
      </c>
      <c r="C89" s="114" t="s">
        <v>786</v>
      </c>
      <c r="D89" s="119" t="s">
        <v>787</v>
      </c>
      <c r="E89" s="493"/>
      <c r="F89" s="118" t="s">
        <v>753</v>
      </c>
      <c r="G89" s="109">
        <v>1322</v>
      </c>
      <c r="H89" s="9" t="s">
        <v>793</v>
      </c>
      <c r="I89" s="110"/>
      <c r="J89" s="111">
        <v>4800</v>
      </c>
      <c r="K89" s="112">
        <v>1</v>
      </c>
      <c r="L89" s="139">
        <f t="shared" si="4"/>
        <v>0.30000000000000004</v>
      </c>
      <c r="M89" s="112">
        <v>0</v>
      </c>
      <c r="N89" s="112">
        <v>0</v>
      </c>
      <c r="O89" s="142">
        <f t="shared" si="5"/>
        <v>0.30000000000000004</v>
      </c>
    </row>
    <row r="90" spans="2:15" ht="16" customHeight="1">
      <c r="B90" s="145"/>
      <c r="C90" s="147" t="s">
        <v>797</v>
      </c>
      <c r="D90" s="147"/>
      <c r="E90" s="148"/>
      <c r="F90" s="149"/>
      <c r="G90" s="150"/>
      <c r="H90" s="151"/>
      <c r="I90" s="152"/>
      <c r="J90" s="153"/>
      <c r="K90" s="154"/>
      <c r="L90" s="155"/>
      <c r="M90" s="154"/>
      <c r="N90" s="154"/>
      <c r="O90" s="156">
        <f>SUM(O91:O98)</f>
        <v>250</v>
      </c>
    </row>
    <row r="91" spans="2:15" ht="16" customHeight="1">
      <c r="B91" s="63">
        <f>B89+1</f>
        <v>83</v>
      </c>
      <c r="C91" s="119" t="s">
        <v>143</v>
      </c>
      <c r="D91" s="114" t="s">
        <v>806</v>
      </c>
      <c r="E91" s="144"/>
      <c r="F91" s="118" t="s">
        <v>755</v>
      </c>
      <c r="G91" s="109">
        <v>150</v>
      </c>
      <c r="H91" s="9" t="s">
        <v>793</v>
      </c>
      <c r="I91" s="110"/>
      <c r="J91" s="111">
        <v>1</v>
      </c>
      <c r="K91" s="112">
        <v>1</v>
      </c>
      <c r="L91" s="139">
        <f t="shared" si="4"/>
        <v>150</v>
      </c>
      <c r="M91" s="112">
        <v>0</v>
      </c>
      <c r="N91" s="112">
        <v>0</v>
      </c>
      <c r="O91" s="142">
        <f t="shared" si="5"/>
        <v>150</v>
      </c>
    </row>
    <row r="92" spans="2:15" ht="16" customHeight="1">
      <c r="B92" s="63">
        <f t="shared" si="3"/>
        <v>84</v>
      </c>
      <c r="C92" s="119" t="s">
        <v>786</v>
      </c>
      <c r="D92" s="114" t="s">
        <v>807</v>
      </c>
      <c r="E92" s="144"/>
      <c r="F92" s="118" t="s">
        <v>755</v>
      </c>
      <c r="G92" s="109">
        <v>100</v>
      </c>
      <c r="H92" s="9" t="str">
        <f>IF($F92="부록4",IFERROR(INDEX(③1일작업량DB!$H$6:$H$112,MATCH($C92&amp;"|"&amp;$D92,③1일작업량DB!$J$6:$J$112,0)),"-"),"")</f>
        <v>-</v>
      </c>
      <c r="I92" s="110"/>
      <c r="J92" s="111">
        <v>1</v>
      </c>
      <c r="K92" s="112">
        <v>1</v>
      </c>
      <c r="L92" s="139">
        <f t="shared" si="4"/>
        <v>100</v>
      </c>
      <c r="M92" s="112">
        <v>0</v>
      </c>
      <c r="N92" s="112">
        <v>0</v>
      </c>
      <c r="O92" s="142">
        <f t="shared" si="5"/>
        <v>100</v>
      </c>
    </row>
    <row r="93" spans="2:15" ht="16" customHeight="1">
      <c r="B93" s="63">
        <f t="shared" si="3"/>
        <v>85</v>
      </c>
      <c r="C93" s="114" t="s">
        <v>786</v>
      </c>
      <c r="D93" s="119"/>
      <c r="E93" s="141"/>
      <c r="F93" s="118" t="s">
        <v>753</v>
      </c>
      <c r="G93" s="109"/>
      <c r="H93" s="9" t="s">
        <v>793</v>
      </c>
      <c r="I93" s="110"/>
      <c r="J93" s="111"/>
      <c r="K93" s="112">
        <v>1</v>
      </c>
      <c r="L93" s="139">
        <f t="shared" si="4"/>
        <v>0</v>
      </c>
      <c r="M93" s="112">
        <v>0</v>
      </c>
      <c r="N93" s="112">
        <v>0</v>
      </c>
      <c r="O93" s="142">
        <f t="shared" si="5"/>
        <v>0</v>
      </c>
    </row>
    <row r="94" spans="2:15" ht="16" customHeight="1">
      <c r="B94" s="63">
        <f t="shared" si="3"/>
        <v>86</v>
      </c>
      <c r="C94" s="114" t="s">
        <v>231</v>
      </c>
      <c r="D94" s="117"/>
      <c r="E94" s="140"/>
      <c r="F94" s="118" t="s">
        <v>753</v>
      </c>
      <c r="G94" s="109"/>
      <c r="H94" s="9" t="str">
        <f>IF($F94="부록4",IFERROR(INDEX(③1일작업량DB!$H$6:$H$112,MATCH($C94&amp;"|"&amp;$D94,③1일작업량DB!$J$6:$J$112,0)),"-"),"")</f>
        <v>-</v>
      </c>
      <c r="I94" s="110"/>
      <c r="J94" s="111" t="str">
        <f>IF($F94="부록4",IFERROR(INDEX(③1일작업량DB!$G$6:$G$112,MATCH($C94&amp;"|"&amp;$D94,③1일작업량DB!$J$6:$J$112,0)),""),$I94)</f>
        <v/>
      </c>
      <c r="K94" s="112">
        <v>1</v>
      </c>
      <c r="L94" s="139">
        <f t="shared" si="4"/>
        <v>0</v>
      </c>
      <c r="M94" s="112">
        <v>0</v>
      </c>
      <c r="N94" s="112">
        <v>0</v>
      </c>
      <c r="O94" s="142">
        <f t="shared" si="5"/>
        <v>0</v>
      </c>
    </row>
    <row r="95" spans="2:15" ht="16" customHeight="1">
      <c r="B95" s="63">
        <f t="shared" si="3"/>
        <v>87</v>
      </c>
      <c r="C95" s="114" t="s">
        <v>231</v>
      </c>
      <c r="D95" s="117"/>
      <c r="E95" s="140"/>
      <c r="F95" s="118" t="s">
        <v>753</v>
      </c>
      <c r="G95" s="109"/>
      <c r="H95" s="9" t="str">
        <f>IF($F95="부록4",IFERROR(INDEX(③1일작업량DB!$H$6:$H$112,MATCH($C95&amp;"|"&amp;$D95,③1일작업량DB!$J$6:$J$112,0)),"-"),"")</f>
        <v>-</v>
      </c>
      <c r="I95" s="110"/>
      <c r="J95" s="111" t="str">
        <f>IF($F95="부록4",IFERROR(INDEX(③1일작업량DB!$G$6:$G$112,MATCH($C95&amp;"|"&amp;$D95,③1일작업량DB!$J$6:$J$112,0)),""),$I95)</f>
        <v/>
      </c>
      <c r="K95" s="112">
        <v>1</v>
      </c>
      <c r="L95" s="139">
        <f t="shared" si="4"/>
        <v>0</v>
      </c>
      <c r="M95" s="112">
        <v>0</v>
      </c>
      <c r="N95" s="112">
        <v>0</v>
      </c>
      <c r="O95" s="142">
        <f t="shared" si="5"/>
        <v>0</v>
      </c>
    </row>
    <row r="96" spans="2:15" ht="16" customHeight="1">
      <c r="B96" s="63">
        <f t="shared" si="3"/>
        <v>88</v>
      </c>
      <c r="C96" s="114" t="s">
        <v>231</v>
      </c>
      <c r="D96" s="117"/>
      <c r="E96" s="140"/>
      <c r="F96" s="118" t="s">
        <v>753</v>
      </c>
      <c r="G96" s="109"/>
      <c r="H96" s="9" t="str">
        <f>IF($F96="부록4",IFERROR(INDEX(③1일작업량DB!$H$6:$H$112,MATCH($C96&amp;"|"&amp;$D96,③1일작업량DB!$J$6:$J$112,0)),"-"),"")</f>
        <v>-</v>
      </c>
      <c r="I96" s="110"/>
      <c r="J96" s="111" t="str">
        <f>IF($F96="부록4",IFERROR(INDEX(③1일작업량DB!$G$6:$G$112,MATCH($C96&amp;"|"&amp;$D96,③1일작업량DB!$J$6:$J$112,0)),""),$I96)</f>
        <v/>
      </c>
      <c r="K96" s="112">
        <v>1</v>
      </c>
      <c r="L96" s="139">
        <f t="shared" si="4"/>
        <v>0</v>
      </c>
      <c r="M96" s="112">
        <v>0</v>
      </c>
      <c r="N96" s="112">
        <v>0</v>
      </c>
      <c r="O96" s="142">
        <f t="shared" si="5"/>
        <v>0</v>
      </c>
    </row>
    <row r="97" spans="2:15" ht="16" customHeight="1">
      <c r="B97" s="63">
        <f t="shared" si="3"/>
        <v>89</v>
      </c>
      <c r="C97" s="114" t="s">
        <v>231</v>
      </c>
      <c r="D97" s="117"/>
      <c r="E97" s="140"/>
      <c r="F97" s="118" t="s">
        <v>753</v>
      </c>
      <c r="G97" s="109"/>
      <c r="H97" s="9" t="str">
        <f>IF($F97="부록4",IFERROR(INDEX(③1일작업량DB!$H$6:$H$112,MATCH($C97&amp;"|"&amp;$D97,③1일작업량DB!$J$6:$J$112,0)),"-"),"")</f>
        <v>-</v>
      </c>
      <c r="I97" s="110"/>
      <c r="J97" s="111" t="str">
        <f>IF($F97="부록4",IFERROR(INDEX(③1일작업량DB!$G$6:$G$112,MATCH($C97&amp;"|"&amp;$D97,③1일작업량DB!$J$6:$J$112,0)),""),$I97)</f>
        <v/>
      </c>
      <c r="K97" s="112">
        <v>1</v>
      </c>
      <c r="L97" s="139">
        <f t="shared" si="4"/>
        <v>0</v>
      </c>
      <c r="M97" s="112">
        <v>0</v>
      </c>
      <c r="N97" s="112">
        <v>0</v>
      </c>
      <c r="O97" s="142">
        <f t="shared" si="5"/>
        <v>0</v>
      </c>
    </row>
    <row r="98" spans="2:15" ht="16" customHeight="1">
      <c r="B98" s="63">
        <f t="shared" si="3"/>
        <v>90</v>
      </c>
      <c r="C98" s="114" t="s">
        <v>231</v>
      </c>
      <c r="D98" s="117"/>
      <c r="E98" s="140"/>
      <c r="F98" s="118" t="s">
        <v>753</v>
      </c>
      <c r="G98" s="109"/>
      <c r="H98" s="9" t="str">
        <f>IF($F98="부록4",IFERROR(INDEX(③1일작업량DB!$H$6:$H$112,MATCH($C98&amp;"|"&amp;$D98,③1일작업량DB!$J$6:$J$112,0)),"-"),"")</f>
        <v>-</v>
      </c>
      <c r="I98" s="110"/>
      <c r="J98" s="111" t="str">
        <f>IF($F98="부록4",IFERROR(INDEX(③1일작업량DB!$G$6:$G$112,MATCH($C98&amp;"|"&amp;$D98,③1일작업량DB!$J$6:$J$112,0)),""),$I98)</f>
        <v/>
      </c>
      <c r="K98" s="112">
        <v>1</v>
      </c>
      <c r="L98" s="139">
        <f t="shared" si="4"/>
        <v>0</v>
      </c>
      <c r="M98" s="112">
        <v>0</v>
      </c>
      <c r="N98" s="112">
        <v>0</v>
      </c>
      <c r="O98" s="142">
        <f t="shared" si="5"/>
        <v>0</v>
      </c>
    </row>
    <row r="99" spans="2:15" ht="15">
      <c r="B99" s="494" t="s">
        <v>430</v>
      </c>
      <c r="C99" s="494"/>
      <c r="D99" s="494"/>
      <c r="E99" s="494"/>
      <c r="F99" s="494"/>
      <c r="G99" s="494"/>
      <c r="H99" s="494"/>
      <c r="I99" s="494"/>
      <c r="J99" s="494"/>
      <c r="K99" s="494"/>
      <c r="L99" s="73">
        <f>SUM(L6:L98)</f>
        <v>918.00000000000057</v>
      </c>
      <c r="M99" s="73">
        <f>SUM(M6:M98)</f>
        <v>20</v>
      </c>
      <c r="N99" s="73">
        <f>SUM(N6:N98)</f>
        <v>6</v>
      </c>
      <c r="O99" s="73">
        <f>SUM(O6:O98)-O64-O56-O90</f>
        <v>944.00000000000045</v>
      </c>
    </row>
    <row r="100" spans="2:15">
      <c r="B100" s="23" t="s">
        <v>431</v>
      </c>
    </row>
  </sheetData>
  <mergeCells count="18">
    <mergeCell ref="E72:E74"/>
    <mergeCell ref="E75:E83"/>
    <mergeCell ref="A1:N1"/>
    <mergeCell ref="E11:E12"/>
    <mergeCell ref="E13:E14"/>
    <mergeCell ref="E15:E16"/>
    <mergeCell ref="B99:K99"/>
    <mergeCell ref="E17:E24"/>
    <mergeCell ref="E25:E32"/>
    <mergeCell ref="E33:E39"/>
    <mergeCell ref="E49:E50"/>
    <mergeCell ref="E51:E52"/>
    <mergeCell ref="E40:E48"/>
    <mergeCell ref="E59:E63"/>
    <mergeCell ref="E84:E89"/>
    <mergeCell ref="E65:E66"/>
    <mergeCell ref="E67:E68"/>
    <mergeCell ref="E69:E71"/>
  </mergeCells>
  <phoneticPr fontId="84" type="noConversion"/>
  <dataValidations count="3">
    <dataValidation type="list" allowBlank="1" sqref="F5:F98" xr:uid="{00000000-0002-0000-0500-000000000000}">
      <formula1>"부록4,품셈,실적,기타"</formula1>
      <formula2>0</formula2>
    </dataValidation>
    <dataValidation type="list" allowBlank="1" sqref="M5:M98" xr:uid="{00000000-0002-0000-0500-000002000000}">
      <formula1>"0,0.5,1,2,3,5,7"</formula1>
      <formula2>0</formula2>
    </dataValidation>
    <dataValidation type="list" allowBlank="1" sqref="N5:N98" xr:uid="{00000000-0002-0000-0500-000003000000}">
      <formula1>"0,1,2,11,14,15"</formula1>
      <formula2>0</formula2>
    </dataValidation>
  </dataValidations>
  <printOptions horizontalCentered="1"/>
  <pageMargins left="0.31496111111111108" right="0.31496111111111108" top="0.47244166666666665" bottom="0.47244166666666665" header="0.19685069444444445" footer="0.19685069444444445"/>
  <pageSetup paperSize="9" scale="78" fitToHeight="2" orientation="landscape" r:id="rId1"/>
  <headerFooter>
    <oddHeader>&amp;C&amp;"맑은 고딕,굵게"&amp;11연천군 신서공공하수처리시설 증설 외 2개사업 — 적정 공사기간 산정</oddHeader>
    <oddFooter>&amp;L&amp;"맑은 고딕"&amp;8④작업일수산정  (동절기 미반영 기준)&amp;R&amp;"맑은 고딕"&amp;8&amp;P / &amp;N</oddFooter>
  </headerFooter>
  <rowBreaks count="2" manualBreakCount="2">
    <brk id="38" max="17" man="1"/>
    <brk id="72" max="17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1000000}">
          <x14:formula1>
            <xm:f>③1일작업량DB!$E$6:$E$112</xm:f>
          </x14:formula1>
          <x14:formula2>
            <xm:f>0</xm:f>
          </x14:formula2>
          <xm:sqref>D5:D98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A307-8ECF-48E0-AB41-AEB0151228BB}">
  <sheetPr>
    <tabColor rgb="FF2E75B6"/>
  </sheetPr>
  <dimension ref="A1:R120"/>
  <sheetViews>
    <sheetView view="pageBreakPreview" zoomScale="60" zoomScaleNormal="85" workbookViewId="0">
      <pane ySplit="4" topLeftCell="A89" activePane="bottomLeft" state="frozen"/>
      <selection pane="bottomLeft" activeCell="O119" sqref="O119"/>
    </sheetView>
  </sheetViews>
  <sheetFormatPr defaultColWidth="8.69140625" defaultRowHeight="14.6"/>
  <cols>
    <col min="1" max="1" width="3" customWidth="1"/>
    <col min="2" max="2" width="5" customWidth="1"/>
    <col min="3" max="3" width="13" customWidth="1"/>
    <col min="4" max="5" width="26" customWidth="1"/>
    <col min="6" max="6" width="8" customWidth="1"/>
    <col min="7" max="7" width="10" customWidth="1"/>
    <col min="8" max="8" width="7" customWidth="1"/>
    <col min="9" max="9" width="12" hidden="1" customWidth="1"/>
    <col min="10" max="10" width="12" customWidth="1"/>
    <col min="11" max="11" width="7" customWidth="1"/>
    <col min="12" max="12" width="10" customWidth="1"/>
    <col min="13" max="13" width="9" customWidth="1"/>
    <col min="14" max="14" width="8" customWidth="1"/>
    <col min="15" max="15" width="11" customWidth="1"/>
  </cols>
  <sheetData>
    <row r="1" spans="1:18" ht="25.5" customHeight="1">
      <c r="A1" s="477" t="s">
        <v>947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</row>
    <row r="2" spans="1:18" ht="15.45">
      <c r="B2" s="1" t="s">
        <v>418</v>
      </c>
    </row>
    <row r="4" spans="1:18" ht="37.5" customHeight="1">
      <c r="B4" s="71" t="s">
        <v>76</v>
      </c>
      <c r="C4" s="72" t="s">
        <v>205</v>
      </c>
      <c r="D4" s="72" t="s">
        <v>419</v>
      </c>
      <c r="E4" s="72" t="s">
        <v>420</v>
      </c>
      <c r="F4" s="72" t="s">
        <v>421</v>
      </c>
      <c r="G4" s="72" t="s">
        <v>422</v>
      </c>
      <c r="H4" s="72" t="s">
        <v>209</v>
      </c>
      <c r="I4" s="72" t="s">
        <v>423</v>
      </c>
      <c r="J4" s="72" t="s">
        <v>424</v>
      </c>
      <c r="K4" s="72" t="s">
        <v>425</v>
      </c>
      <c r="L4" s="72" t="s">
        <v>426</v>
      </c>
      <c r="M4" s="72" t="s">
        <v>427</v>
      </c>
      <c r="N4" s="72" t="s">
        <v>428</v>
      </c>
      <c r="O4" s="72" t="s">
        <v>429</v>
      </c>
      <c r="R4">
        <f>⑥공사기간종합!C10</f>
        <v>0</v>
      </c>
    </row>
    <row r="5" spans="1:18" ht="15">
      <c r="B5" s="145"/>
      <c r="C5" s="158" t="s">
        <v>948</v>
      </c>
      <c r="D5" s="166"/>
      <c r="E5" s="167"/>
      <c r="F5" s="159"/>
      <c r="G5" s="160"/>
      <c r="H5" s="145"/>
      <c r="I5" s="161"/>
      <c r="J5" s="162"/>
      <c r="K5" s="163"/>
      <c r="L5" s="164"/>
      <c r="M5" s="163"/>
      <c r="N5" s="163"/>
      <c r="O5" s="165">
        <f>SUM(O6:O14)</f>
        <v>29.400000000000002</v>
      </c>
    </row>
    <row r="6" spans="1:18" ht="16" customHeight="1">
      <c r="B6" s="63">
        <v>1</v>
      </c>
      <c r="C6" s="114" t="s">
        <v>231</v>
      </c>
      <c r="D6" s="117" t="s">
        <v>237</v>
      </c>
      <c r="E6" s="140" t="s">
        <v>949</v>
      </c>
      <c r="F6" s="118" t="s">
        <v>755</v>
      </c>
      <c r="G6" s="227">
        <v>1441.74</v>
      </c>
      <c r="H6" s="9" t="str">
        <f>IF($F6="부록4",IFERROR(INDEX(③1일작업량DB!$H$6:$H$169,MATCH(SUBSTITUTE($C6&amp;"|"&amp;$D6,"~","~~"),③1일작업량DB!$J$6:$J$169,0)),"-"),"")</f>
        <v>㎡/일</v>
      </c>
      <c r="I6" s="227"/>
      <c r="J6" s="229">
        <f>IF($F6="부록4",IFERROR(INDEX(③1일작업량DB!$G$6:$G$169,MATCH(SUBSTITUTE($C6&amp;"|"&amp;$D6,"~","~~"),③1일작업량DB!$J$6:$J$169,0)),""),$I6)</f>
        <v>1915</v>
      </c>
      <c r="K6" s="235">
        <v>1</v>
      </c>
      <c r="L6" s="139">
        <f t="shared" ref="L6:L14" si="0">IFERROR(IF(AND($G6&gt;0,$J6&gt;0,$K6&gt;0),ROUNDUP($G6/($J6*$K6),1),0),0)</f>
        <v>0.79999999999999993</v>
      </c>
      <c r="M6" s="231">
        <v>0</v>
      </c>
      <c r="N6" s="231">
        <v>0</v>
      </c>
      <c r="O6" s="142">
        <f t="shared" ref="O6:O14" si="1">$L6+$M6+$N6</f>
        <v>0.79999999999999993</v>
      </c>
    </row>
    <row r="7" spans="1:18" ht="16" customHeight="1">
      <c r="B7" s="63">
        <v>2</v>
      </c>
      <c r="C7" s="119" t="s">
        <v>231</v>
      </c>
      <c r="D7" s="117" t="s">
        <v>950</v>
      </c>
      <c r="E7" s="140" t="s">
        <v>951</v>
      </c>
      <c r="F7" s="118" t="s">
        <v>755</v>
      </c>
      <c r="G7" s="227">
        <v>4141.3999999999996</v>
      </c>
      <c r="H7" s="9" t="str">
        <f>IF($F7="부록4",IFERROR(INDEX(③1일작업량DB!$H$6:$H$169,MATCH(SUBSTITUTE($C7&amp;"|"&amp;$D7,"~","~~"),③1일작업량DB!$J$6:$J$169,0)),"-"),"")</f>
        <v>㎥/일</v>
      </c>
      <c r="I7" s="227"/>
      <c r="J7" s="229">
        <f>IF($F7="부록4",IFERROR(INDEX(③1일작업량DB!$G$6:$G$169,MATCH(SUBSTITUTE($C7&amp;"|"&amp;$D7,"~","~~"),③1일작업량DB!$J$6:$J$169,0)),""),$I7)</f>
        <v>349</v>
      </c>
      <c r="K7" s="235">
        <v>2</v>
      </c>
      <c r="L7" s="139">
        <f t="shared" si="0"/>
        <v>6</v>
      </c>
      <c r="M7" s="231">
        <v>0</v>
      </c>
      <c r="N7" s="231">
        <v>0</v>
      </c>
      <c r="O7" s="142">
        <f t="shared" si="1"/>
        <v>6</v>
      </c>
    </row>
    <row r="8" spans="1:18" ht="16" customHeight="1">
      <c r="B8" s="63">
        <v>3</v>
      </c>
      <c r="C8" s="114" t="s">
        <v>231</v>
      </c>
      <c r="D8" s="117" t="s">
        <v>950</v>
      </c>
      <c r="E8" s="140" t="s">
        <v>952</v>
      </c>
      <c r="F8" s="118" t="s">
        <v>755</v>
      </c>
      <c r="G8" s="227">
        <v>408.82</v>
      </c>
      <c r="H8" s="9" t="str">
        <f>IF($F8="부록4",IFERROR(INDEX(③1일작업량DB!$H$6:$H$169,MATCH(SUBSTITUTE($C8&amp;"|"&amp;$D8,"~","~~"),③1일작업량DB!$J$6:$J$169,0)),"-"),"")</f>
        <v>㎥/일</v>
      </c>
      <c r="I8" s="227"/>
      <c r="J8" s="229">
        <f>IF($F8="부록4",IFERROR(INDEX(③1일작업량DB!$G$6:$G$169,MATCH(SUBSTITUTE($C8&amp;"|"&amp;$D8,"~","~~"),③1일작업량DB!$J$6:$J$169,0)),""),$I8)</f>
        <v>349</v>
      </c>
      <c r="K8" s="235">
        <v>1</v>
      </c>
      <c r="L8" s="139">
        <f t="shared" si="0"/>
        <v>1.2000000000000002</v>
      </c>
      <c r="M8" s="231">
        <v>0</v>
      </c>
      <c r="N8" s="231">
        <v>0</v>
      </c>
      <c r="O8" s="142">
        <f t="shared" si="1"/>
        <v>1.2000000000000002</v>
      </c>
    </row>
    <row r="9" spans="1:18" ht="16" customHeight="1">
      <c r="B9" s="63">
        <v>4</v>
      </c>
      <c r="C9" s="114" t="s">
        <v>231</v>
      </c>
      <c r="D9" s="119" t="s">
        <v>953</v>
      </c>
      <c r="E9" s="140" t="s">
        <v>954</v>
      </c>
      <c r="F9" s="118" t="s">
        <v>755</v>
      </c>
      <c r="G9" s="227">
        <v>1147.0899999999999</v>
      </c>
      <c r="H9" s="9" t="str">
        <f>IF($F9="부록4",IFERROR(INDEX(③1일작업량DB!$H$6:$H$169,MATCH(SUBSTITUTE($C9&amp;"|"&amp;$D9,"~","~~"),③1일작업량DB!$J$6:$J$169,0)),"-"),"")</f>
        <v>㎥/일</v>
      </c>
      <c r="I9" s="227"/>
      <c r="J9" s="229">
        <f>IF($F9="부록4",IFERROR(INDEX(③1일작업량DB!$G$6:$G$169,MATCH(SUBSTITUTE($C9&amp;"|"&amp;$D9,"~","~~"),③1일작업량DB!$J$6:$J$169,0)),""),$I9)</f>
        <v>1118</v>
      </c>
      <c r="K9" s="235">
        <v>1</v>
      </c>
      <c r="L9" s="139">
        <f t="shared" si="0"/>
        <v>1.1000000000000001</v>
      </c>
      <c r="M9" s="231">
        <v>0</v>
      </c>
      <c r="N9" s="231">
        <v>0</v>
      </c>
      <c r="O9" s="142">
        <f t="shared" si="1"/>
        <v>1.1000000000000001</v>
      </c>
    </row>
    <row r="10" spans="1:18" ht="16" customHeight="1">
      <c r="B10" s="63">
        <v>5</v>
      </c>
      <c r="C10" s="114" t="s">
        <v>231</v>
      </c>
      <c r="D10" s="119" t="s">
        <v>257</v>
      </c>
      <c r="E10" s="140" t="s">
        <v>955</v>
      </c>
      <c r="F10" s="118" t="s">
        <v>755</v>
      </c>
      <c r="G10" s="227">
        <v>1508.18</v>
      </c>
      <c r="H10" s="9" t="str">
        <f>IF($F10="부록4",IFERROR(INDEX(③1일작업량DB!$H$6:$H$169,MATCH(SUBSTITUTE($C10&amp;"|"&amp;$D10,"~","~~"),③1일작업량DB!$J$6:$J$169,0)),"-"),"")</f>
        <v>㎥/일</v>
      </c>
      <c r="I10" s="227"/>
      <c r="J10" s="229">
        <f>IF($F10="부록4",IFERROR(INDEX(③1일작업량DB!$G$6:$G$169,MATCH(SUBSTITUTE($C10&amp;"|"&amp;$D10,"~","~~"),③1일작업량DB!$J$6:$J$169,0)),""),$I10)</f>
        <v>42</v>
      </c>
      <c r="K10" s="235">
        <v>3</v>
      </c>
      <c r="L10" s="139">
        <f t="shared" si="0"/>
        <v>12</v>
      </c>
      <c r="M10" s="231">
        <v>0</v>
      </c>
      <c r="N10" s="231">
        <v>0</v>
      </c>
      <c r="O10" s="142">
        <f t="shared" si="1"/>
        <v>12</v>
      </c>
    </row>
    <row r="11" spans="1:18" ht="16" customHeight="1">
      <c r="B11" s="63">
        <v>6</v>
      </c>
      <c r="C11" s="114" t="s">
        <v>231</v>
      </c>
      <c r="D11" s="114" t="s">
        <v>827</v>
      </c>
      <c r="E11" s="208" t="s">
        <v>956</v>
      </c>
      <c r="F11" s="118" t="s">
        <v>755</v>
      </c>
      <c r="G11" s="227">
        <v>122.76</v>
      </c>
      <c r="H11" s="9" t="str">
        <f>IF($F11="부록4",IFERROR(INDEX(③1일작업량DB!$H$6:$H$169,MATCH(SUBSTITUTE($C11&amp;"|"&amp;$D11,"~","~~"),③1일작업량DB!$J$6:$J$169,0)),"-"),"")</f>
        <v>㎥/일</v>
      </c>
      <c r="I11" s="227"/>
      <c r="J11" s="229">
        <f>IF($F11="부록4",IFERROR(INDEX(③1일작업량DB!$G$6:$G$169,MATCH(SUBSTITUTE($C11&amp;"|"&amp;$D11,"~","~~"),③1일작업량DB!$J$6:$J$169,0)),""),$I11)</f>
        <v>60</v>
      </c>
      <c r="K11" s="235">
        <v>1</v>
      </c>
      <c r="L11" s="139">
        <f t="shared" si="0"/>
        <v>2.1</v>
      </c>
      <c r="M11" s="231">
        <v>0</v>
      </c>
      <c r="N11" s="231">
        <v>0</v>
      </c>
      <c r="O11" s="142">
        <f t="shared" si="1"/>
        <v>2.1</v>
      </c>
    </row>
    <row r="12" spans="1:18" ht="16" customHeight="1">
      <c r="B12" s="63">
        <v>7</v>
      </c>
      <c r="C12" s="114" t="s">
        <v>231</v>
      </c>
      <c r="D12" s="117" t="s">
        <v>831</v>
      </c>
      <c r="E12" s="209" t="s">
        <v>957</v>
      </c>
      <c r="F12" s="118" t="s">
        <v>755</v>
      </c>
      <c r="G12" s="227">
        <v>232.32</v>
      </c>
      <c r="H12" s="9" t="str">
        <f>IF($F12="부록4",IFERROR(INDEX(③1일작업량DB!$H$6:$H$169,MATCH(SUBSTITUTE($C12&amp;"|"&amp;$D12,"~","~~"),③1일작업량DB!$J$6:$J$169,0)),"-"),"")</f>
        <v>㎡/일</v>
      </c>
      <c r="I12" s="227"/>
      <c r="J12" s="229">
        <f>IF($F12="부록4",IFERROR(INDEX(③1일작업량DB!$G$6:$G$169,MATCH(SUBSTITUTE($C12&amp;"|"&amp;$D12,"~","~~"),③1일작업량DB!$J$6:$J$169,0)),""),$I12)</f>
        <v>500</v>
      </c>
      <c r="K12" s="235">
        <v>1</v>
      </c>
      <c r="L12" s="139">
        <f t="shared" si="0"/>
        <v>0.5</v>
      </c>
      <c r="M12" s="231">
        <v>0</v>
      </c>
      <c r="N12" s="231">
        <v>0</v>
      </c>
      <c r="O12" s="142">
        <f t="shared" si="1"/>
        <v>0.5</v>
      </c>
    </row>
    <row r="13" spans="1:18" ht="16" customHeight="1">
      <c r="B13" s="63">
        <v>8</v>
      </c>
      <c r="C13" s="114" t="s">
        <v>231</v>
      </c>
      <c r="D13" s="119" t="s">
        <v>834</v>
      </c>
      <c r="E13" s="208" t="s">
        <v>958</v>
      </c>
      <c r="F13" s="118" t="s">
        <v>755</v>
      </c>
      <c r="G13" s="227">
        <v>232.32</v>
      </c>
      <c r="H13" s="9" t="str">
        <f>IF($F13="부록4",IFERROR(INDEX(③1일작업량DB!$H$6:$H$169,MATCH(SUBSTITUTE($C13&amp;"|"&amp;$D13,"~","~~"),③1일작업량DB!$J$6:$J$169,0)),"-"),"")</f>
        <v>㎡/일</v>
      </c>
      <c r="I13" s="227"/>
      <c r="J13" s="229">
        <f>IF($F13="부록4",IFERROR(INDEX(③1일작업량DB!$G$6:$G$169,MATCH(SUBSTITUTE($C13&amp;"|"&amp;$D13,"~","~~"),③1일작업량DB!$J$6:$J$169,0)),""),$I13)</f>
        <v>100</v>
      </c>
      <c r="K13" s="235">
        <v>1</v>
      </c>
      <c r="L13" s="139">
        <f t="shared" si="0"/>
        <v>2.4</v>
      </c>
      <c r="M13" s="231">
        <v>0</v>
      </c>
      <c r="N13" s="231">
        <v>0</v>
      </c>
      <c r="O13" s="142">
        <f t="shared" si="1"/>
        <v>2.4</v>
      </c>
    </row>
    <row r="14" spans="1:18" ht="16" customHeight="1">
      <c r="B14" s="63">
        <v>9</v>
      </c>
      <c r="C14" s="114" t="s">
        <v>231</v>
      </c>
      <c r="D14" s="119" t="s">
        <v>829</v>
      </c>
      <c r="E14" s="209" t="s">
        <v>959</v>
      </c>
      <c r="F14" s="118" t="s">
        <v>755</v>
      </c>
      <c r="G14" s="227">
        <v>3271.79</v>
      </c>
      <c r="H14" s="9" t="str">
        <f>IF($F14="부록4",IFERROR(INDEX(③1일작업량DB!$H$6:$H$169,MATCH(SUBSTITUTE($C14&amp;"|"&amp;$D14,"~","~~"),③1일작업량DB!$J$6:$J$169,0)),"-"),"")</f>
        <v>㎥/일</v>
      </c>
      <c r="I14" s="227"/>
      <c r="J14" s="229">
        <f>IF($F14="부록4",IFERROR(INDEX(③1일작업량DB!$G$6:$G$169,MATCH(SUBSTITUTE($C14&amp;"|"&amp;$D14,"~","~~"),③1일작업량DB!$J$6:$J$169,0)),""),$I14)</f>
        <v>500</v>
      </c>
      <c r="K14" s="235">
        <v>2</v>
      </c>
      <c r="L14" s="139">
        <f t="shared" si="0"/>
        <v>3.3000000000000003</v>
      </c>
      <c r="M14" s="231">
        <v>0</v>
      </c>
      <c r="N14" s="231">
        <v>0</v>
      </c>
      <c r="O14" s="142">
        <f t="shared" si="1"/>
        <v>3.3000000000000003</v>
      </c>
    </row>
    <row r="15" spans="1:18" ht="16" customHeight="1">
      <c r="B15" s="145"/>
      <c r="C15" s="158" t="s">
        <v>960</v>
      </c>
      <c r="D15" s="166"/>
      <c r="E15" s="167"/>
      <c r="F15" s="159"/>
      <c r="G15" s="228"/>
      <c r="H15" s="145"/>
      <c r="I15" s="228"/>
      <c r="J15" s="230"/>
      <c r="K15" s="236"/>
      <c r="L15" s="164"/>
      <c r="M15" s="232"/>
      <c r="N15" s="232"/>
      <c r="O15" s="165">
        <f>SUM(O16:O37)</f>
        <v>205.40000000000003</v>
      </c>
    </row>
    <row r="16" spans="1:18" ht="16" customHeight="1">
      <c r="B16" s="63">
        <v>10</v>
      </c>
      <c r="C16" s="114" t="s">
        <v>361</v>
      </c>
      <c r="D16" s="117" t="s">
        <v>362</v>
      </c>
      <c r="E16" s="140" t="s">
        <v>961</v>
      </c>
      <c r="F16" s="118" t="s">
        <v>755</v>
      </c>
      <c r="G16" s="227">
        <v>131.71899999999999</v>
      </c>
      <c r="H16" s="9" t="str">
        <f>IF($F16="부록4",IFERROR(INDEX(③1일작업량DB!$H$6:$H$169,MATCH(SUBSTITUTE($C16&amp;"|"&amp;$D16,"~","~~"),③1일작업량DB!$J$6:$J$169,0)),"-"),"")</f>
        <v>ton/일</v>
      </c>
      <c r="I16" s="227"/>
      <c r="J16" s="229">
        <f>IF($F16="부록4",IFERROR(INDEX(③1일작업량DB!$G$6:$G$169,MATCH(SUBSTITUTE($C16&amp;"|"&amp;$D16,"~","~~"),③1일작업량DB!$J$6:$J$169,0)),""),$I16)</f>
        <v>4</v>
      </c>
      <c r="K16" s="235">
        <v>2</v>
      </c>
      <c r="L16" s="139">
        <f t="shared" ref="L16:L37" si="2">IFERROR(IF(AND($G16&gt;0,$J16&gt;0,$K16&gt;0),ROUNDUP($G16/($J16*$K16),1),0),0)</f>
        <v>16.5</v>
      </c>
      <c r="M16" s="231">
        <v>0</v>
      </c>
      <c r="N16" s="231">
        <v>0</v>
      </c>
      <c r="O16" s="142">
        <f t="shared" ref="O16:O37" si="3">$L16+$M16+$N16</f>
        <v>16.5</v>
      </c>
    </row>
    <row r="17" spans="2:15" ht="16" customHeight="1">
      <c r="B17" s="63">
        <v>11</v>
      </c>
      <c r="C17" s="114" t="s">
        <v>361</v>
      </c>
      <c r="D17" s="117" t="s">
        <v>962</v>
      </c>
      <c r="E17" s="140" t="s">
        <v>963</v>
      </c>
      <c r="F17" s="118" t="s">
        <v>755</v>
      </c>
      <c r="G17" s="227">
        <v>131.71899999999999</v>
      </c>
      <c r="H17" s="9" t="str">
        <f>IF($F17="부록4",IFERROR(INDEX(③1일작업량DB!$H$6:$H$169,MATCH(SUBSTITUTE($C17&amp;"|"&amp;$D17,"~","~~"),③1일작업량DB!$J$6:$J$169,0)),"-"),"")</f>
        <v>ton/일</v>
      </c>
      <c r="I17" s="227"/>
      <c r="J17" s="229">
        <f>IF($F17="부록4",IFERROR(INDEX(③1일작업량DB!$G$6:$G$169,MATCH(SUBSTITUTE($C17&amp;"|"&amp;$D17,"~","~~"),③1일작업량DB!$J$6:$J$169,0)),""),$I17)</f>
        <v>2.5</v>
      </c>
      <c r="K17" s="235">
        <v>3</v>
      </c>
      <c r="L17" s="139">
        <f t="shared" si="2"/>
        <v>17.600000000000001</v>
      </c>
      <c r="M17" s="231">
        <v>0</v>
      </c>
      <c r="N17" s="231">
        <v>0</v>
      </c>
      <c r="O17" s="142">
        <f t="shared" si="3"/>
        <v>17.600000000000001</v>
      </c>
    </row>
    <row r="18" spans="2:15" ht="16" customHeight="1">
      <c r="B18" s="63">
        <v>12</v>
      </c>
      <c r="C18" s="114" t="s">
        <v>361</v>
      </c>
      <c r="D18" s="117" t="s">
        <v>759</v>
      </c>
      <c r="E18" s="140" t="s">
        <v>964</v>
      </c>
      <c r="F18" s="118" t="s">
        <v>755</v>
      </c>
      <c r="G18" s="227">
        <v>2479.35</v>
      </c>
      <c r="H18" s="9" t="str">
        <f>IF($F18="부록4",IFERROR(INDEX(③1일작업량DB!$H$6:$H$169,MATCH(SUBSTITUTE($C18&amp;"|"&amp;$D18,"~","~~"),③1일작업량DB!$J$6:$J$169,0)),"-"),"")</f>
        <v>㎡/일</v>
      </c>
      <c r="I18" s="227"/>
      <c r="J18" s="229">
        <f>IF($F18="부록4",IFERROR(INDEX(③1일작업량DB!$G$6:$G$169,MATCH(SUBSTITUTE($C18&amp;"|"&amp;$D18,"~","~~"),③1일작업량DB!$J$6:$J$169,0)),""),$I18)</f>
        <v>50</v>
      </c>
      <c r="K18" s="235">
        <v>3</v>
      </c>
      <c r="L18" s="139">
        <f t="shared" si="2"/>
        <v>16.600000000000001</v>
      </c>
      <c r="M18" s="231">
        <v>0</v>
      </c>
      <c r="N18" s="231">
        <v>0</v>
      </c>
      <c r="O18" s="142">
        <f t="shared" si="3"/>
        <v>16.600000000000001</v>
      </c>
    </row>
    <row r="19" spans="2:15" ht="16" customHeight="1">
      <c r="B19" s="63">
        <v>13</v>
      </c>
      <c r="C19" s="114" t="s">
        <v>361</v>
      </c>
      <c r="D19" s="117" t="s">
        <v>377</v>
      </c>
      <c r="E19" s="140" t="s">
        <v>964</v>
      </c>
      <c r="F19" s="118" t="s">
        <v>755</v>
      </c>
      <c r="G19" s="227">
        <v>2479.35</v>
      </c>
      <c r="H19" s="9" t="str">
        <f>IF($F19="부록4",IFERROR(INDEX(③1일작업량DB!$H$6:$H$169,MATCH(SUBSTITUTE($C19&amp;"|"&amp;$D19,"~","~~"),③1일작업량DB!$J$6:$J$169,0)),"-"),"")</f>
        <v>㎡/일</v>
      </c>
      <c r="I19" s="227"/>
      <c r="J19" s="229">
        <f>IF($F19="부록4",IFERROR(INDEX(③1일작업량DB!$G$6:$G$169,MATCH(SUBSTITUTE($C19&amp;"|"&amp;$D19,"~","~~"),③1일작업량DB!$J$6:$J$169,0)),""),$I19)</f>
        <v>115</v>
      </c>
      <c r="K19" s="235">
        <v>2</v>
      </c>
      <c r="L19" s="139">
        <f t="shared" si="2"/>
        <v>10.799999999999999</v>
      </c>
      <c r="M19" s="231">
        <v>0</v>
      </c>
      <c r="N19" s="231">
        <v>0</v>
      </c>
      <c r="O19" s="142">
        <f t="shared" si="3"/>
        <v>10.799999999999999</v>
      </c>
    </row>
    <row r="20" spans="2:15" ht="16" customHeight="1">
      <c r="B20" s="63">
        <v>14</v>
      </c>
      <c r="C20" s="114" t="s">
        <v>361</v>
      </c>
      <c r="D20" s="117" t="s">
        <v>758</v>
      </c>
      <c r="E20" s="140" t="s">
        <v>965</v>
      </c>
      <c r="F20" s="118" t="s">
        <v>755</v>
      </c>
      <c r="G20" s="227">
        <v>605.24</v>
      </c>
      <c r="H20" s="9" t="str">
        <f>IF($F20="부록4",IFERROR(INDEX(③1일작업량DB!$H$6:$H$169,MATCH(SUBSTITUTE($C20&amp;"|"&amp;$D20,"~","~~"),③1일작업량DB!$J$6:$J$169,0)),"-"),"")</f>
        <v>㎡/일</v>
      </c>
      <c r="I20" s="227"/>
      <c r="J20" s="229">
        <f>IF($F20="부록4",IFERROR(INDEX(③1일작업량DB!$G$6:$G$169,MATCH(SUBSTITUTE($C20&amp;"|"&amp;$D20,"~","~~"),③1일작업량DB!$J$6:$J$169,0)),""),$I20)</f>
        <v>60</v>
      </c>
      <c r="K20" s="235">
        <v>2</v>
      </c>
      <c r="L20" s="139">
        <f t="shared" si="2"/>
        <v>5.0999999999999996</v>
      </c>
      <c r="M20" s="231">
        <v>0</v>
      </c>
      <c r="N20" s="231">
        <v>0</v>
      </c>
      <c r="O20" s="142">
        <f t="shared" si="3"/>
        <v>5.0999999999999996</v>
      </c>
    </row>
    <row r="21" spans="2:15" ht="16" customHeight="1">
      <c r="B21" s="63">
        <v>15</v>
      </c>
      <c r="C21" s="114" t="s">
        <v>361</v>
      </c>
      <c r="D21" s="117" t="s">
        <v>780</v>
      </c>
      <c r="E21" s="140" t="s">
        <v>966</v>
      </c>
      <c r="F21" s="118" t="s">
        <v>755</v>
      </c>
      <c r="G21" s="227">
        <v>252.27</v>
      </c>
      <c r="H21" s="9" t="str">
        <f>IF($F21="부록4",IFERROR(INDEX(③1일작업량DB!$H$6:$H$169,MATCH(SUBSTITUTE($C21&amp;"|"&amp;$D21,"~","~~"),③1일작업량DB!$J$6:$J$169,0)),"-"),"")</f>
        <v>㎡/일</v>
      </c>
      <c r="I21" s="227"/>
      <c r="J21" s="229">
        <f>IF($F21="부록4",IFERROR(INDEX(③1일작업량DB!$G$6:$G$169,MATCH(SUBSTITUTE($C21&amp;"|"&amp;$D21,"~","~~"),③1일작업량DB!$J$6:$J$169,0)),""),$I21)</f>
        <v>40</v>
      </c>
      <c r="K21" s="235">
        <v>1</v>
      </c>
      <c r="L21" s="139">
        <f t="shared" si="2"/>
        <v>6.3999999999999995</v>
      </c>
      <c r="M21" s="231">
        <v>0</v>
      </c>
      <c r="N21" s="231">
        <v>0</v>
      </c>
      <c r="O21" s="142">
        <f t="shared" si="3"/>
        <v>6.3999999999999995</v>
      </c>
    </row>
    <row r="22" spans="2:15" ht="16" customHeight="1">
      <c r="B22" s="63">
        <v>16</v>
      </c>
      <c r="C22" s="114" t="s">
        <v>361</v>
      </c>
      <c r="D22" s="117" t="s">
        <v>374</v>
      </c>
      <c r="E22" s="140" t="s">
        <v>967</v>
      </c>
      <c r="F22" s="118" t="s">
        <v>755</v>
      </c>
      <c r="G22" s="227">
        <v>857.51</v>
      </c>
      <c r="H22" s="9" t="str">
        <f>IF($F22="부록4",IFERROR(INDEX(③1일작업량DB!$H$6:$H$169,MATCH(SUBSTITUTE($C22&amp;"|"&amp;$D22,"~","~~"),③1일작업량DB!$J$6:$J$169,0)),"-"),"")</f>
        <v>㎡/일</v>
      </c>
      <c r="I22" s="227"/>
      <c r="J22" s="229">
        <f>IF($F22="부록4",IFERROR(INDEX(③1일작업량DB!$G$6:$G$169,MATCH(SUBSTITUTE($C22&amp;"|"&amp;$D22,"~","~~"),③1일작업량DB!$J$6:$J$169,0)),""),$I22)</f>
        <v>100</v>
      </c>
      <c r="K22" s="235">
        <v>2</v>
      </c>
      <c r="L22" s="139">
        <f t="shared" si="2"/>
        <v>4.3</v>
      </c>
      <c r="M22" s="231">
        <v>0</v>
      </c>
      <c r="N22" s="231">
        <v>0</v>
      </c>
      <c r="O22" s="142">
        <f t="shared" si="3"/>
        <v>4.3</v>
      </c>
    </row>
    <row r="23" spans="2:15" ht="16" customHeight="1">
      <c r="B23" s="63">
        <v>17</v>
      </c>
      <c r="C23" s="114" t="s">
        <v>361</v>
      </c>
      <c r="D23" s="117" t="s">
        <v>379</v>
      </c>
      <c r="E23" s="140" t="s">
        <v>968</v>
      </c>
      <c r="F23" s="118" t="s">
        <v>755</v>
      </c>
      <c r="G23" s="227">
        <v>2362.4</v>
      </c>
      <c r="H23" s="9" t="str">
        <f>IF($F23="부록4",IFERROR(INDEX(③1일작업량DB!$H$6:$H$169,MATCH(SUBSTITUTE($C23&amp;"|"&amp;$D23,"~","~~"),③1일작업량DB!$J$6:$J$169,0)),"-"),"")</f>
        <v>㎥/일</v>
      </c>
      <c r="I23" s="227"/>
      <c r="J23" s="229">
        <f>IF($F23="부록4",IFERROR(INDEX(③1일작업량DB!$G$6:$G$169,MATCH(SUBSTITUTE($C23&amp;"|"&amp;$D23,"~","~~"),③1일작업량DB!$J$6:$J$169,0)),""),$I23)</f>
        <v>69</v>
      </c>
      <c r="K23" s="235">
        <v>2</v>
      </c>
      <c r="L23" s="139">
        <f t="shared" si="2"/>
        <v>17.200000000000003</v>
      </c>
      <c r="M23" s="231">
        <v>0</v>
      </c>
      <c r="N23" s="231">
        <v>0</v>
      </c>
      <c r="O23" s="142">
        <f t="shared" si="3"/>
        <v>17.200000000000003</v>
      </c>
    </row>
    <row r="24" spans="2:15" ht="16" customHeight="1">
      <c r="B24" s="63">
        <v>18</v>
      </c>
      <c r="C24" s="114" t="s">
        <v>331</v>
      </c>
      <c r="D24" s="117" t="s">
        <v>341</v>
      </c>
      <c r="E24" s="140" t="s">
        <v>968</v>
      </c>
      <c r="F24" s="118" t="s">
        <v>755</v>
      </c>
      <c r="G24" s="227">
        <v>2011.8</v>
      </c>
      <c r="H24" s="9" t="str">
        <f>IF($F24="부록4",IFERROR(INDEX(③1일작업량DB!$H$6:$H$169,MATCH(SUBSTITUTE($C24&amp;"|"&amp;$D24,"~","~~"),③1일작업량DB!$J$6:$J$169,0)),"-"),"")</f>
        <v>㎡/일</v>
      </c>
      <c r="I24" s="227"/>
      <c r="J24" s="229">
        <f>IF($F24="부록4",IFERROR(INDEX(③1일작업량DB!$G$6:$G$169,MATCH(SUBSTITUTE($C24&amp;"|"&amp;$D24,"~","~~"),③1일작업량DB!$J$6:$J$169,0)),""),$I24)</f>
        <v>100</v>
      </c>
      <c r="K24" s="235">
        <v>2</v>
      </c>
      <c r="L24" s="139">
        <f t="shared" si="2"/>
        <v>10.1</v>
      </c>
      <c r="M24" s="231">
        <v>0</v>
      </c>
      <c r="N24" s="231">
        <v>0</v>
      </c>
      <c r="O24" s="142">
        <f t="shared" si="3"/>
        <v>10.1</v>
      </c>
    </row>
    <row r="25" spans="2:15" ht="16" customHeight="1">
      <c r="B25" s="63">
        <v>19</v>
      </c>
      <c r="C25" s="114" t="s">
        <v>361</v>
      </c>
      <c r="D25" s="117" t="s">
        <v>756</v>
      </c>
      <c r="E25" s="140" t="s">
        <v>969</v>
      </c>
      <c r="F25" s="118" t="s">
        <v>755</v>
      </c>
      <c r="G25" s="227">
        <v>83.56</v>
      </c>
      <c r="H25" s="9" t="str">
        <f>IF($F25="부록4",IFERROR(INDEX(③1일작업량DB!$H$6:$H$169,MATCH(SUBSTITUTE($C25&amp;"|"&amp;$D25,"~","~~"),③1일작업량DB!$J$6:$J$169,0)),"-"),"")</f>
        <v>㎥/일</v>
      </c>
      <c r="I25" s="227"/>
      <c r="J25" s="229">
        <f>IF($F25="부록4",IFERROR(INDEX(③1일작업량DB!$G$6:$G$169,MATCH(SUBSTITUTE($C25&amp;"|"&amp;$D25,"~","~~"),③1일작업량DB!$J$6:$J$169,0)),""),$I25)</f>
        <v>189</v>
      </c>
      <c r="K25" s="235">
        <v>1</v>
      </c>
      <c r="L25" s="139">
        <f t="shared" si="2"/>
        <v>0.5</v>
      </c>
      <c r="M25" s="231">
        <v>1</v>
      </c>
      <c r="N25" s="231">
        <v>0</v>
      </c>
      <c r="O25" s="142">
        <f t="shared" si="3"/>
        <v>1.5</v>
      </c>
    </row>
    <row r="26" spans="2:15" ht="16" customHeight="1">
      <c r="B26" s="63">
        <v>20</v>
      </c>
      <c r="C26" s="114" t="s">
        <v>361</v>
      </c>
      <c r="D26" s="117" t="s">
        <v>757</v>
      </c>
      <c r="E26" s="140" t="s">
        <v>970</v>
      </c>
      <c r="F26" s="118" t="s">
        <v>755</v>
      </c>
      <c r="G26" s="227">
        <v>1377.17</v>
      </c>
      <c r="H26" s="9" t="str">
        <f>IF($F26="부록4",IFERROR(INDEX(③1일작업량DB!$H$6:$H$169,MATCH(SUBSTITUTE($C26&amp;"|"&amp;$D26,"~","~~"),③1일작업량DB!$J$6:$J$169,0)),"-"),"")</f>
        <v>㎥/일</v>
      </c>
      <c r="I26" s="227"/>
      <c r="J26" s="229">
        <f>IF($F26="부록4",IFERROR(INDEX(③1일작업량DB!$G$6:$G$169,MATCH(SUBSTITUTE($C26&amp;"|"&amp;$D26,"~","~~"),③1일작업량DB!$J$6:$J$169,0)),""),$I26)</f>
        <v>130</v>
      </c>
      <c r="K26" s="235">
        <v>1</v>
      </c>
      <c r="L26" s="139">
        <f t="shared" si="2"/>
        <v>10.6</v>
      </c>
      <c r="M26" s="231">
        <v>5</v>
      </c>
      <c r="N26" s="231">
        <v>3</v>
      </c>
      <c r="O26" s="142">
        <f t="shared" si="3"/>
        <v>18.600000000000001</v>
      </c>
    </row>
    <row r="27" spans="2:15" ht="16" customHeight="1">
      <c r="B27" s="63">
        <v>21</v>
      </c>
      <c r="C27" s="114" t="s">
        <v>836</v>
      </c>
      <c r="D27" s="117" t="s">
        <v>837</v>
      </c>
      <c r="E27" s="140" t="s">
        <v>838</v>
      </c>
      <c r="F27" s="118" t="s">
        <v>755</v>
      </c>
      <c r="G27" s="227">
        <v>401.48</v>
      </c>
      <c r="H27" s="9" t="str">
        <f>IF($F27="부록4",IFERROR(INDEX(③1일작업량DB!$H$6:$H$169,MATCH(SUBSTITUTE($C27&amp;"|"&amp;$D27,"~","~~"),③1일작업량DB!$J$6:$J$169,0)),"-"),"")</f>
        <v>㎡/일</v>
      </c>
      <c r="I27" s="227"/>
      <c r="J27" s="229">
        <f>IF($F27="부록4",IFERROR(INDEX(③1일작업량DB!$G$6:$G$169,MATCH(SUBSTITUTE($C27&amp;"|"&amp;$D27,"~","~~"),③1일작업량DB!$J$6:$J$169,0)),""),$I27)</f>
        <v>30</v>
      </c>
      <c r="K27" s="235">
        <v>1</v>
      </c>
      <c r="L27" s="139">
        <f t="shared" si="2"/>
        <v>13.4</v>
      </c>
      <c r="M27" s="231">
        <v>0</v>
      </c>
      <c r="N27" s="231">
        <v>0</v>
      </c>
      <c r="O27" s="142">
        <f t="shared" si="3"/>
        <v>13.4</v>
      </c>
    </row>
    <row r="28" spans="2:15" ht="16" customHeight="1">
      <c r="B28" s="63">
        <v>22</v>
      </c>
      <c r="C28" s="114" t="s">
        <v>836</v>
      </c>
      <c r="D28" s="117" t="s">
        <v>839</v>
      </c>
      <c r="E28" s="140" t="s">
        <v>971</v>
      </c>
      <c r="F28" s="118" t="s">
        <v>755</v>
      </c>
      <c r="G28" s="227">
        <v>581.6</v>
      </c>
      <c r="H28" s="9" t="str">
        <f>IF($F28="부록4",IFERROR(INDEX(③1일작업량DB!$H$6:$H$169,MATCH(SUBSTITUTE($C28&amp;"|"&amp;$D28,"~","~~"),③1일작업량DB!$J$6:$J$169,0)),"-"),"")</f>
        <v>m/일</v>
      </c>
      <c r="I28" s="227"/>
      <c r="J28" s="229">
        <f>IF($F28="부록4",IFERROR(INDEX(③1일작업량DB!$G$6:$G$169,MATCH(SUBSTITUTE($C28&amp;"|"&amp;$D28,"~","~~"),③1일작업량DB!$J$6:$J$169,0)),""),$I28)</f>
        <v>40</v>
      </c>
      <c r="K28" s="235">
        <v>1</v>
      </c>
      <c r="L28" s="139">
        <f t="shared" si="2"/>
        <v>14.6</v>
      </c>
      <c r="M28" s="231">
        <v>0</v>
      </c>
      <c r="N28" s="231">
        <v>0</v>
      </c>
      <c r="O28" s="142">
        <f t="shared" si="3"/>
        <v>14.6</v>
      </c>
    </row>
    <row r="29" spans="2:15" ht="16" customHeight="1">
      <c r="B29" s="63">
        <v>23</v>
      </c>
      <c r="C29" s="114" t="s">
        <v>836</v>
      </c>
      <c r="D29" s="117" t="s">
        <v>839</v>
      </c>
      <c r="E29" s="140" t="s">
        <v>972</v>
      </c>
      <c r="F29" s="118" t="s">
        <v>755</v>
      </c>
      <c r="G29" s="227">
        <v>23.86</v>
      </c>
      <c r="H29" s="9" t="str">
        <f>IF($F29="부록4",IFERROR(INDEX(③1일작업량DB!$H$6:$H$169,MATCH(SUBSTITUTE($C29&amp;"|"&amp;$D29,"~","~~"),③1일작업량DB!$J$6:$J$169,0)),"-"),"")</f>
        <v>m/일</v>
      </c>
      <c r="I29" s="227"/>
      <c r="J29" s="229">
        <f>IF($F29="부록4",IFERROR(INDEX(③1일작업량DB!$G$6:$G$169,MATCH(SUBSTITUTE($C29&amp;"|"&amp;$D29,"~","~~"),③1일작업량DB!$J$6:$J$169,0)),""),$I29)</f>
        <v>40</v>
      </c>
      <c r="K29" s="235">
        <v>1</v>
      </c>
      <c r="L29" s="139">
        <f t="shared" si="2"/>
        <v>0.6</v>
      </c>
      <c r="M29" s="231">
        <v>0</v>
      </c>
      <c r="N29" s="231">
        <v>0</v>
      </c>
      <c r="O29" s="142">
        <f t="shared" si="3"/>
        <v>0.6</v>
      </c>
    </row>
    <row r="30" spans="2:15" ht="16" customHeight="1">
      <c r="B30" s="63">
        <v>24</v>
      </c>
      <c r="C30" s="114" t="s">
        <v>388</v>
      </c>
      <c r="D30" s="117" t="s">
        <v>397</v>
      </c>
      <c r="E30" s="140" t="s">
        <v>973</v>
      </c>
      <c r="F30" s="118" t="s">
        <v>755</v>
      </c>
      <c r="G30" s="227">
        <v>3196.46</v>
      </c>
      <c r="H30" s="9" t="str">
        <f>IF($F30="부록4",IFERROR(INDEX(③1일작업량DB!$H$6:$H$169,MATCH(SUBSTITUTE($C30&amp;"|"&amp;$D30,"~","~~"),③1일작업량DB!$J$6:$J$169,0)),"-"),"")</f>
        <v>㎡/일</v>
      </c>
      <c r="I30" s="227"/>
      <c r="J30" s="229">
        <f>IF($F30="부록4",IFERROR(INDEX(③1일작업량DB!$G$6:$G$169,MATCH(SUBSTITUTE($C30&amp;"|"&amp;$D30,"~","~~"),③1일작업량DB!$J$6:$J$169,0)),""),$I30)</f>
        <v>200</v>
      </c>
      <c r="K30" s="235">
        <v>2</v>
      </c>
      <c r="L30" s="139">
        <f t="shared" si="2"/>
        <v>8</v>
      </c>
      <c r="M30" s="231">
        <v>0</v>
      </c>
      <c r="N30" s="231">
        <v>0</v>
      </c>
      <c r="O30" s="142">
        <f t="shared" si="3"/>
        <v>8</v>
      </c>
    </row>
    <row r="31" spans="2:15" ht="16" customHeight="1">
      <c r="B31" s="63">
        <v>25</v>
      </c>
      <c r="C31" s="114" t="s">
        <v>388</v>
      </c>
      <c r="D31" s="117" t="s">
        <v>399</v>
      </c>
      <c r="E31" s="140" t="s">
        <v>974</v>
      </c>
      <c r="F31" s="118" t="s">
        <v>755</v>
      </c>
      <c r="G31" s="227">
        <v>911.18</v>
      </c>
      <c r="H31" s="9" t="str">
        <f>IF($F31="부록4",IFERROR(INDEX(③1일작업량DB!$H$6:$H$169,MATCH(SUBSTITUTE($C31&amp;"|"&amp;$D31,"~","~~"),③1일작업량DB!$J$6:$J$169,0)),"-"),"")</f>
        <v>㎡/일</v>
      </c>
      <c r="I31" s="227"/>
      <c r="J31" s="229">
        <f>IF($F31="부록4",IFERROR(INDEX(③1일작업량DB!$G$6:$G$169,MATCH(SUBSTITUTE($C31&amp;"|"&amp;$D31,"~","~~"),③1일작업량DB!$J$6:$J$169,0)),""),$I31)</f>
        <v>88</v>
      </c>
      <c r="K31" s="235">
        <v>1</v>
      </c>
      <c r="L31" s="139">
        <f t="shared" si="2"/>
        <v>10.4</v>
      </c>
      <c r="M31" s="231">
        <v>0</v>
      </c>
      <c r="N31" s="231">
        <v>0</v>
      </c>
      <c r="O31" s="142">
        <f t="shared" si="3"/>
        <v>10.4</v>
      </c>
    </row>
    <row r="32" spans="2:15" ht="16" customHeight="1">
      <c r="B32" s="63">
        <v>26</v>
      </c>
      <c r="C32" s="114" t="s">
        <v>836</v>
      </c>
      <c r="D32" s="117" t="s">
        <v>842</v>
      </c>
      <c r="E32" s="140" t="s">
        <v>843</v>
      </c>
      <c r="F32" s="118" t="s">
        <v>755</v>
      </c>
      <c r="G32" s="227">
        <v>1241.1300000000001</v>
      </c>
      <c r="H32" s="9" t="str">
        <f>IF($F32="부록4",IFERROR(INDEX(③1일작업량DB!$H$6:$H$169,MATCH(SUBSTITUTE($C32&amp;"|"&amp;$D32,"~","~~"),③1일작업량DB!$J$6:$J$169,0)),"-"),"")</f>
        <v>㎡/일</v>
      </c>
      <c r="I32" s="227"/>
      <c r="J32" s="229">
        <f>IF($F32="부록4",IFERROR(INDEX(③1일작업량DB!$G$6:$G$169,MATCH(SUBSTITUTE($C32&amp;"|"&amp;$D32,"~","~~"),③1일작업량DB!$J$6:$J$169,0)),""),$I32)</f>
        <v>150</v>
      </c>
      <c r="K32" s="235">
        <v>1</v>
      </c>
      <c r="L32" s="139">
        <f t="shared" si="2"/>
        <v>8.2999999999999989</v>
      </c>
      <c r="M32" s="231">
        <v>0</v>
      </c>
      <c r="N32" s="231">
        <v>0</v>
      </c>
      <c r="O32" s="142">
        <f t="shared" si="3"/>
        <v>8.2999999999999989</v>
      </c>
    </row>
    <row r="33" spans="2:15" ht="16" customHeight="1">
      <c r="B33" s="63">
        <v>27</v>
      </c>
      <c r="C33" s="114" t="s">
        <v>403</v>
      </c>
      <c r="D33" s="117" t="s">
        <v>975</v>
      </c>
      <c r="E33" s="140" t="s">
        <v>976</v>
      </c>
      <c r="F33" s="118" t="s">
        <v>755</v>
      </c>
      <c r="G33" s="227">
        <v>30.1</v>
      </c>
      <c r="H33" s="9" t="str">
        <f>IF($F33="부록4",IFERROR(INDEX(③1일작업량DB!$H$6:$H$169,MATCH(SUBSTITUTE($C33&amp;"|"&amp;$D33,"~","~~"),③1일작업량DB!$J$6:$J$169,0)),"-"),"")</f>
        <v>m/일</v>
      </c>
      <c r="I33" s="227"/>
      <c r="J33" s="229">
        <f>IF($F33="부록4",IFERROR(INDEX(③1일작업량DB!$G$6:$G$169,MATCH(SUBSTITUTE($C33&amp;"|"&amp;$D33,"~","~~"),③1일작업량DB!$J$6:$J$169,0)),""),$I33)</f>
        <v>12.6</v>
      </c>
      <c r="K33" s="235">
        <v>1</v>
      </c>
      <c r="L33" s="139">
        <f t="shared" si="2"/>
        <v>2.4</v>
      </c>
      <c r="M33" s="231">
        <v>0</v>
      </c>
      <c r="N33" s="231">
        <v>0</v>
      </c>
      <c r="O33" s="142">
        <f t="shared" si="3"/>
        <v>2.4</v>
      </c>
    </row>
    <row r="34" spans="2:15" ht="16" customHeight="1">
      <c r="B34" s="63">
        <v>28</v>
      </c>
      <c r="C34" s="114" t="s">
        <v>403</v>
      </c>
      <c r="D34" s="117" t="s">
        <v>917</v>
      </c>
      <c r="E34" s="140" t="s">
        <v>977</v>
      </c>
      <c r="F34" s="118" t="s">
        <v>755</v>
      </c>
      <c r="G34" s="227">
        <v>42</v>
      </c>
      <c r="H34" s="9" t="str">
        <f>IF($F34="부록4",IFERROR(INDEX(③1일작업량DB!$H$6:$H$169,MATCH(SUBSTITUTE($C34&amp;"|"&amp;$D34,"~","~~"),③1일작업량DB!$J$6:$J$169,0)),"-"),"")</f>
        <v>개소/일</v>
      </c>
      <c r="I34" s="227"/>
      <c r="J34" s="229">
        <f>IF($F34="부록4",IFERROR(INDEX(③1일작업량DB!$G$6:$G$169,MATCH(SUBSTITUTE($C34&amp;"|"&amp;$D34,"~","~~"),③1일작업량DB!$J$6:$J$169,0)),""),$I34)</f>
        <v>8</v>
      </c>
      <c r="K34" s="235">
        <v>1</v>
      </c>
      <c r="L34" s="139">
        <f t="shared" si="2"/>
        <v>5.3</v>
      </c>
      <c r="M34" s="231">
        <v>0</v>
      </c>
      <c r="N34" s="231">
        <v>0</v>
      </c>
      <c r="O34" s="142">
        <f t="shared" si="3"/>
        <v>5.3</v>
      </c>
    </row>
    <row r="35" spans="2:15" ht="16" customHeight="1">
      <c r="B35" s="63">
        <v>29</v>
      </c>
      <c r="C35" s="114" t="s">
        <v>836</v>
      </c>
      <c r="D35" s="117" t="s">
        <v>844</v>
      </c>
      <c r="E35" s="140" t="s">
        <v>978</v>
      </c>
      <c r="F35" s="118" t="s">
        <v>755</v>
      </c>
      <c r="G35" s="227">
        <v>154.18</v>
      </c>
      <c r="H35" s="9" t="str">
        <f>IF($F35="부록4",IFERROR(INDEX(③1일작업량DB!$H$6:$H$169,MATCH(SUBSTITUTE($C35&amp;"|"&amp;$D35,"~","~~"),③1일작업량DB!$J$6:$J$169,0)),"-"),"")</f>
        <v>m/일</v>
      </c>
      <c r="I35" s="227"/>
      <c r="J35" s="229">
        <f>IF($F35="부록4",IFERROR(INDEX(③1일작업량DB!$G$6:$G$169,MATCH(SUBSTITUTE($C35&amp;"|"&amp;$D35,"~","~~"),③1일작업량DB!$J$6:$J$169,0)),""),$I35)</f>
        <v>12</v>
      </c>
      <c r="K35" s="235">
        <v>1</v>
      </c>
      <c r="L35" s="139">
        <f t="shared" si="2"/>
        <v>12.9</v>
      </c>
      <c r="M35" s="231">
        <v>0</v>
      </c>
      <c r="N35" s="231">
        <v>0</v>
      </c>
      <c r="O35" s="142">
        <f t="shared" si="3"/>
        <v>12.9</v>
      </c>
    </row>
    <row r="36" spans="2:15" ht="16" customHeight="1">
      <c r="B36" s="63">
        <v>30</v>
      </c>
      <c r="C36" s="114" t="s">
        <v>836</v>
      </c>
      <c r="D36" s="117" t="s">
        <v>846</v>
      </c>
      <c r="E36" s="140" t="s">
        <v>979</v>
      </c>
      <c r="F36" s="118" t="s">
        <v>755</v>
      </c>
      <c r="G36" s="227">
        <v>17</v>
      </c>
      <c r="H36" s="9" t="str">
        <f>IF($F36="부록4",IFERROR(INDEX(③1일작업량DB!$H$6:$H$169,MATCH(SUBSTITUTE($C36&amp;"|"&amp;$D36,"~","~~"),③1일작업량DB!$J$6:$J$169,0)),"-"),"")</f>
        <v>EA/일</v>
      </c>
      <c r="I36" s="227"/>
      <c r="J36" s="229">
        <f>IF($F36="부록4",IFERROR(INDEX(③1일작업량DB!$G$6:$G$169,MATCH(SUBSTITUTE($C36&amp;"|"&amp;$D36,"~","~~"),③1일작업량DB!$J$6:$J$169,0)),""),$I36)</f>
        <v>4</v>
      </c>
      <c r="K36" s="235">
        <v>1</v>
      </c>
      <c r="L36" s="139">
        <f t="shared" si="2"/>
        <v>4.3</v>
      </c>
      <c r="M36" s="231">
        <v>0</v>
      </c>
      <c r="N36" s="231">
        <v>0</v>
      </c>
      <c r="O36" s="142">
        <f t="shared" si="3"/>
        <v>4.3</v>
      </c>
    </row>
    <row r="37" spans="2:15" ht="16" customHeight="1">
      <c r="B37" s="63">
        <v>31</v>
      </c>
      <c r="C37" s="114" t="s">
        <v>231</v>
      </c>
      <c r="D37" s="117" t="s">
        <v>257</v>
      </c>
      <c r="E37" s="140" t="s">
        <v>980</v>
      </c>
      <c r="F37" s="118" t="s">
        <v>755</v>
      </c>
      <c r="G37" s="227">
        <v>19.5</v>
      </c>
      <c r="H37" s="9" t="str">
        <f>IF($F37="부록4",IFERROR(INDEX(③1일작업량DB!$H$6:$H$169,MATCH(SUBSTITUTE($C37&amp;"|"&amp;$D37,"~","~~"),③1일작업량DB!$J$6:$J$169,0)),"-"),"")</f>
        <v>㎥/일</v>
      </c>
      <c r="I37" s="227"/>
      <c r="J37" s="229">
        <f>IF($F37="부록4",IFERROR(INDEX(③1일작업량DB!$G$6:$G$169,MATCH(SUBSTITUTE($C37&amp;"|"&amp;$D37,"~","~~"),③1일작업량DB!$J$6:$J$169,0)),""),$I37)</f>
        <v>42</v>
      </c>
      <c r="K37" s="235">
        <v>1</v>
      </c>
      <c r="L37" s="139">
        <f t="shared" si="2"/>
        <v>0.5</v>
      </c>
      <c r="M37" s="231">
        <v>0</v>
      </c>
      <c r="N37" s="231">
        <v>0</v>
      </c>
      <c r="O37" s="142">
        <f t="shared" si="3"/>
        <v>0.5</v>
      </c>
    </row>
    <row r="38" spans="2:15" ht="16" customHeight="1">
      <c r="B38" s="145"/>
      <c r="C38" s="158" t="s">
        <v>981</v>
      </c>
      <c r="D38" s="166"/>
      <c r="E38" s="167"/>
      <c r="F38" s="159"/>
      <c r="G38" s="228"/>
      <c r="H38" s="145"/>
      <c r="I38" s="228"/>
      <c r="J38" s="230"/>
      <c r="K38" s="236"/>
      <c r="L38" s="164"/>
      <c r="M38" s="232"/>
      <c r="N38" s="232"/>
      <c r="O38" s="165">
        <f>SUM(O39:O46)</f>
        <v>24.3</v>
      </c>
    </row>
    <row r="39" spans="2:15" ht="16" customHeight="1">
      <c r="B39" s="63">
        <v>32</v>
      </c>
      <c r="C39" s="114" t="s">
        <v>231</v>
      </c>
      <c r="D39" s="117" t="s">
        <v>768</v>
      </c>
      <c r="E39" s="140" t="s">
        <v>982</v>
      </c>
      <c r="F39" s="118" t="s">
        <v>755</v>
      </c>
      <c r="G39" s="227">
        <v>342.49</v>
      </c>
      <c r="H39" s="9" t="str">
        <f>IF($F39="부록4",IFERROR(INDEX(③1일작업량DB!$H$6:$H$169,MATCH(SUBSTITUTE($C39&amp;"|"&amp;$D39,"~","~~"),③1일작업량DB!$J$6:$J$169,0)),"-"),"")</f>
        <v>㎥/일</v>
      </c>
      <c r="I39" s="227"/>
      <c r="J39" s="229">
        <f>IF($F39="부록4",IFERROR(INDEX(③1일작업량DB!$G$6:$G$169,MATCH(SUBSTITUTE($C39&amp;"|"&amp;$D39,"~","~~"),③1일작업량DB!$J$6:$J$169,0)),""),$I39)</f>
        <v>380</v>
      </c>
      <c r="K39" s="235">
        <v>1</v>
      </c>
      <c r="L39" s="139">
        <f t="shared" ref="L39:L46" si="4">IFERROR(IF(AND($G39&gt;0,$J39&gt;0,$K39&gt;0),ROUNDUP($G39/($J39*$K39),1),0),0)</f>
        <v>1</v>
      </c>
      <c r="M39" s="231">
        <v>0</v>
      </c>
      <c r="N39" s="231">
        <v>0</v>
      </c>
      <c r="O39" s="142">
        <f t="shared" ref="O39:O46" si="5">$L39+$M39+$N39</f>
        <v>1</v>
      </c>
    </row>
    <row r="40" spans="2:15" ht="16" customHeight="1">
      <c r="B40" s="63">
        <v>33</v>
      </c>
      <c r="C40" s="114" t="s">
        <v>231</v>
      </c>
      <c r="D40" s="117" t="s">
        <v>257</v>
      </c>
      <c r="E40" s="140" t="s">
        <v>983</v>
      </c>
      <c r="F40" s="118" t="s">
        <v>755</v>
      </c>
      <c r="G40" s="227">
        <v>208.11</v>
      </c>
      <c r="H40" s="9" t="str">
        <f>IF($F40="부록4",IFERROR(INDEX(③1일작업량DB!$H$6:$H$169,MATCH(SUBSTITUTE($C40&amp;"|"&amp;$D40,"~","~~"),③1일작업량DB!$J$6:$J$169,0)),"-"),"")</f>
        <v>㎥/일</v>
      </c>
      <c r="I40" s="227"/>
      <c r="J40" s="229">
        <f>IF($F40="부록4",IFERROR(INDEX(③1일작업량DB!$G$6:$G$169,MATCH(SUBSTITUTE($C40&amp;"|"&amp;$D40,"~","~~"),③1일작업량DB!$J$6:$J$169,0)),""),$I40)</f>
        <v>42</v>
      </c>
      <c r="K40" s="235">
        <v>1</v>
      </c>
      <c r="L40" s="139">
        <f t="shared" si="4"/>
        <v>5</v>
      </c>
      <c r="M40" s="231">
        <v>0</v>
      </c>
      <c r="N40" s="231">
        <v>0</v>
      </c>
      <c r="O40" s="142">
        <f t="shared" si="5"/>
        <v>5</v>
      </c>
    </row>
    <row r="41" spans="2:15" ht="16" customHeight="1">
      <c r="B41" s="63">
        <v>34</v>
      </c>
      <c r="C41" s="114" t="s">
        <v>231</v>
      </c>
      <c r="D41" s="117" t="s">
        <v>827</v>
      </c>
      <c r="E41" s="140" t="s">
        <v>984</v>
      </c>
      <c r="F41" s="118" t="s">
        <v>755</v>
      </c>
      <c r="G41" s="227">
        <v>89.28</v>
      </c>
      <c r="H41" s="9" t="str">
        <f>IF($F41="부록4",IFERROR(INDEX(③1일작업량DB!$H$6:$H$169,MATCH(SUBSTITUTE($C41&amp;"|"&amp;$D41,"~","~~"),③1일작업량DB!$J$6:$J$169,0)),"-"),"")</f>
        <v>㎥/일</v>
      </c>
      <c r="I41" s="227"/>
      <c r="J41" s="229">
        <f>IF($F41="부록4",IFERROR(INDEX(③1일작업량DB!$G$6:$G$169,MATCH(SUBSTITUTE($C41&amp;"|"&amp;$D41,"~","~~"),③1일작업량DB!$J$6:$J$169,0)),""),$I41)</f>
        <v>60</v>
      </c>
      <c r="K41" s="235">
        <v>1</v>
      </c>
      <c r="L41" s="139">
        <f t="shared" si="4"/>
        <v>1.5</v>
      </c>
      <c r="M41" s="231">
        <v>0</v>
      </c>
      <c r="N41" s="231">
        <v>0</v>
      </c>
      <c r="O41" s="142">
        <f t="shared" si="5"/>
        <v>1.5</v>
      </c>
    </row>
    <row r="42" spans="2:15" ht="16" customHeight="1">
      <c r="B42" s="63">
        <v>35</v>
      </c>
      <c r="C42" s="114" t="s">
        <v>403</v>
      </c>
      <c r="D42" s="117" t="s">
        <v>985</v>
      </c>
      <c r="E42" s="140" t="s">
        <v>986</v>
      </c>
      <c r="F42" s="118" t="s">
        <v>755</v>
      </c>
      <c r="G42" s="227">
        <v>20</v>
      </c>
      <c r="H42" s="9" t="str">
        <f>IF($F42="부록4",IFERROR(INDEX(③1일작업량DB!$H$6:$H$169,MATCH(SUBSTITUTE($C42&amp;"|"&amp;$D42,"~","~~"),③1일작업량DB!$J$6:$J$169,0)),"-"),"")</f>
        <v>개소/일</v>
      </c>
      <c r="I42" s="227"/>
      <c r="J42" s="229">
        <f>IF($F42="부록4",IFERROR(INDEX(③1일작업량DB!$G$6:$G$169,MATCH(SUBSTITUTE($C42&amp;"|"&amp;$D42,"~","~~"),③1일작업량DB!$J$6:$J$169,0)),""),$I42)</f>
        <v>4</v>
      </c>
      <c r="K42" s="235">
        <v>1</v>
      </c>
      <c r="L42" s="139">
        <f t="shared" si="4"/>
        <v>5</v>
      </c>
      <c r="M42" s="231">
        <v>0</v>
      </c>
      <c r="N42" s="231">
        <v>0</v>
      </c>
      <c r="O42" s="142">
        <f t="shared" si="5"/>
        <v>5</v>
      </c>
    </row>
    <row r="43" spans="2:15" ht="16" customHeight="1">
      <c r="B43" s="63">
        <v>36</v>
      </c>
      <c r="C43" s="114" t="s">
        <v>403</v>
      </c>
      <c r="D43" s="117" t="s">
        <v>911</v>
      </c>
      <c r="E43" s="140" t="s">
        <v>987</v>
      </c>
      <c r="F43" s="118" t="s">
        <v>755</v>
      </c>
      <c r="G43" s="227">
        <v>56</v>
      </c>
      <c r="H43" s="9" t="str">
        <f>IF($F43="부록4",IFERROR(INDEX(③1일작업량DB!$H$6:$H$169,MATCH(SUBSTITUTE($C43&amp;"|"&amp;$D43,"~","~~"),③1일작업량DB!$J$6:$J$169,0)),"-"),"")</f>
        <v>개소/일</v>
      </c>
      <c r="I43" s="227"/>
      <c r="J43" s="229">
        <f>IF($F43="부록4",IFERROR(INDEX(③1일작업량DB!$G$6:$G$169,MATCH(SUBSTITUTE($C43&amp;"|"&amp;$D43,"~","~~"),③1일작업량DB!$J$6:$J$169,0)),""),$I43)</f>
        <v>8</v>
      </c>
      <c r="K43" s="235">
        <v>1</v>
      </c>
      <c r="L43" s="139">
        <f t="shared" si="4"/>
        <v>7</v>
      </c>
      <c r="M43" s="231">
        <v>0</v>
      </c>
      <c r="N43" s="231">
        <v>0</v>
      </c>
      <c r="O43" s="142">
        <f t="shared" si="5"/>
        <v>7</v>
      </c>
    </row>
    <row r="44" spans="2:15" ht="16" customHeight="1">
      <c r="B44" s="63">
        <v>37</v>
      </c>
      <c r="C44" s="114" t="s">
        <v>403</v>
      </c>
      <c r="D44" s="117" t="s">
        <v>913</v>
      </c>
      <c r="E44" s="140" t="s">
        <v>988</v>
      </c>
      <c r="F44" s="118" t="s">
        <v>755</v>
      </c>
      <c r="G44" s="227">
        <v>23</v>
      </c>
      <c r="H44" s="9" t="str">
        <f>IF($F44="부록4",IFERROR(INDEX(③1일작업량DB!$H$6:$H$169,MATCH(SUBSTITUTE($C44&amp;"|"&amp;$D44,"~","~~"),③1일작업량DB!$J$6:$J$169,0)),"-"),"")</f>
        <v>개소/일</v>
      </c>
      <c r="I44" s="227"/>
      <c r="J44" s="229">
        <f>IF($F44="부록4",IFERROR(INDEX(③1일작업량DB!$G$6:$G$169,MATCH(SUBSTITUTE($C44&amp;"|"&amp;$D44,"~","~~"),③1일작업량DB!$J$6:$J$169,0)),""),$I44)</f>
        <v>15</v>
      </c>
      <c r="K44" s="235">
        <v>1</v>
      </c>
      <c r="L44" s="139">
        <f t="shared" si="4"/>
        <v>1.6</v>
      </c>
      <c r="M44" s="231">
        <v>0</v>
      </c>
      <c r="N44" s="231">
        <v>0</v>
      </c>
      <c r="O44" s="142">
        <f t="shared" si="5"/>
        <v>1.6</v>
      </c>
    </row>
    <row r="45" spans="2:15" ht="16" customHeight="1">
      <c r="B45" s="63">
        <v>38</v>
      </c>
      <c r="C45" s="114" t="s">
        <v>403</v>
      </c>
      <c r="D45" s="117" t="s">
        <v>915</v>
      </c>
      <c r="E45" s="140" t="s">
        <v>989</v>
      </c>
      <c r="F45" s="118" t="s">
        <v>755</v>
      </c>
      <c r="G45" s="227">
        <v>29</v>
      </c>
      <c r="H45" s="9" t="str">
        <f>IF($F45="부록4",IFERROR(INDEX(③1일작업량DB!$H$6:$H$169,MATCH(SUBSTITUTE($C45&amp;"|"&amp;$D45,"~","~~"),③1일작업량DB!$J$6:$J$169,0)),"-"),"")</f>
        <v>개소/일</v>
      </c>
      <c r="I45" s="227"/>
      <c r="J45" s="229">
        <f>IF($F45="부록4",IFERROR(INDEX(③1일작업량DB!$G$6:$G$169,MATCH(SUBSTITUTE($C45&amp;"|"&amp;$D45,"~","~~"),③1일작업량DB!$J$6:$J$169,0)),""),$I45)</f>
        <v>12</v>
      </c>
      <c r="K45" s="235">
        <v>1</v>
      </c>
      <c r="L45" s="139">
        <f t="shared" si="4"/>
        <v>2.5</v>
      </c>
      <c r="M45" s="231">
        <v>0</v>
      </c>
      <c r="N45" s="231">
        <v>0</v>
      </c>
      <c r="O45" s="142">
        <f t="shared" si="5"/>
        <v>2.5</v>
      </c>
    </row>
    <row r="46" spans="2:15" ht="16" customHeight="1">
      <c r="B46" s="63">
        <v>39</v>
      </c>
      <c r="C46" s="114" t="s">
        <v>403</v>
      </c>
      <c r="D46" s="117" t="s">
        <v>919</v>
      </c>
      <c r="E46" s="140" t="s">
        <v>920</v>
      </c>
      <c r="F46" s="118" t="s">
        <v>755</v>
      </c>
      <c r="G46" s="227">
        <v>181</v>
      </c>
      <c r="H46" s="9" t="str">
        <f>IF($F46="부록4",IFERROR(INDEX(③1일작업량DB!$H$6:$H$169,MATCH(SUBSTITUTE($C46&amp;"|"&amp;$D46,"~","~~"),③1일작업량DB!$J$6:$J$169,0)),"-"),"")</f>
        <v>m/일</v>
      </c>
      <c r="I46" s="227"/>
      <c r="J46" s="229">
        <f>IF($F46="부록4",IFERROR(INDEX(③1일작업량DB!$G$6:$G$169,MATCH(SUBSTITUTE($C46&amp;"|"&amp;$D46,"~","~~"),③1일작업량DB!$J$6:$J$169,0)),""),$I46)</f>
        <v>300</v>
      </c>
      <c r="K46" s="235">
        <v>1</v>
      </c>
      <c r="L46" s="139">
        <f t="shared" si="4"/>
        <v>0.7</v>
      </c>
      <c r="M46" s="231">
        <v>0</v>
      </c>
      <c r="N46" s="231">
        <v>0</v>
      </c>
      <c r="O46" s="142">
        <f t="shared" si="5"/>
        <v>0.7</v>
      </c>
    </row>
    <row r="47" spans="2:15" ht="16" customHeight="1">
      <c r="B47" s="145"/>
      <c r="C47" s="158" t="s">
        <v>990</v>
      </c>
      <c r="D47" s="166"/>
      <c r="E47" s="167"/>
      <c r="F47" s="159"/>
      <c r="G47" s="228"/>
      <c r="H47" s="145"/>
      <c r="I47" s="228"/>
      <c r="J47" s="230"/>
      <c r="K47" s="236"/>
      <c r="L47" s="164"/>
      <c r="M47" s="232"/>
      <c r="N47" s="232"/>
      <c r="O47" s="165">
        <f>SUM(O48:O60)</f>
        <v>26.3</v>
      </c>
    </row>
    <row r="48" spans="2:15" ht="16" customHeight="1">
      <c r="B48" s="63">
        <v>40</v>
      </c>
      <c r="C48" s="114" t="s">
        <v>231</v>
      </c>
      <c r="D48" s="117" t="s">
        <v>768</v>
      </c>
      <c r="E48" s="140" t="s">
        <v>991</v>
      </c>
      <c r="F48" s="118" t="s">
        <v>755</v>
      </c>
      <c r="G48" s="227">
        <v>326.16000000000003</v>
      </c>
      <c r="H48" s="9" t="str">
        <f>IF($F48="부록4",IFERROR(INDEX(③1일작업량DB!$H$6:$H$169,MATCH(SUBSTITUTE($C48&amp;"|"&amp;$D48,"~","~~"),③1일작업량DB!$J$6:$J$169,0)),"-"),"")</f>
        <v>㎥/일</v>
      </c>
      <c r="I48" s="227"/>
      <c r="J48" s="229">
        <f>IF($F48="부록4",IFERROR(INDEX(③1일작업량DB!$G$6:$G$169,MATCH(SUBSTITUTE($C48&amp;"|"&amp;$D48,"~","~~"),③1일작업량DB!$J$6:$J$169,0)),""),$I48)</f>
        <v>380</v>
      </c>
      <c r="K48" s="235">
        <v>1</v>
      </c>
      <c r="L48" s="139">
        <f t="shared" ref="L48:L60" si="6">IFERROR(IF(AND($G48&gt;0,$J48&gt;0,$K48&gt;0),ROUNDUP($G48/($J48*$K48),1),0),0)</f>
        <v>0.9</v>
      </c>
      <c r="M48" s="231">
        <v>0</v>
      </c>
      <c r="N48" s="231">
        <v>0</v>
      </c>
      <c r="O48" s="142">
        <f t="shared" ref="O48:O60" si="7">$L48+$M48+$N48</f>
        <v>0.9</v>
      </c>
    </row>
    <row r="49" spans="2:15" ht="16" customHeight="1">
      <c r="B49" s="63">
        <v>41</v>
      </c>
      <c r="C49" s="114" t="s">
        <v>231</v>
      </c>
      <c r="D49" s="117" t="s">
        <v>257</v>
      </c>
      <c r="E49" s="140" t="s">
        <v>992</v>
      </c>
      <c r="F49" s="118" t="s">
        <v>755</v>
      </c>
      <c r="G49" s="227">
        <v>251.65</v>
      </c>
      <c r="H49" s="9" t="str">
        <f>IF($F49="부록4",IFERROR(INDEX(③1일작업량DB!$H$6:$H$169,MATCH(SUBSTITUTE($C49&amp;"|"&amp;$D49,"~","~~"),③1일작업량DB!$J$6:$J$169,0)),"-"),"")</f>
        <v>㎥/일</v>
      </c>
      <c r="I49" s="227"/>
      <c r="J49" s="229">
        <f>IF($F49="부록4",IFERROR(INDEX(③1일작업량DB!$G$6:$G$169,MATCH(SUBSTITUTE($C49&amp;"|"&amp;$D49,"~","~~"),③1일작업량DB!$J$6:$J$169,0)),""),$I49)</f>
        <v>42</v>
      </c>
      <c r="K49" s="235">
        <v>1</v>
      </c>
      <c r="L49" s="139">
        <f t="shared" si="6"/>
        <v>6</v>
      </c>
      <c r="M49" s="231">
        <v>0</v>
      </c>
      <c r="N49" s="231">
        <v>0</v>
      </c>
      <c r="O49" s="142">
        <f t="shared" si="7"/>
        <v>6</v>
      </c>
    </row>
    <row r="50" spans="2:15" ht="16" customHeight="1">
      <c r="B50" s="63">
        <v>42</v>
      </c>
      <c r="C50" s="114" t="s">
        <v>231</v>
      </c>
      <c r="D50" s="117" t="s">
        <v>827</v>
      </c>
      <c r="E50" s="140" t="s">
        <v>993</v>
      </c>
      <c r="F50" s="118" t="s">
        <v>755</v>
      </c>
      <c r="G50" s="227">
        <v>33.479999999999997</v>
      </c>
      <c r="H50" s="9" t="str">
        <f>IF($F50="부록4",IFERROR(INDEX(③1일작업량DB!$H$6:$H$169,MATCH(SUBSTITUTE($C50&amp;"|"&amp;$D50,"~","~~"),③1일작업량DB!$J$6:$J$169,0)),"-"),"")</f>
        <v>㎥/일</v>
      </c>
      <c r="I50" s="227"/>
      <c r="J50" s="229">
        <f>IF($F50="부록4",IFERROR(INDEX(③1일작업량DB!$G$6:$G$169,MATCH(SUBSTITUTE($C50&amp;"|"&amp;$D50,"~","~~"),③1일작업량DB!$J$6:$J$169,0)),""),$I50)</f>
        <v>60</v>
      </c>
      <c r="K50" s="235">
        <v>1</v>
      </c>
      <c r="L50" s="139">
        <f t="shared" si="6"/>
        <v>0.6</v>
      </c>
      <c r="M50" s="231">
        <v>0</v>
      </c>
      <c r="N50" s="231">
        <v>0</v>
      </c>
      <c r="O50" s="142">
        <f t="shared" si="7"/>
        <v>0.6</v>
      </c>
    </row>
    <row r="51" spans="2:15" ht="16" customHeight="1">
      <c r="B51" s="63">
        <v>43</v>
      </c>
      <c r="C51" s="114" t="s">
        <v>269</v>
      </c>
      <c r="D51" s="117" t="s">
        <v>760</v>
      </c>
      <c r="E51" s="140" t="s">
        <v>994</v>
      </c>
      <c r="F51" s="118" t="s">
        <v>755</v>
      </c>
      <c r="G51" s="227">
        <v>82.5</v>
      </c>
      <c r="H51" s="9" t="str">
        <f>IF($F51="부록4",IFERROR(INDEX(③1일작업량DB!$H$6:$H$169,MATCH(SUBSTITUTE($C51&amp;"|"&amp;$D51,"~","~~"),③1일작업량DB!$J$6:$J$169,0)),"-"),"")</f>
        <v>m/일</v>
      </c>
      <c r="I51" s="227"/>
      <c r="J51" s="229">
        <f>IF($F51="부록4",IFERROR(INDEX(③1일작업량DB!$G$6:$G$169,MATCH(SUBSTITUTE($C51&amp;"|"&amp;$D51,"~","~~"),③1일작업량DB!$J$6:$J$169,0)),""),$I51)</f>
        <v>43</v>
      </c>
      <c r="K51" s="235">
        <v>1</v>
      </c>
      <c r="L51" s="139">
        <f t="shared" si="6"/>
        <v>2</v>
      </c>
      <c r="M51" s="231">
        <v>0</v>
      </c>
      <c r="N51" s="231">
        <v>0</v>
      </c>
      <c r="O51" s="142">
        <f t="shared" si="7"/>
        <v>2</v>
      </c>
    </row>
    <row r="52" spans="2:15" ht="16" customHeight="1">
      <c r="B52" s="63">
        <v>44</v>
      </c>
      <c r="C52" s="114" t="s">
        <v>269</v>
      </c>
      <c r="D52" s="117" t="s">
        <v>760</v>
      </c>
      <c r="E52" s="140" t="s">
        <v>995</v>
      </c>
      <c r="F52" s="118" t="s">
        <v>755</v>
      </c>
      <c r="G52" s="227">
        <v>17.5</v>
      </c>
      <c r="H52" s="9" t="str">
        <f>IF($F52="부록4",IFERROR(INDEX(③1일작업량DB!$H$6:$H$169,MATCH(SUBSTITUTE($C52&amp;"|"&amp;$D52,"~","~~"),③1일작업량DB!$J$6:$J$169,0)),"-"),"")</f>
        <v>m/일</v>
      </c>
      <c r="I52" s="227"/>
      <c r="J52" s="229">
        <f>IF($F52="부록4",IFERROR(INDEX(③1일작업량DB!$G$6:$G$169,MATCH(SUBSTITUTE($C52&amp;"|"&amp;$D52,"~","~~"),③1일작업량DB!$J$6:$J$169,0)),""),$I52)</f>
        <v>43</v>
      </c>
      <c r="K52" s="235">
        <v>1</v>
      </c>
      <c r="L52" s="139">
        <f t="shared" si="6"/>
        <v>0.5</v>
      </c>
      <c r="M52" s="231">
        <v>0</v>
      </c>
      <c r="N52" s="231">
        <v>0</v>
      </c>
      <c r="O52" s="142">
        <f t="shared" si="7"/>
        <v>0.5</v>
      </c>
    </row>
    <row r="53" spans="2:15" ht="16" customHeight="1">
      <c r="B53" s="63">
        <v>45</v>
      </c>
      <c r="C53" s="114" t="s">
        <v>403</v>
      </c>
      <c r="D53" s="117" t="s">
        <v>915</v>
      </c>
      <c r="E53" s="140" t="s">
        <v>996</v>
      </c>
      <c r="F53" s="118" t="s">
        <v>755</v>
      </c>
      <c r="G53" s="227">
        <v>12</v>
      </c>
      <c r="H53" s="9" t="str">
        <f>IF($F53="부록4",IFERROR(INDEX(③1일작업량DB!$H$6:$H$169,MATCH(SUBSTITUTE($C53&amp;"|"&amp;$D53,"~","~~"),③1일작업량DB!$J$6:$J$169,0)),"-"),"")</f>
        <v>개소/일</v>
      </c>
      <c r="I53" s="227"/>
      <c r="J53" s="229">
        <f>IF($F53="부록4",IFERROR(INDEX(③1일작업량DB!$G$6:$G$169,MATCH(SUBSTITUTE($C53&amp;"|"&amp;$D53,"~","~~"),③1일작업량DB!$J$6:$J$169,0)),""),$I53)</f>
        <v>12</v>
      </c>
      <c r="K53" s="235">
        <v>1</v>
      </c>
      <c r="L53" s="139">
        <f t="shared" si="6"/>
        <v>1</v>
      </c>
      <c r="M53" s="231">
        <v>0</v>
      </c>
      <c r="N53" s="231">
        <v>0</v>
      </c>
      <c r="O53" s="142">
        <f t="shared" si="7"/>
        <v>1</v>
      </c>
    </row>
    <row r="54" spans="2:15" ht="16" customHeight="1">
      <c r="B54" s="63">
        <v>46</v>
      </c>
      <c r="C54" s="114" t="s">
        <v>269</v>
      </c>
      <c r="D54" s="117" t="s">
        <v>891</v>
      </c>
      <c r="E54" s="140" t="s">
        <v>997</v>
      </c>
      <c r="F54" s="118" t="s">
        <v>755</v>
      </c>
      <c r="G54" s="227">
        <v>16</v>
      </c>
      <c r="H54" s="9" t="str">
        <f>IF($F54="부록4",IFERROR(INDEX(③1일작업량DB!$H$6:$H$169,MATCH(SUBSTITUTE($C54&amp;"|"&amp;$D54,"~","~~"),③1일작업량DB!$J$6:$J$169,0)),"-"),"")</f>
        <v>개소/일</v>
      </c>
      <c r="I54" s="227"/>
      <c r="J54" s="229">
        <f>IF($F54="부록4",IFERROR(INDEX(③1일작업량DB!$G$6:$G$169,MATCH(SUBSTITUTE($C54&amp;"|"&amp;$D54,"~","~~"),③1일작업량DB!$J$6:$J$169,0)),""),$I54)</f>
        <v>10</v>
      </c>
      <c r="K54" s="235">
        <v>1</v>
      </c>
      <c r="L54" s="139">
        <f t="shared" si="6"/>
        <v>1.6</v>
      </c>
      <c r="M54" s="231">
        <v>0</v>
      </c>
      <c r="N54" s="231">
        <v>0</v>
      </c>
      <c r="O54" s="142">
        <f t="shared" si="7"/>
        <v>1.6</v>
      </c>
    </row>
    <row r="55" spans="2:15" ht="16" customHeight="1">
      <c r="B55" s="63">
        <v>47</v>
      </c>
      <c r="C55" s="114" t="s">
        <v>269</v>
      </c>
      <c r="D55" s="117" t="s">
        <v>885</v>
      </c>
      <c r="E55" s="140" t="s">
        <v>998</v>
      </c>
      <c r="F55" s="118" t="s">
        <v>755</v>
      </c>
      <c r="G55" s="227">
        <v>5</v>
      </c>
      <c r="H55" s="9" t="str">
        <f>IF($F55="부록4",IFERROR(INDEX(③1일작업량DB!$H$6:$H$169,MATCH(SUBSTITUTE($C55&amp;"|"&amp;$D55,"~","~~"),③1일작업량DB!$J$6:$J$169,0)),"-"),"")</f>
        <v>개소/일</v>
      </c>
      <c r="I55" s="227"/>
      <c r="J55" s="229">
        <f>IF($F55="부록4",IFERROR(INDEX(③1일작업량DB!$G$6:$G$169,MATCH(SUBSTITUTE($C55&amp;"|"&amp;$D55,"~","~~"),③1일작업량DB!$J$6:$J$169,0)),""),$I55)</f>
        <v>1.5</v>
      </c>
      <c r="K55" s="235">
        <v>1</v>
      </c>
      <c r="L55" s="139">
        <f t="shared" si="6"/>
        <v>3.4</v>
      </c>
      <c r="M55" s="231">
        <v>0</v>
      </c>
      <c r="N55" s="231">
        <v>0</v>
      </c>
      <c r="O55" s="142">
        <f t="shared" si="7"/>
        <v>3.4</v>
      </c>
    </row>
    <row r="56" spans="2:15" ht="16" customHeight="1">
      <c r="B56" s="63">
        <v>48</v>
      </c>
      <c r="C56" s="114" t="s">
        <v>269</v>
      </c>
      <c r="D56" s="117" t="s">
        <v>887</v>
      </c>
      <c r="E56" s="140" t="s">
        <v>999</v>
      </c>
      <c r="F56" s="118" t="s">
        <v>755</v>
      </c>
      <c r="G56" s="227">
        <v>8</v>
      </c>
      <c r="H56" s="9" t="str">
        <f>IF($F56="부록4",IFERROR(INDEX(③1일작업량DB!$H$6:$H$169,MATCH(SUBSTITUTE($C56&amp;"|"&amp;$D56,"~","~~"),③1일작업량DB!$J$6:$J$169,0)),"-"),"")</f>
        <v>개소/일</v>
      </c>
      <c r="I56" s="227"/>
      <c r="J56" s="229">
        <f>IF($F56="부록4",IFERROR(INDEX(③1일작업량DB!$G$6:$G$169,MATCH(SUBSTITUTE($C56&amp;"|"&amp;$D56,"~","~~"),③1일작업량DB!$J$6:$J$169,0)),""),$I56)</f>
        <v>4</v>
      </c>
      <c r="K56" s="235">
        <v>1</v>
      </c>
      <c r="L56" s="139">
        <f t="shared" si="6"/>
        <v>2</v>
      </c>
      <c r="M56" s="231">
        <v>0</v>
      </c>
      <c r="N56" s="231">
        <v>0</v>
      </c>
      <c r="O56" s="142">
        <f t="shared" si="7"/>
        <v>2</v>
      </c>
    </row>
    <row r="57" spans="2:15" ht="16" customHeight="1">
      <c r="B57" s="63">
        <v>49</v>
      </c>
      <c r="C57" s="114" t="s">
        <v>269</v>
      </c>
      <c r="D57" s="117" t="s">
        <v>889</v>
      </c>
      <c r="E57" s="140" t="s">
        <v>1000</v>
      </c>
      <c r="F57" s="118" t="s">
        <v>755</v>
      </c>
      <c r="G57" s="227">
        <v>5</v>
      </c>
      <c r="H57" s="9" t="str">
        <f>IF($F57="부록4",IFERROR(INDEX(③1일작업량DB!$H$6:$H$169,MATCH(SUBSTITUTE($C57&amp;"|"&amp;$D57,"~","~~"),③1일작업량DB!$J$6:$J$169,0)),"-"),"")</f>
        <v>개소/일</v>
      </c>
      <c r="I57" s="227"/>
      <c r="J57" s="229">
        <f>IF($F57="부록4",IFERROR(INDEX(③1일작업량DB!$G$6:$G$169,MATCH(SUBSTITUTE($C57&amp;"|"&amp;$D57,"~","~~"),③1일작업량DB!$J$6:$J$169,0)),""),$I57)</f>
        <v>8</v>
      </c>
      <c r="K57" s="235">
        <v>1</v>
      </c>
      <c r="L57" s="139">
        <f t="shared" si="6"/>
        <v>0.7</v>
      </c>
      <c r="M57" s="231">
        <v>0</v>
      </c>
      <c r="N57" s="231">
        <v>0</v>
      </c>
      <c r="O57" s="142">
        <f t="shared" si="7"/>
        <v>0.7</v>
      </c>
    </row>
    <row r="58" spans="2:15" ht="16" customHeight="1">
      <c r="B58" s="63">
        <v>50</v>
      </c>
      <c r="C58" s="114" t="s">
        <v>269</v>
      </c>
      <c r="D58" s="117" t="s">
        <v>891</v>
      </c>
      <c r="E58" s="140" t="s">
        <v>1001</v>
      </c>
      <c r="F58" s="118" t="s">
        <v>755</v>
      </c>
      <c r="G58" s="227">
        <v>58</v>
      </c>
      <c r="H58" s="9" t="str">
        <f>IF($F58="부록4",IFERROR(INDEX(③1일작업량DB!$H$6:$H$169,MATCH(SUBSTITUTE($C58&amp;"|"&amp;$D58,"~","~~"),③1일작업량DB!$J$6:$J$169,0)),"-"),"")</f>
        <v>개소/일</v>
      </c>
      <c r="I58" s="227"/>
      <c r="J58" s="229">
        <f>IF($F58="부록4",IFERROR(INDEX(③1일작업량DB!$G$6:$G$169,MATCH(SUBSTITUTE($C58&amp;"|"&amp;$D58,"~","~~"),③1일작업량DB!$J$6:$J$169,0)),""),$I58)</f>
        <v>10</v>
      </c>
      <c r="K58" s="235">
        <v>1</v>
      </c>
      <c r="L58" s="139">
        <f t="shared" si="6"/>
        <v>5.8</v>
      </c>
      <c r="M58" s="231">
        <v>0</v>
      </c>
      <c r="N58" s="231">
        <v>0</v>
      </c>
      <c r="O58" s="142">
        <f t="shared" si="7"/>
        <v>5.8</v>
      </c>
    </row>
    <row r="59" spans="2:15" ht="16" customHeight="1">
      <c r="B59" s="63">
        <v>51</v>
      </c>
      <c r="C59" s="114" t="s">
        <v>361</v>
      </c>
      <c r="D59" s="117" t="s">
        <v>756</v>
      </c>
      <c r="E59" s="140" t="s">
        <v>1002</v>
      </c>
      <c r="F59" s="118" t="s">
        <v>755</v>
      </c>
      <c r="G59" s="227">
        <v>1.77</v>
      </c>
      <c r="H59" s="9" t="str">
        <f>IF($F59="부록4",IFERROR(INDEX(③1일작업량DB!$H$6:$H$169,MATCH(SUBSTITUTE($C59&amp;"|"&amp;$D59,"~","~~"),③1일작업량DB!$J$6:$J$169,0)),"-"),"")</f>
        <v>㎥/일</v>
      </c>
      <c r="I59" s="227"/>
      <c r="J59" s="229">
        <f>IF($F59="부록4",IFERROR(INDEX(③1일작업량DB!$G$6:$G$169,MATCH(SUBSTITUTE($C59&amp;"|"&amp;$D59,"~","~~"),③1일작업량DB!$J$6:$J$169,0)),""),$I59)</f>
        <v>189</v>
      </c>
      <c r="K59" s="235">
        <v>1</v>
      </c>
      <c r="L59" s="139">
        <f t="shared" si="6"/>
        <v>0.1</v>
      </c>
      <c r="M59" s="231">
        <v>0</v>
      </c>
      <c r="N59" s="231">
        <v>0</v>
      </c>
      <c r="O59" s="142">
        <f t="shared" si="7"/>
        <v>0.1</v>
      </c>
    </row>
    <row r="60" spans="2:15" ht="16" customHeight="1">
      <c r="B60" s="63">
        <v>52</v>
      </c>
      <c r="C60" s="114" t="s">
        <v>921</v>
      </c>
      <c r="D60" s="117" t="s">
        <v>946</v>
      </c>
      <c r="E60" s="140" t="s">
        <v>1003</v>
      </c>
      <c r="F60" s="118" t="s">
        <v>755</v>
      </c>
      <c r="G60" s="227">
        <v>5</v>
      </c>
      <c r="H60" s="9" t="str">
        <f>IF($F60="부록4",IFERROR(INDEX(③1일작업량DB!$H$6:$H$169,MATCH(SUBSTITUTE($C60&amp;"|"&amp;$D60,"~","~~"),③1일작업량DB!$J$6:$J$169,0)),"-"),"")</f>
        <v>개소/일</v>
      </c>
      <c r="I60" s="227"/>
      <c r="J60" s="229">
        <f>IF($F60="부록4",IFERROR(INDEX(③1일작업량DB!$G$6:$G$169,MATCH(SUBSTITUTE($C60&amp;"|"&amp;$D60,"~","~~"),③1일작업량DB!$J$6:$J$169,0)),""),$I60)</f>
        <v>3</v>
      </c>
      <c r="K60" s="235">
        <v>1</v>
      </c>
      <c r="L60" s="139">
        <f t="shared" si="6"/>
        <v>1.7000000000000002</v>
      </c>
      <c r="M60" s="231">
        <v>0</v>
      </c>
      <c r="N60" s="231">
        <v>0</v>
      </c>
      <c r="O60" s="142">
        <f t="shared" si="7"/>
        <v>1.7000000000000002</v>
      </c>
    </row>
    <row r="61" spans="2:15" ht="16" customHeight="1">
      <c r="B61" s="145"/>
      <c r="C61" s="158" t="s">
        <v>1004</v>
      </c>
      <c r="D61" s="166"/>
      <c r="E61" s="167"/>
      <c r="F61" s="159"/>
      <c r="G61" s="228"/>
      <c r="H61" s="145"/>
      <c r="I61" s="228"/>
      <c r="J61" s="230"/>
      <c r="K61" s="236"/>
      <c r="L61" s="164"/>
      <c r="M61" s="232"/>
      <c r="N61" s="232"/>
      <c r="O61" s="165">
        <f>SUM(O62:O79)</f>
        <v>96.2</v>
      </c>
    </row>
    <row r="62" spans="2:15" ht="16" customHeight="1">
      <c r="B62" s="63">
        <v>53</v>
      </c>
      <c r="C62" s="114" t="s">
        <v>849</v>
      </c>
      <c r="D62" s="117" t="s">
        <v>850</v>
      </c>
      <c r="E62" s="140" t="s">
        <v>1005</v>
      </c>
      <c r="F62" s="118" t="s">
        <v>755</v>
      </c>
      <c r="G62" s="227">
        <v>2516</v>
      </c>
      <c r="H62" s="9" t="str">
        <f>IF($F62="부록4",IFERROR(INDEX(③1일작업량DB!$H$6:$H$169,MATCH(SUBSTITUTE($C62&amp;"|"&amp;$D62,"~","~~"),③1일작업량DB!$J$6:$J$169,0)),"-"),"")</f>
        <v>m/일</v>
      </c>
      <c r="I62" s="227"/>
      <c r="J62" s="229">
        <f>IF($F62="부록4",IFERROR(INDEX(③1일작업량DB!$G$6:$G$169,MATCH(SUBSTITUTE($C62&amp;"|"&amp;$D62,"~","~~"),③1일작업량DB!$J$6:$J$169,0)),""),$I62)</f>
        <v>85</v>
      </c>
      <c r="K62" s="235">
        <v>2</v>
      </c>
      <c r="L62" s="139">
        <f t="shared" ref="L62:L79" si="8">IFERROR(IF(AND($G62&gt;0,$J62&gt;0,$K62&gt;0),ROUNDUP($G62/($J62*$K62),1),0),0)</f>
        <v>14.8</v>
      </c>
      <c r="M62" s="231">
        <v>0</v>
      </c>
      <c r="N62" s="231">
        <v>0</v>
      </c>
      <c r="O62" s="142">
        <f t="shared" ref="O62:O79" si="9">$L62+$M62+$N62</f>
        <v>14.8</v>
      </c>
    </row>
    <row r="63" spans="2:15" ht="16" customHeight="1">
      <c r="B63" s="63">
        <v>54</v>
      </c>
      <c r="C63" s="114" t="s">
        <v>849</v>
      </c>
      <c r="D63" s="117" t="s">
        <v>857</v>
      </c>
      <c r="E63" s="140" t="s">
        <v>1006</v>
      </c>
      <c r="F63" s="118" t="s">
        <v>755</v>
      </c>
      <c r="G63" s="227">
        <v>1924</v>
      </c>
      <c r="H63" s="9" t="str">
        <f>IF($F63="부록4",IFERROR(INDEX(③1일작업량DB!$H$6:$H$169,MATCH(SUBSTITUTE($C63&amp;"|"&amp;$D63,"~","~~"),③1일작업량DB!$J$6:$J$169,0)),"-"),"")</f>
        <v>m/일</v>
      </c>
      <c r="I63" s="227"/>
      <c r="J63" s="229">
        <f>IF($F63="부록4",IFERROR(INDEX(③1일작업량DB!$G$6:$G$169,MATCH(SUBSTITUTE($C63&amp;"|"&amp;$D63,"~","~~"),③1일작업량DB!$J$6:$J$169,0)),""),$I63)</f>
        <v>200</v>
      </c>
      <c r="K63" s="235">
        <v>1</v>
      </c>
      <c r="L63" s="139">
        <f t="shared" si="8"/>
        <v>9.6999999999999993</v>
      </c>
      <c r="M63" s="231">
        <v>0</v>
      </c>
      <c r="N63" s="231">
        <v>0</v>
      </c>
      <c r="O63" s="142">
        <f t="shared" si="9"/>
        <v>9.6999999999999993</v>
      </c>
    </row>
    <row r="64" spans="2:15" ht="16" customHeight="1">
      <c r="B64" s="63">
        <v>55</v>
      </c>
      <c r="C64" s="114" t="s">
        <v>849</v>
      </c>
      <c r="D64" s="117" t="s">
        <v>852</v>
      </c>
      <c r="E64" s="140" t="s">
        <v>1007</v>
      </c>
      <c r="F64" s="118" t="s">
        <v>755</v>
      </c>
      <c r="G64" s="227">
        <v>296</v>
      </c>
      <c r="H64" s="9" t="str">
        <f>IF($F64="부록4",IFERROR(INDEX(③1일작업량DB!$H$6:$H$169,MATCH(SUBSTITUTE($C64&amp;"|"&amp;$D64,"~","~~"),③1일작업량DB!$J$6:$J$169,0)),"-"),"")</f>
        <v>본/일</v>
      </c>
      <c r="I64" s="227"/>
      <c r="J64" s="229">
        <f>IF($F64="부록4",IFERROR(INDEX(③1일작업량DB!$G$6:$G$169,MATCH(SUBSTITUTE($C64&amp;"|"&amp;$D64,"~","~~"),③1일작업량DB!$J$6:$J$169,0)),""),$I64)</f>
        <v>10</v>
      </c>
      <c r="K64" s="235">
        <v>2</v>
      </c>
      <c r="L64" s="139">
        <f t="shared" si="8"/>
        <v>14.8</v>
      </c>
      <c r="M64" s="231">
        <v>0</v>
      </c>
      <c r="N64" s="231">
        <v>0</v>
      </c>
      <c r="O64" s="142">
        <f t="shared" si="9"/>
        <v>14.8</v>
      </c>
    </row>
    <row r="65" spans="2:15" ht="16" customHeight="1">
      <c r="B65" s="63">
        <v>56</v>
      </c>
      <c r="C65" s="114" t="s">
        <v>849</v>
      </c>
      <c r="D65" s="117" t="s">
        <v>855</v>
      </c>
      <c r="E65" s="140" t="s">
        <v>1008</v>
      </c>
      <c r="F65" s="118" t="s">
        <v>755</v>
      </c>
      <c r="G65" s="227">
        <v>296</v>
      </c>
      <c r="H65" s="9" t="str">
        <f>IF($F65="부록4",IFERROR(INDEX(③1일작업량DB!$H$6:$H$169,MATCH(SUBSTITUTE($C65&amp;"|"&amp;$D65,"~","~~"),③1일작업량DB!$J$6:$J$169,0)),"-"),"")</f>
        <v>본/일</v>
      </c>
      <c r="I65" s="227"/>
      <c r="J65" s="229">
        <f>IF($F65="부록4",IFERROR(INDEX(③1일작업량DB!$G$6:$G$169,MATCH(SUBSTITUTE($C65&amp;"|"&amp;$D65,"~","~~"),③1일작업량DB!$J$6:$J$169,0)),""),$I65)</f>
        <v>12</v>
      </c>
      <c r="K65" s="235">
        <v>2</v>
      </c>
      <c r="L65" s="139">
        <f t="shared" si="8"/>
        <v>12.4</v>
      </c>
      <c r="M65" s="231">
        <v>0</v>
      </c>
      <c r="N65" s="231">
        <v>0</v>
      </c>
      <c r="O65" s="142">
        <f t="shared" si="9"/>
        <v>12.4</v>
      </c>
    </row>
    <row r="66" spans="2:15" ht="16" customHeight="1">
      <c r="B66" s="63">
        <v>57</v>
      </c>
      <c r="C66" s="114" t="s">
        <v>849</v>
      </c>
      <c r="D66" s="117" t="s">
        <v>859</v>
      </c>
      <c r="E66" s="140" t="s">
        <v>1009</v>
      </c>
      <c r="F66" s="118" t="s">
        <v>755</v>
      </c>
      <c r="G66" s="227">
        <v>170</v>
      </c>
      <c r="H66" s="9" t="str">
        <f>IF($F66="부록4",IFERROR(INDEX(③1일작업량DB!$H$6:$H$169,MATCH(SUBSTITUTE($C66&amp;"|"&amp;$D66,"~","~~"),③1일작업량DB!$J$6:$J$169,0)),"-"),"")</f>
        <v>m/일</v>
      </c>
      <c r="I66" s="227"/>
      <c r="J66" s="229">
        <f>IF($F66="부록4",IFERROR(INDEX(③1일작업량DB!$G$6:$G$169,MATCH(SUBSTITUTE($C66&amp;"|"&amp;$D66,"~","~~"),③1일작업량DB!$J$6:$J$169,0)),""),$I66)</f>
        <v>85</v>
      </c>
      <c r="K66" s="235">
        <v>1</v>
      </c>
      <c r="L66" s="139">
        <f t="shared" si="8"/>
        <v>2</v>
      </c>
      <c r="M66" s="231">
        <v>0</v>
      </c>
      <c r="N66" s="231">
        <v>0</v>
      </c>
      <c r="O66" s="142">
        <f t="shared" si="9"/>
        <v>2</v>
      </c>
    </row>
    <row r="67" spans="2:15" ht="16" customHeight="1">
      <c r="B67" s="63">
        <v>58</v>
      </c>
      <c r="C67" s="114" t="s">
        <v>849</v>
      </c>
      <c r="D67" s="117" t="s">
        <v>861</v>
      </c>
      <c r="E67" s="140" t="s">
        <v>1010</v>
      </c>
      <c r="F67" s="118" t="s">
        <v>755</v>
      </c>
      <c r="G67" s="227">
        <v>20</v>
      </c>
      <c r="H67" s="9" t="str">
        <f>IF($F67="부록4",IFERROR(INDEX(③1일작업량DB!$H$6:$H$169,MATCH(SUBSTITUTE($C67&amp;"|"&amp;$D67,"~","~~"),③1일작업량DB!$J$6:$J$169,0)),"-"),"")</f>
        <v>본/일</v>
      </c>
      <c r="I67" s="227"/>
      <c r="J67" s="229">
        <f>IF($F67="부록4",IFERROR(INDEX(③1일작업량DB!$G$6:$G$169,MATCH(SUBSTITUTE($C67&amp;"|"&amp;$D67,"~","~~"),③1일작업량DB!$J$6:$J$169,0)),""),$I67)</f>
        <v>10</v>
      </c>
      <c r="K67" s="235">
        <v>1</v>
      </c>
      <c r="L67" s="139">
        <f t="shared" si="8"/>
        <v>2</v>
      </c>
      <c r="M67" s="231">
        <v>0</v>
      </c>
      <c r="N67" s="231">
        <v>0</v>
      </c>
      <c r="O67" s="142">
        <f t="shared" si="9"/>
        <v>2</v>
      </c>
    </row>
    <row r="68" spans="2:15" ht="16" customHeight="1">
      <c r="B68" s="63">
        <v>59</v>
      </c>
      <c r="C68" s="114" t="s">
        <v>849</v>
      </c>
      <c r="D68" s="117" t="s">
        <v>862</v>
      </c>
      <c r="E68" s="140" t="s">
        <v>1010</v>
      </c>
      <c r="F68" s="118" t="s">
        <v>755</v>
      </c>
      <c r="G68" s="227">
        <v>20</v>
      </c>
      <c r="H68" s="9" t="str">
        <f>IF($F68="부록4",IFERROR(INDEX(③1일작업량DB!$H$6:$H$169,MATCH(SUBSTITUTE($C68&amp;"|"&amp;$D68,"~","~~"),③1일작업량DB!$J$6:$J$169,0)),"-"),"")</f>
        <v>본/일</v>
      </c>
      <c r="I68" s="227"/>
      <c r="J68" s="229">
        <f>IF($F68="부록4",IFERROR(INDEX(③1일작업량DB!$G$6:$G$169,MATCH(SUBSTITUTE($C68&amp;"|"&amp;$D68,"~","~~"),③1일작업량DB!$J$6:$J$169,0)),""),$I68)</f>
        <v>12</v>
      </c>
      <c r="K68" s="235">
        <v>1</v>
      </c>
      <c r="L68" s="139">
        <f t="shared" si="8"/>
        <v>1.7000000000000002</v>
      </c>
      <c r="M68" s="231">
        <v>0</v>
      </c>
      <c r="N68" s="231">
        <v>0</v>
      </c>
      <c r="O68" s="142">
        <f t="shared" si="9"/>
        <v>1.7000000000000002</v>
      </c>
    </row>
    <row r="69" spans="2:15" ht="16" customHeight="1">
      <c r="B69" s="63">
        <v>60</v>
      </c>
      <c r="C69" s="114" t="s">
        <v>849</v>
      </c>
      <c r="D69" s="117" t="s">
        <v>863</v>
      </c>
      <c r="E69" s="140" t="s">
        <v>1011</v>
      </c>
      <c r="F69" s="118" t="s">
        <v>755</v>
      </c>
      <c r="G69" s="227">
        <v>14</v>
      </c>
      <c r="H69" s="9" t="str">
        <f>IF($F69="부록4",IFERROR(INDEX(③1일작업량DB!$H$6:$H$169,MATCH(SUBSTITUTE($C69&amp;"|"&amp;$D69,"~","~~"),③1일작업량DB!$J$6:$J$169,0)),"-"),"")</f>
        <v>본/일</v>
      </c>
      <c r="I69" s="227"/>
      <c r="J69" s="229">
        <f>IF($F69="부록4",IFERROR(INDEX(③1일작업량DB!$G$6:$G$169,MATCH(SUBSTITUTE($C69&amp;"|"&amp;$D69,"~","~~"),③1일작업량DB!$J$6:$J$169,0)),""),$I69)</f>
        <v>6</v>
      </c>
      <c r="K69" s="235">
        <v>1</v>
      </c>
      <c r="L69" s="139">
        <f t="shared" si="8"/>
        <v>2.4</v>
      </c>
      <c r="M69" s="231">
        <v>0</v>
      </c>
      <c r="N69" s="231">
        <v>0</v>
      </c>
      <c r="O69" s="142">
        <f t="shared" si="9"/>
        <v>2.4</v>
      </c>
    </row>
    <row r="70" spans="2:15" ht="16" customHeight="1">
      <c r="B70" s="63">
        <v>61</v>
      </c>
      <c r="C70" s="114" t="s">
        <v>849</v>
      </c>
      <c r="D70" s="117" t="s">
        <v>865</v>
      </c>
      <c r="E70" s="140" t="s">
        <v>1012</v>
      </c>
      <c r="F70" s="118" t="s">
        <v>755</v>
      </c>
      <c r="G70" s="227">
        <v>14</v>
      </c>
      <c r="H70" s="9" t="str">
        <f>IF($F70="부록4",IFERROR(INDEX(③1일작업량DB!$H$6:$H$169,MATCH(SUBSTITUTE($C70&amp;"|"&amp;$D70,"~","~~"),③1일작업량DB!$J$6:$J$169,0)),"-"),"")</f>
        <v>본/일</v>
      </c>
      <c r="I70" s="227"/>
      <c r="J70" s="229">
        <f>IF($F70="부록4",IFERROR(INDEX(③1일작업량DB!$G$6:$G$169,MATCH(SUBSTITUTE($C70&amp;"|"&amp;$D70,"~","~~"),③1일작업량DB!$J$6:$J$169,0)),""),$I70)</f>
        <v>8</v>
      </c>
      <c r="K70" s="235">
        <v>1</v>
      </c>
      <c r="L70" s="139">
        <f t="shared" si="8"/>
        <v>1.8</v>
      </c>
      <c r="M70" s="231">
        <v>0</v>
      </c>
      <c r="N70" s="231">
        <v>0</v>
      </c>
      <c r="O70" s="142">
        <f t="shared" si="9"/>
        <v>1.8</v>
      </c>
    </row>
    <row r="71" spans="2:15" ht="16" customHeight="1">
      <c r="B71" s="63">
        <v>62</v>
      </c>
      <c r="C71" s="114" t="s">
        <v>849</v>
      </c>
      <c r="D71" s="117" t="s">
        <v>867</v>
      </c>
      <c r="E71" s="140" t="s">
        <v>1013</v>
      </c>
      <c r="F71" s="118" t="s">
        <v>755</v>
      </c>
      <c r="G71" s="227">
        <v>9</v>
      </c>
      <c r="H71" s="9" t="str">
        <f>IF($F71="부록4",IFERROR(INDEX(③1일작업량DB!$H$6:$H$169,MATCH(SUBSTITUTE($C71&amp;"|"&amp;$D71,"~","~~"),③1일작업량DB!$J$6:$J$169,0)),"-"),"")</f>
        <v>본/일</v>
      </c>
      <c r="I71" s="227"/>
      <c r="J71" s="229">
        <f>IF($F71="부록4",IFERROR(INDEX(③1일작업량DB!$G$6:$G$169,MATCH(SUBSTITUTE($C71&amp;"|"&amp;$D71,"~","~~"),③1일작업량DB!$J$6:$J$169,0)),""),$I71)</f>
        <v>5</v>
      </c>
      <c r="K71" s="235">
        <v>1</v>
      </c>
      <c r="L71" s="139">
        <f t="shared" si="8"/>
        <v>1.8</v>
      </c>
      <c r="M71" s="231">
        <v>0</v>
      </c>
      <c r="N71" s="231">
        <v>0</v>
      </c>
      <c r="O71" s="142">
        <f t="shared" si="9"/>
        <v>1.8</v>
      </c>
    </row>
    <row r="72" spans="2:15" ht="16" customHeight="1">
      <c r="B72" s="63">
        <v>63</v>
      </c>
      <c r="C72" s="114" t="s">
        <v>849</v>
      </c>
      <c r="D72" s="117" t="s">
        <v>869</v>
      </c>
      <c r="E72" s="140" t="s">
        <v>1014</v>
      </c>
      <c r="F72" s="118" t="s">
        <v>755</v>
      </c>
      <c r="G72" s="227">
        <v>9</v>
      </c>
      <c r="H72" s="9" t="str">
        <f>IF($F72="부록4",IFERROR(INDEX(③1일작업량DB!$H$6:$H$169,MATCH(SUBSTITUTE($C72&amp;"|"&amp;$D72,"~","~~"),③1일작업량DB!$J$6:$J$169,0)),"-"),"")</f>
        <v>본/일</v>
      </c>
      <c r="I72" s="227"/>
      <c r="J72" s="229">
        <f>IF($F72="부록4",IFERROR(INDEX(③1일작업량DB!$G$6:$G$169,MATCH(SUBSTITUTE($C72&amp;"|"&amp;$D72,"~","~~"),③1일작업량DB!$J$6:$J$169,0)),""),$I72)</f>
        <v>7</v>
      </c>
      <c r="K72" s="235">
        <v>1</v>
      </c>
      <c r="L72" s="139">
        <f t="shared" si="8"/>
        <v>1.3</v>
      </c>
      <c r="M72" s="231">
        <v>0</v>
      </c>
      <c r="N72" s="231">
        <v>0</v>
      </c>
      <c r="O72" s="142">
        <f t="shared" si="9"/>
        <v>1.3</v>
      </c>
    </row>
    <row r="73" spans="2:15" ht="16" customHeight="1">
      <c r="B73" s="63">
        <v>64</v>
      </c>
      <c r="C73" s="114" t="s">
        <v>849</v>
      </c>
      <c r="D73" s="117" t="s">
        <v>871</v>
      </c>
      <c r="E73" s="140" t="s">
        <v>1015</v>
      </c>
      <c r="F73" s="118" t="s">
        <v>755</v>
      </c>
      <c r="G73" s="227">
        <v>29</v>
      </c>
      <c r="H73" s="9" t="str">
        <f>IF($F73="부록4",IFERROR(INDEX(③1일작업량DB!$H$6:$H$169,MATCH(SUBSTITUTE($C73&amp;"|"&amp;$D73,"~","~~"),③1일작업량DB!$J$6:$J$169,0)),"-"),"")</f>
        <v>본/일</v>
      </c>
      <c r="I73" s="227"/>
      <c r="J73" s="229">
        <f>IF($F73="부록4",IFERROR(INDEX(③1일작업량DB!$G$6:$G$169,MATCH(SUBSTITUTE($C73&amp;"|"&amp;$D73,"~","~~"),③1일작업량DB!$J$6:$J$169,0)),""),$I73)</f>
        <v>6</v>
      </c>
      <c r="K73" s="235">
        <v>1</v>
      </c>
      <c r="L73" s="139">
        <f t="shared" si="8"/>
        <v>4.8999999999999995</v>
      </c>
      <c r="M73" s="231">
        <v>0</v>
      </c>
      <c r="N73" s="231">
        <v>0</v>
      </c>
      <c r="O73" s="142">
        <f t="shared" si="9"/>
        <v>4.8999999999999995</v>
      </c>
    </row>
    <row r="74" spans="2:15" ht="16" customHeight="1">
      <c r="B74" s="63">
        <v>65</v>
      </c>
      <c r="C74" s="114" t="s">
        <v>849</v>
      </c>
      <c r="D74" s="117" t="s">
        <v>872</v>
      </c>
      <c r="E74" s="140" t="s">
        <v>1016</v>
      </c>
      <c r="F74" s="118" t="s">
        <v>755</v>
      </c>
      <c r="G74" s="227">
        <v>29</v>
      </c>
      <c r="H74" s="9" t="str">
        <f>IF($F74="부록4",IFERROR(INDEX(③1일작업량DB!$H$6:$H$169,MATCH(SUBSTITUTE($C74&amp;"|"&amp;$D74,"~","~~"),③1일작업량DB!$J$6:$J$169,0)),"-"),"")</f>
        <v>본/일</v>
      </c>
      <c r="I74" s="227"/>
      <c r="J74" s="229">
        <f>IF($F74="부록4",IFERROR(INDEX(③1일작업량DB!$G$6:$G$169,MATCH(SUBSTITUTE($C74&amp;"|"&amp;$D74,"~","~~"),③1일작업량DB!$J$6:$J$169,0)),""),$I74)</f>
        <v>8</v>
      </c>
      <c r="K74" s="235">
        <v>1</v>
      </c>
      <c r="L74" s="139">
        <f t="shared" si="8"/>
        <v>3.7</v>
      </c>
      <c r="M74" s="231">
        <v>0</v>
      </c>
      <c r="N74" s="231">
        <v>0</v>
      </c>
      <c r="O74" s="142">
        <f t="shared" si="9"/>
        <v>3.7</v>
      </c>
    </row>
    <row r="75" spans="2:15" ht="16" customHeight="1">
      <c r="B75" s="63">
        <v>66</v>
      </c>
      <c r="C75" s="114" t="s">
        <v>849</v>
      </c>
      <c r="D75" s="117" t="s">
        <v>874</v>
      </c>
      <c r="E75" s="140" t="s">
        <v>1017</v>
      </c>
      <c r="F75" s="118" t="s">
        <v>755</v>
      </c>
      <c r="G75" s="227">
        <v>63.1</v>
      </c>
      <c r="H75" s="9" t="str">
        <f>IF($F75="부록4",IFERROR(INDEX(③1일작업량DB!$H$6:$H$169,MATCH(SUBSTITUTE($C75&amp;"|"&amp;$D75,"~","~~"),③1일작업량DB!$J$6:$J$169,0)),"-"),"")</f>
        <v>m/일</v>
      </c>
      <c r="I75" s="227"/>
      <c r="J75" s="229">
        <f>IF($F75="부록4",IFERROR(INDEX(③1일작업량DB!$G$6:$G$169,MATCH(SUBSTITUTE($C75&amp;"|"&amp;$D75,"~","~~"),③1일작업량DB!$J$6:$J$169,0)),""),$I75)</f>
        <v>20</v>
      </c>
      <c r="K75" s="235">
        <v>1</v>
      </c>
      <c r="L75" s="139">
        <f t="shared" si="8"/>
        <v>3.2</v>
      </c>
      <c r="M75" s="231">
        <v>0</v>
      </c>
      <c r="N75" s="231">
        <v>0</v>
      </c>
      <c r="O75" s="142">
        <f t="shared" si="9"/>
        <v>3.2</v>
      </c>
    </row>
    <row r="76" spans="2:15" ht="16" customHeight="1">
      <c r="B76" s="63">
        <v>67</v>
      </c>
      <c r="C76" s="114" t="s">
        <v>849</v>
      </c>
      <c r="D76" s="117" t="s">
        <v>873</v>
      </c>
      <c r="E76" s="140" t="s">
        <v>1018</v>
      </c>
      <c r="F76" s="118" t="s">
        <v>755</v>
      </c>
      <c r="G76" s="227">
        <v>0</v>
      </c>
      <c r="H76" s="9" t="str">
        <f>IF($F76="부록4",IFERROR(INDEX(③1일작업량DB!$H$6:$H$169,MATCH(SUBSTITUTE($C76&amp;"|"&amp;$D76,"~","~~"),③1일작업량DB!$J$6:$J$169,0)),"-"),"")</f>
        <v>본/일</v>
      </c>
      <c r="I76" s="227"/>
      <c r="J76" s="229">
        <f>IF($F76="부록4",IFERROR(INDEX(③1일작업량DB!$G$6:$G$169,MATCH(SUBSTITUTE($C76&amp;"|"&amp;$D76,"~","~~"),③1일작업량DB!$J$6:$J$169,0)),""),$I76)</f>
        <v>6</v>
      </c>
      <c r="K76" s="235">
        <v>1</v>
      </c>
      <c r="L76" s="139">
        <f t="shared" si="8"/>
        <v>0</v>
      </c>
      <c r="M76" s="231">
        <v>0</v>
      </c>
      <c r="N76" s="231">
        <v>0</v>
      </c>
      <c r="O76" s="142">
        <f t="shared" si="9"/>
        <v>0</v>
      </c>
    </row>
    <row r="77" spans="2:15" ht="16" customHeight="1">
      <c r="B77" s="63">
        <v>68</v>
      </c>
      <c r="C77" s="114" t="s">
        <v>849</v>
      </c>
      <c r="D77" s="117" t="s">
        <v>876</v>
      </c>
      <c r="E77" s="140" t="s">
        <v>1019</v>
      </c>
      <c r="F77" s="118" t="s">
        <v>755</v>
      </c>
      <c r="G77" s="227">
        <v>0</v>
      </c>
      <c r="H77" s="9" t="str">
        <f>IF($F77="부록4",IFERROR(INDEX(③1일작업량DB!$H$6:$H$169,MATCH(SUBSTITUTE($C77&amp;"|"&amp;$D77,"~","~~"),③1일작업량DB!$J$6:$J$169,0)),"-"),"")</f>
        <v>m/일</v>
      </c>
      <c r="I77" s="227"/>
      <c r="J77" s="229">
        <f>IF($F77="부록4",IFERROR(INDEX(③1일작업량DB!$G$6:$G$169,MATCH(SUBSTITUTE($C77&amp;"|"&amp;$D77,"~","~~"),③1일작업량DB!$J$6:$J$169,0)),""),$I77)</f>
        <v>30</v>
      </c>
      <c r="K77" s="235">
        <v>1</v>
      </c>
      <c r="L77" s="139">
        <f t="shared" si="8"/>
        <v>0</v>
      </c>
      <c r="M77" s="231">
        <v>0</v>
      </c>
      <c r="N77" s="231">
        <v>0</v>
      </c>
      <c r="O77" s="142">
        <f t="shared" si="9"/>
        <v>0</v>
      </c>
    </row>
    <row r="78" spans="2:15" ht="16" customHeight="1">
      <c r="B78" s="63">
        <v>69</v>
      </c>
      <c r="C78" s="114" t="s">
        <v>849</v>
      </c>
      <c r="D78" s="117" t="s">
        <v>881</v>
      </c>
      <c r="E78" s="140" t="s">
        <v>1020</v>
      </c>
      <c r="F78" s="118" t="s">
        <v>755</v>
      </c>
      <c r="G78" s="227">
        <v>33</v>
      </c>
      <c r="H78" s="9" t="str">
        <f>IF($F78="부록4",IFERROR(INDEX(③1일작업량DB!$H$6:$H$169,MATCH(SUBSTITUTE($C78&amp;"|"&amp;$D78,"~","~~"),③1일작업량DB!$J$6:$J$169,0)),"-"),"")</f>
        <v>개소/일</v>
      </c>
      <c r="I78" s="227"/>
      <c r="J78" s="229">
        <f>IF($F78="부록4",IFERROR(INDEX(③1일작업량DB!$G$6:$G$169,MATCH(SUBSTITUTE($C78&amp;"|"&amp;$D78,"~","~~"),③1일작업량DB!$J$6:$J$169,0)),""),$I78)</f>
        <v>2</v>
      </c>
      <c r="K78" s="235">
        <v>1</v>
      </c>
      <c r="L78" s="139">
        <f t="shared" si="8"/>
        <v>16.5</v>
      </c>
      <c r="M78" s="231">
        <v>0</v>
      </c>
      <c r="N78" s="231">
        <v>0</v>
      </c>
      <c r="O78" s="142">
        <f t="shared" si="9"/>
        <v>16.5</v>
      </c>
    </row>
    <row r="79" spans="2:15" ht="16" customHeight="1">
      <c r="B79" s="63">
        <v>70</v>
      </c>
      <c r="C79" s="114" t="s">
        <v>849</v>
      </c>
      <c r="D79" s="117" t="s">
        <v>883</v>
      </c>
      <c r="E79" s="140" t="s">
        <v>1021</v>
      </c>
      <c r="F79" s="118" t="s">
        <v>755</v>
      </c>
      <c r="G79" s="227">
        <v>78.3</v>
      </c>
      <c r="H79" s="9" t="str">
        <f>IF($F79="부록4",IFERROR(INDEX(③1일작업량DB!$H$6:$H$169,MATCH(SUBSTITUTE($C79&amp;"|"&amp;$D79,"~","~~"),③1일작업량DB!$J$6:$J$169,0)),"-"),"")</f>
        <v>m/일</v>
      </c>
      <c r="I79" s="227"/>
      <c r="J79" s="229">
        <f>IF($F79="부록4",IFERROR(INDEX(③1일작업량DB!$G$6:$G$169,MATCH(SUBSTITUTE($C79&amp;"|"&amp;$D79,"~","~~"),③1일작업량DB!$J$6:$J$169,0)),""),$I79)</f>
        <v>25</v>
      </c>
      <c r="K79" s="235">
        <v>1</v>
      </c>
      <c r="L79" s="139">
        <f t="shared" si="8"/>
        <v>3.2</v>
      </c>
      <c r="M79" s="231">
        <v>0</v>
      </c>
      <c r="N79" s="231">
        <v>0</v>
      </c>
      <c r="O79" s="142">
        <f t="shared" si="9"/>
        <v>3.2</v>
      </c>
    </row>
    <row r="80" spans="2:15" ht="16" customHeight="1">
      <c r="B80" s="145"/>
      <c r="C80" s="158" t="s">
        <v>1022</v>
      </c>
      <c r="D80" s="166"/>
      <c r="E80" s="167"/>
      <c r="F80" s="159"/>
      <c r="G80" s="228"/>
      <c r="H80" s="145"/>
      <c r="I80" s="228"/>
      <c r="J80" s="230"/>
      <c r="K80" s="236"/>
      <c r="L80" s="164"/>
      <c r="M80" s="232"/>
      <c r="N80" s="232"/>
      <c r="O80" s="165">
        <f>SUM(O81:O88)</f>
        <v>12.4</v>
      </c>
    </row>
    <row r="81" spans="2:15" ht="16" customHeight="1">
      <c r="B81" s="63">
        <v>71</v>
      </c>
      <c r="C81" s="114" t="s">
        <v>231</v>
      </c>
      <c r="D81" s="117" t="s">
        <v>768</v>
      </c>
      <c r="E81" s="140" t="s">
        <v>1023</v>
      </c>
      <c r="F81" s="118" t="s">
        <v>755</v>
      </c>
      <c r="G81" s="227">
        <v>236.03</v>
      </c>
      <c r="H81" s="9" t="str">
        <f>IF($F81="부록4",IFERROR(INDEX(③1일작업량DB!$H$6:$H$169,MATCH(SUBSTITUTE($C81&amp;"|"&amp;$D81,"~","~~"),③1일작업량DB!$J$6:$J$169,0)),"-"),"")</f>
        <v>㎥/일</v>
      </c>
      <c r="I81" s="227"/>
      <c r="J81" s="229">
        <f>IF($F81="부록4",IFERROR(INDEX(③1일작업량DB!$G$6:$G$169,MATCH(SUBSTITUTE($C81&amp;"|"&amp;$D81,"~","~~"),③1일작업량DB!$J$6:$J$169,0)),""),$I81)</f>
        <v>380</v>
      </c>
      <c r="K81" s="235">
        <v>1</v>
      </c>
      <c r="L81" s="139">
        <f t="shared" ref="L81:L88" si="10">IFERROR(IF(AND($G81&gt;0,$J81&gt;0,$K81&gt;0),ROUNDUP($G81/($J81*$K81),1),0),0)</f>
        <v>0.7</v>
      </c>
      <c r="M81" s="231">
        <v>0</v>
      </c>
      <c r="N81" s="231">
        <v>0</v>
      </c>
      <c r="O81" s="142">
        <f t="shared" ref="O81:O88" si="11">$L81+$M81+$N81</f>
        <v>0.7</v>
      </c>
    </row>
    <row r="82" spans="2:15" ht="16" customHeight="1">
      <c r="B82" s="63">
        <v>72</v>
      </c>
      <c r="C82" s="114" t="s">
        <v>231</v>
      </c>
      <c r="D82" s="117" t="s">
        <v>257</v>
      </c>
      <c r="E82" s="140" t="s">
        <v>983</v>
      </c>
      <c r="F82" s="118" t="s">
        <v>755</v>
      </c>
      <c r="G82" s="227">
        <v>262.04000000000002</v>
      </c>
      <c r="H82" s="9" t="str">
        <f>IF($F82="부록4",IFERROR(INDEX(③1일작업량DB!$H$6:$H$169,MATCH(SUBSTITUTE($C82&amp;"|"&amp;$D82,"~","~~"),③1일작업량DB!$J$6:$J$169,0)),"-"),"")</f>
        <v>㎥/일</v>
      </c>
      <c r="I82" s="227"/>
      <c r="J82" s="229">
        <f>IF($F82="부록4",IFERROR(INDEX(③1일작업량DB!$G$6:$G$169,MATCH(SUBSTITUTE($C82&amp;"|"&amp;$D82,"~","~~"),③1일작업량DB!$J$6:$J$169,0)),""),$I82)</f>
        <v>42</v>
      </c>
      <c r="K82" s="235">
        <v>1</v>
      </c>
      <c r="L82" s="139">
        <f t="shared" si="10"/>
        <v>6.3</v>
      </c>
      <c r="M82" s="231">
        <v>0</v>
      </c>
      <c r="N82" s="231">
        <v>0</v>
      </c>
      <c r="O82" s="142">
        <f t="shared" si="11"/>
        <v>6.3</v>
      </c>
    </row>
    <row r="83" spans="2:15" ht="16" customHeight="1">
      <c r="B83" s="63">
        <v>73</v>
      </c>
      <c r="C83" s="114" t="s">
        <v>907</v>
      </c>
      <c r="D83" s="117" t="s">
        <v>908</v>
      </c>
      <c r="E83" s="140" t="s">
        <v>1024</v>
      </c>
      <c r="F83" s="118" t="s">
        <v>755</v>
      </c>
      <c r="G83" s="227">
        <v>21.98</v>
      </c>
      <c r="H83" s="9" t="str">
        <f>IF($F83="부록4",IFERROR(INDEX(③1일작업량DB!$H$6:$H$169,MATCH(SUBSTITUTE($C83&amp;"|"&amp;$D83,"~","~~"),③1일작업량DB!$J$6:$J$169,0)),"-"),"")</f>
        <v>㎥/일</v>
      </c>
      <c r="I83" s="227"/>
      <c r="J83" s="229">
        <f>IF($F83="부록4",IFERROR(INDEX(③1일작업량DB!$G$6:$G$169,MATCH(SUBSTITUTE($C83&amp;"|"&amp;$D83,"~","~~"),③1일작업량DB!$J$6:$J$169,0)),""),$I83)</f>
        <v>25</v>
      </c>
      <c r="K83" s="235">
        <v>1</v>
      </c>
      <c r="L83" s="139">
        <f t="shared" si="10"/>
        <v>0.9</v>
      </c>
      <c r="M83" s="231">
        <v>0</v>
      </c>
      <c r="N83" s="231">
        <v>0</v>
      </c>
      <c r="O83" s="142">
        <f t="shared" si="11"/>
        <v>0.9</v>
      </c>
    </row>
    <row r="84" spans="2:15" ht="16" customHeight="1">
      <c r="B84" s="63">
        <v>74</v>
      </c>
      <c r="C84" s="114" t="s">
        <v>907</v>
      </c>
      <c r="D84" s="117" t="s">
        <v>910</v>
      </c>
      <c r="E84" s="140" t="s">
        <v>1024</v>
      </c>
      <c r="F84" s="118" t="s">
        <v>755</v>
      </c>
      <c r="G84" s="227">
        <v>3.89</v>
      </c>
      <c r="H84" s="9" t="str">
        <f>IF($F84="부록4",IFERROR(INDEX(③1일작업량DB!$H$6:$H$169,MATCH(SUBSTITUTE($C84&amp;"|"&amp;$D84,"~","~~"),③1일작업량DB!$J$6:$J$169,0)),"-"),"")</f>
        <v>㎥/일</v>
      </c>
      <c r="I84" s="227"/>
      <c r="J84" s="229">
        <f>IF($F84="부록4",IFERROR(INDEX(③1일작업량DB!$G$6:$G$169,MATCH(SUBSTITUTE($C84&amp;"|"&amp;$D84,"~","~~"),③1일작업량DB!$J$6:$J$169,0)),""),$I84)</f>
        <v>18</v>
      </c>
      <c r="K84" s="235">
        <v>1</v>
      </c>
      <c r="L84" s="139">
        <f t="shared" si="10"/>
        <v>0.30000000000000004</v>
      </c>
      <c r="M84" s="231">
        <v>0</v>
      </c>
      <c r="N84" s="231">
        <v>0</v>
      </c>
      <c r="O84" s="142">
        <f t="shared" si="11"/>
        <v>0.30000000000000004</v>
      </c>
    </row>
    <row r="85" spans="2:15" ht="16" customHeight="1">
      <c r="B85" s="63">
        <v>75</v>
      </c>
      <c r="C85" s="114" t="s">
        <v>291</v>
      </c>
      <c r="D85" s="117" t="s">
        <v>895</v>
      </c>
      <c r="E85" s="140" t="s">
        <v>1025</v>
      </c>
      <c r="F85" s="118" t="s">
        <v>755</v>
      </c>
      <c r="G85" s="227">
        <v>33</v>
      </c>
      <c r="H85" s="9" t="str">
        <f>IF($F85="부록4",IFERROR(INDEX(③1일작업량DB!$H$6:$H$169,MATCH(SUBSTITUTE($C85&amp;"|"&amp;$D85,"~","~~"),③1일작업량DB!$J$6:$J$169,0)),"-"),"")</f>
        <v>㎥/일</v>
      </c>
      <c r="I85" s="227"/>
      <c r="J85" s="229">
        <f>IF($F85="부록4",IFERROR(INDEX(③1일작업량DB!$G$6:$G$169,MATCH(SUBSTITUTE($C85&amp;"|"&amp;$D85,"~","~~"),③1일작업량DB!$J$6:$J$169,0)),""),$I85)</f>
        <v>60</v>
      </c>
      <c r="K85" s="235">
        <v>1</v>
      </c>
      <c r="L85" s="139">
        <f t="shared" si="10"/>
        <v>0.6</v>
      </c>
      <c r="M85" s="231">
        <v>0</v>
      </c>
      <c r="N85" s="231">
        <v>0</v>
      </c>
      <c r="O85" s="142">
        <f t="shared" si="11"/>
        <v>0.6</v>
      </c>
    </row>
    <row r="86" spans="2:15" ht="16" customHeight="1">
      <c r="B86" s="63">
        <v>76</v>
      </c>
      <c r="C86" s="114" t="s">
        <v>291</v>
      </c>
      <c r="D86" s="117" t="s">
        <v>893</v>
      </c>
      <c r="E86" s="140" t="s">
        <v>1026</v>
      </c>
      <c r="F86" s="118" t="s">
        <v>755</v>
      </c>
      <c r="G86" s="227">
        <v>82.72</v>
      </c>
      <c r="H86" s="9" t="str">
        <f>IF($F86="부록4",IFERROR(INDEX(③1일작업량DB!$H$6:$H$169,MATCH(SUBSTITUTE($C86&amp;"|"&amp;$D86,"~","~~"),③1일작업량DB!$J$6:$J$169,0)),"-"),"")</f>
        <v>m/일</v>
      </c>
      <c r="I86" s="227"/>
      <c r="J86" s="229">
        <f>IF($F86="부록4",IFERROR(INDEX(③1일작업량DB!$G$6:$G$169,MATCH(SUBSTITUTE($C86&amp;"|"&amp;$D86,"~","~~"),③1일작업량DB!$J$6:$J$169,0)),""),$I86)</f>
        <v>120</v>
      </c>
      <c r="K86" s="235">
        <v>1</v>
      </c>
      <c r="L86" s="139">
        <f t="shared" si="10"/>
        <v>0.7</v>
      </c>
      <c r="M86" s="231">
        <v>0</v>
      </c>
      <c r="N86" s="231">
        <v>0</v>
      </c>
      <c r="O86" s="142">
        <f t="shared" si="11"/>
        <v>0.7</v>
      </c>
    </row>
    <row r="87" spans="2:15" ht="16" customHeight="1">
      <c r="B87" s="63">
        <v>77</v>
      </c>
      <c r="C87" s="114" t="s">
        <v>291</v>
      </c>
      <c r="D87" s="117" t="s">
        <v>901</v>
      </c>
      <c r="E87" s="140" t="s">
        <v>1027</v>
      </c>
      <c r="F87" s="118" t="s">
        <v>755</v>
      </c>
      <c r="G87" s="227">
        <v>36.700000000000003</v>
      </c>
      <c r="H87" s="9" t="str">
        <f>IF($F87="부록4",IFERROR(INDEX(③1일작업량DB!$H$6:$H$169,MATCH(SUBSTITUTE($C87&amp;"|"&amp;$D87,"~","~~"),③1일작업량DB!$J$6:$J$169,0)),"-"),"")</f>
        <v>㎡/일</v>
      </c>
      <c r="I87" s="227"/>
      <c r="J87" s="229">
        <f>IF($F87="부록4",IFERROR(INDEX(③1일작업량DB!$G$6:$G$169,MATCH(SUBSTITUTE($C87&amp;"|"&amp;$D87,"~","~~"),③1일작업량DB!$J$6:$J$169,0)),""),$I87)</f>
        <v>400</v>
      </c>
      <c r="K87" s="235">
        <v>1</v>
      </c>
      <c r="L87" s="139">
        <f t="shared" si="10"/>
        <v>0.1</v>
      </c>
      <c r="M87" s="231">
        <v>0</v>
      </c>
      <c r="N87" s="231">
        <v>0</v>
      </c>
      <c r="O87" s="142">
        <f t="shared" si="11"/>
        <v>0.1</v>
      </c>
    </row>
    <row r="88" spans="2:15" ht="16" customHeight="1">
      <c r="B88" s="63">
        <v>78</v>
      </c>
      <c r="C88" s="114" t="s">
        <v>849</v>
      </c>
      <c r="D88" s="117" t="s">
        <v>883</v>
      </c>
      <c r="E88" s="140" t="s">
        <v>1028</v>
      </c>
      <c r="F88" s="118" t="s">
        <v>755</v>
      </c>
      <c r="G88" s="227">
        <v>69.5</v>
      </c>
      <c r="H88" s="9" t="str">
        <f>IF($F88="부록4",IFERROR(INDEX(③1일작업량DB!$H$6:$H$169,MATCH(SUBSTITUTE($C88&amp;"|"&amp;$D88,"~","~~"),③1일작업량DB!$J$6:$J$169,0)),"-"),"")</f>
        <v>m/일</v>
      </c>
      <c r="I88" s="227"/>
      <c r="J88" s="229">
        <f>IF($F88="부록4",IFERROR(INDEX(③1일작업량DB!$G$6:$G$169,MATCH(SUBSTITUTE($C88&amp;"|"&amp;$D88,"~","~~"),③1일작업량DB!$J$6:$J$169,0)),""),$I88)</f>
        <v>25</v>
      </c>
      <c r="K88" s="235">
        <v>1</v>
      </c>
      <c r="L88" s="139">
        <f t="shared" si="10"/>
        <v>2.8000000000000003</v>
      </c>
      <c r="M88" s="231">
        <v>0</v>
      </c>
      <c r="N88" s="231">
        <v>0</v>
      </c>
      <c r="O88" s="142">
        <f t="shared" si="11"/>
        <v>2.8000000000000003</v>
      </c>
    </row>
    <row r="89" spans="2:15" ht="16" customHeight="1">
      <c r="B89" s="145"/>
      <c r="C89" s="158" t="s">
        <v>1029</v>
      </c>
      <c r="D89" s="166"/>
      <c r="E89" s="167"/>
      <c r="F89" s="159"/>
      <c r="G89" s="228"/>
      <c r="H89" s="145"/>
      <c r="I89" s="228"/>
      <c r="J89" s="230"/>
      <c r="K89" s="236"/>
      <c r="L89" s="164"/>
      <c r="M89" s="232"/>
      <c r="N89" s="232"/>
      <c r="O89" s="165">
        <f>SUM(O90:O100)</f>
        <v>7.6</v>
      </c>
    </row>
    <row r="90" spans="2:15" ht="16" customHeight="1">
      <c r="B90" s="63">
        <v>79</v>
      </c>
      <c r="C90" s="114" t="s">
        <v>231</v>
      </c>
      <c r="D90" s="117" t="s">
        <v>950</v>
      </c>
      <c r="E90" s="140" t="s">
        <v>1030</v>
      </c>
      <c r="F90" s="118" t="s">
        <v>755</v>
      </c>
      <c r="G90" s="227">
        <v>234.66</v>
      </c>
      <c r="H90" s="9" t="str">
        <f>IF($F90="부록4",IFERROR(INDEX(③1일작업량DB!$H$6:$H$169,MATCH(SUBSTITUTE($C90&amp;"|"&amp;$D90,"~","~~"),③1일작업량DB!$J$6:$J$169,0)),"-"),"")</f>
        <v>㎥/일</v>
      </c>
      <c r="I90" s="227"/>
      <c r="J90" s="229">
        <f>IF($F90="부록4",IFERROR(INDEX(③1일작업량DB!$G$6:$G$169,MATCH(SUBSTITUTE($C90&amp;"|"&amp;$D90,"~","~~"),③1일작업량DB!$J$6:$J$169,0)),""),$I90)</f>
        <v>349</v>
      </c>
      <c r="K90" s="235">
        <v>1</v>
      </c>
      <c r="L90" s="139">
        <f t="shared" ref="L90:L100" si="12">IFERROR(IF(AND($G90&gt;0,$J90&gt;0,$K90&gt;0),ROUNDUP($G90/($J90*$K90),1),0),0)</f>
        <v>0.7</v>
      </c>
      <c r="M90" s="231">
        <v>0</v>
      </c>
      <c r="N90" s="231">
        <v>0</v>
      </c>
      <c r="O90" s="142">
        <f t="shared" ref="O90:O100" si="13">$L90+$M90+$N90</f>
        <v>0.7</v>
      </c>
    </row>
    <row r="91" spans="2:15" ht="16" customHeight="1">
      <c r="B91" s="63">
        <v>80</v>
      </c>
      <c r="C91" s="114" t="s">
        <v>291</v>
      </c>
      <c r="D91" s="117" t="s">
        <v>893</v>
      </c>
      <c r="E91" s="140" t="s">
        <v>1031</v>
      </c>
      <c r="F91" s="118" t="s">
        <v>755</v>
      </c>
      <c r="G91" s="227">
        <v>281.02</v>
      </c>
      <c r="H91" s="9" t="str">
        <f>IF($F91="부록4",IFERROR(INDEX(③1일작업량DB!$H$6:$H$169,MATCH(SUBSTITUTE($C91&amp;"|"&amp;$D91,"~","~~"),③1일작업량DB!$J$6:$J$169,0)),"-"),"")</f>
        <v>m/일</v>
      </c>
      <c r="I91" s="227"/>
      <c r="J91" s="229">
        <f>IF($F91="부록4",IFERROR(INDEX(③1일작업량DB!$G$6:$G$169,MATCH(SUBSTITUTE($C91&amp;"|"&amp;$D91,"~","~~"),③1일작업량DB!$J$6:$J$169,0)),""),$I91)</f>
        <v>120</v>
      </c>
      <c r="K91" s="235">
        <v>1</v>
      </c>
      <c r="L91" s="139">
        <f t="shared" si="12"/>
        <v>2.4</v>
      </c>
      <c r="M91" s="231">
        <v>0</v>
      </c>
      <c r="N91" s="231">
        <v>0</v>
      </c>
      <c r="O91" s="142">
        <f t="shared" si="13"/>
        <v>2.4</v>
      </c>
    </row>
    <row r="92" spans="2:15" ht="16" customHeight="1">
      <c r="B92" s="63">
        <v>81</v>
      </c>
      <c r="C92" s="114" t="s">
        <v>291</v>
      </c>
      <c r="D92" s="117" t="s">
        <v>895</v>
      </c>
      <c r="E92" s="140" t="s">
        <v>1032</v>
      </c>
      <c r="F92" s="118" t="s">
        <v>755</v>
      </c>
      <c r="G92" s="227">
        <v>26.27</v>
      </c>
      <c r="H92" s="9" t="str">
        <f>IF($F92="부록4",IFERROR(INDEX(③1일작업량DB!$H$6:$H$169,MATCH(SUBSTITUTE($C92&amp;"|"&amp;$D92,"~","~~"),③1일작업량DB!$J$6:$J$169,0)),"-"),"")</f>
        <v>㎥/일</v>
      </c>
      <c r="I92" s="227"/>
      <c r="J92" s="229">
        <f>IF($F92="부록4",IFERROR(INDEX(③1일작업량DB!$G$6:$G$169,MATCH(SUBSTITUTE($C92&amp;"|"&amp;$D92,"~","~~"),③1일작업량DB!$J$6:$J$169,0)),""),$I92)</f>
        <v>60</v>
      </c>
      <c r="K92" s="235">
        <v>1</v>
      </c>
      <c r="L92" s="139">
        <f t="shared" si="12"/>
        <v>0.5</v>
      </c>
      <c r="M92" s="231">
        <v>0</v>
      </c>
      <c r="N92" s="231">
        <v>0</v>
      </c>
      <c r="O92" s="142">
        <f t="shared" si="13"/>
        <v>0.5</v>
      </c>
    </row>
    <row r="93" spans="2:15" ht="16" customHeight="1">
      <c r="B93" s="63">
        <v>82</v>
      </c>
      <c r="C93" s="114" t="s">
        <v>291</v>
      </c>
      <c r="D93" s="117" t="s">
        <v>292</v>
      </c>
      <c r="E93" s="140" t="s">
        <v>1033</v>
      </c>
      <c r="F93" s="118" t="s">
        <v>755</v>
      </c>
      <c r="G93" s="227">
        <v>141.56</v>
      </c>
      <c r="H93" s="9" t="str">
        <f>IF($F93="부록4",IFERROR(INDEX(③1일작업량DB!$H$6:$H$169,MATCH(SUBSTITUTE($C93&amp;"|"&amp;$D93,"~","~~"),③1일작업량DB!$J$6:$J$169,0)),"-"),"")</f>
        <v>㎥/일</v>
      </c>
      <c r="I93" s="227"/>
      <c r="J93" s="229">
        <f>IF($F93="부록4",IFERROR(INDEX(③1일작업량DB!$G$6:$G$169,MATCH(SUBSTITUTE($C93&amp;"|"&amp;$D93,"~","~~"),③1일작업량DB!$J$6:$J$169,0)),""),$I93)</f>
        <v>550</v>
      </c>
      <c r="K93" s="235">
        <v>1</v>
      </c>
      <c r="L93" s="139">
        <f t="shared" si="12"/>
        <v>0.30000000000000004</v>
      </c>
      <c r="M93" s="231">
        <v>0</v>
      </c>
      <c r="N93" s="231">
        <v>0</v>
      </c>
      <c r="O93" s="142">
        <f t="shared" si="13"/>
        <v>0.30000000000000004</v>
      </c>
    </row>
    <row r="94" spans="2:15" ht="16" customHeight="1">
      <c r="B94" s="63">
        <v>83</v>
      </c>
      <c r="C94" s="114" t="s">
        <v>291</v>
      </c>
      <c r="D94" s="117" t="s">
        <v>292</v>
      </c>
      <c r="E94" s="140" t="s">
        <v>1034</v>
      </c>
      <c r="F94" s="118" t="s">
        <v>755</v>
      </c>
      <c r="G94" s="227">
        <v>113.24</v>
      </c>
      <c r="H94" s="9" t="str">
        <f>IF($F94="부록4",IFERROR(INDEX(③1일작업량DB!$H$6:$H$169,MATCH(SUBSTITUTE($C94&amp;"|"&amp;$D94,"~","~~"),③1일작업량DB!$J$6:$J$169,0)),"-"),"")</f>
        <v>㎥/일</v>
      </c>
      <c r="I94" s="227"/>
      <c r="J94" s="229">
        <f>IF($F94="부록4",IFERROR(INDEX(③1일작업량DB!$G$6:$G$169,MATCH(SUBSTITUTE($C94&amp;"|"&amp;$D94,"~","~~"),③1일작업량DB!$J$6:$J$169,0)),""),$I94)</f>
        <v>550</v>
      </c>
      <c r="K94" s="235">
        <v>1</v>
      </c>
      <c r="L94" s="139">
        <f t="shared" si="12"/>
        <v>0.30000000000000004</v>
      </c>
      <c r="M94" s="231">
        <v>0</v>
      </c>
      <c r="N94" s="231">
        <v>0</v>
      </c>
      <c r="O94" s="142">
        <f t="shared" si="13"/>
        <v>0.30000000000000004</v>
      </c>
    </row>
    <row r="95" spans="2:15" ht="16" customHeight="1">
      <c r="B95" s="63">
        <v>84</v>
      </c>
      <c r="C95" s="114" t="s">
        <v>291</v>
      </c>
      <c r="D95" s="117" t="s">
        <v>897</v>
      </c>
      <c r="E95" s="140" t="s">
        <v>898</v>
      </c>
      <c r="F95" s="118" t="s">
        <v>755</v>
      </c>
      <c r="G95" s="227">
        <v>566.22</v>
      </c>
      <c r="H95" s="9" t="str">
        <f>IF($F95="부록4",IFERROR(INDEX(③1일작업량DB!$H$6:$H$169,MATCH(SUBSTITUTE($C95&amp;"|"&amp;$D95,"~","~~"),③1일작업량DB!$J$6:$J$169,0)),"-"),"")</f>
        <v>㎡/일</v>
      </c>
      <c r="I95" s="227"/>
      <c r="J95" s="229">
        <f>IF($F95="부록4",IFERROR(INDEX(③1일작업량DB!$G$6:$G$169,MATCH(SUBSTITUTE($C95&amp;"|"&amp;$D95,"~","~~"),③1일작업량DB!$J$6:$J$169,0)),""),$I95)</f>
        <v>3000</v>
      </c>
      <c r="K95" s="235">
        <v>1</v>
      </c>
      <c r="L95" s="139">
        <f t="shared" si="12"/>
        <v>0.2</v>
      </c>
      <c r="M95" s="231">
        <v>0</v>
      </c>
      <c r="N95" s="231">
        <v>0</v>
      </c>
      <c r="O95" s="142">
        <f t="shared" si="13"/>
        <v>0.2</v>
      </c>
    </row>
    <row r="96" spans="2:15" ht="16" customHeight="1">
      <c r="B96" s="63">
        <v>85</v>
      </c>
      <c r="C96" s="114" t="s">
        <v>291</v>
      </c>
      <c r="D96" s="117" t="s">
        <v>761</v>
      </c>
      <c r="E96" s="140" t="s">
        <v>1035</v>
      </c>
      <c r="F96" s="118" t="s">
        <v>755</v>
      </c>
      <c r="G96" s="227">
        <v>566.22</v>
      </c>
      <c r="H96" s="9" t="str">
        <f>IF($F96="부록4",IFERROR(INDEX(③1일작업량DB!$H$6:$H$169,MATCH(SUBSTITUTE($C96&amp;"|"&amp;$D96,"~","~~"),③1일작업량DB!$J$6:$J$169,0)),"-"),"")</f>
        <v>㎡/일</v>
      </c>
      <c r="I96" s="227"/>
      <c r="J96" s="229">
        <f>IF($F96="부록4",IFERROR(INDEX(③1일작업량DB!$G$6:$G$169,MATCH(SUBSTITUTE($C96&amp;"|"&amp;$D96,"~","~~"),③1일작업량DB!$J$6:$J$169,0)),""),$I96)</f>
        <v>4500</v>
      </c>
      <c r="K96" s="235">
        <v>1</v>
      </c>
      <c r="L96" s="139">
        <f t="shared" si="12"/>
        <v>0.2</v>
      </c>
      <c r="M96" s="231">
        <v>0</v>
      </c>
      <c r="N96" s="231">
        <v>0</v>
      </c>
      <c r="O96" s="142">
        <f t="shared" si="13"/>
        <v>0.2</v>
      </c>
    </row>
    <row r="97" spans="2:15" ht="16" customHeight="1">
      <c r="B97" s="63">
        <v>86</v>
      </c>
      <c r="C97" s="114" t="s">
        <v>291</v>
      </c>
      <c r="D97" s="117" t="s">
        <v>899</v>
      </c>
      <c r="E97" s="140" t="s">
        <v>900</v>
      </c>
      <c r="F97" s="118" t="s">
        <v>755</v>
      </c>
      <c r="G97" s="227">
        <v>566.22</v>
      </c>
      <c r="H97" s="9" t="str">
        <f>IF($F97="부록4",IFERROR(INDEX(③1일작업량DB!$H$6:$H$169,MATCH(SUBSTITUTE($C97&amp;"|"&amp;$D97,"~","~~"),③1일작업량DB!$J$6:$J$169,0)),"-"),"")</f>
        <v>㎡/일</v>
      </c>
      <c r="I97" s="227"/>
      <c r="J97" s="229">
        <f>IF($F97="부록4",IFERROR(INDEX(③1일작업량DB!$G$6:$G$169,MATCH(SUBSTITUTE($C97&amp;"|"&amp;$D97,"~","~~"),③1일작업량DB!$J$6:$J$169,0)),""),$I97)</f>
        <v>3000</v>
      </c>
      <c r="K97" s="235">
        <v>1</v>
      </c>
      <c r="L97" s="139">
        <f t="shared" si="12"/>
        <v>0.2</v>
      </c>
      <c r="M97" s="231">
        <v>0</v>
      </c>
      <c r="N97" s="231">
        <v>0</v>
      </c>
      <c r="O97" s="142">
        <f t="shared" si="13"/>
        <v>0.2</v>
      </c>
    </row>
    <row r="98" spans="2:15" ht="16" customHeight="1">
      <c r="B98" s="63">
        <v>87</v>
      </c>
      <c r="C98" s="114" t="s">
        <v>291</v>
      </c>
      <c r="D98" s="117" t="s">
        <v>1036</v>
      </c>
      <c r="E98" s="140" t="s">
        <v>1037</v>
      </c>
      <c r="F98" s="118" t="s">
        <v>755</v>
      </c>
      <c r="G98" s="227">
        <v>566.22</v>
      </c>
      <c r="H98" s="9" t="str">
        <f>IF($F98="부록4",IFERROR(INDEX(③1일작업량DB!$H$6:$H$169,MATCH(SUBSTITUTE($C98&amp;"|"&amp;$D98,"~","~~"),③1일작업량DB!$J$6:$J$169,0)),"-"),"")</f>
        <v>㎡/일</v>
      </c>
      <c r="I98" s="227"/>
      <c r="J98" s="229">
        <f>IF($F98="부록4",IFERROR(INDEX(③1일작업량DB!$G$6:$G$169,MATCH(SUBSTITUTE($C98&amp;"|"&amp;$D98,"~","~~"),③1일작업량DB!$J$6:$J$169,0)),""),$I98)</f>
        <v>4800</v>
      </c>
      <c r="K98" s="235">
        <v>1</v>
      </c>
      <c r="L98" s="139">
        <f t="shared" si="12"/>
        <v>0.2</v>
      </c>
      <c r="M98" s="231">
        <v>0</v>
      </c>
      <c r="N98" s="231">
        <v>0</v>
      </c>
      <c r="O98" s="142">
        <f t="shared" si="13"/>
        <v>0.2</v>
      </c>
    </row>
    <row r="99" spans="2:15" ht="15">
      <c r="B99" s="63">
        <v>88</v>
      </c>
      <c r="C99" s="114" t="s">
        <v>291</v>
      </c>
      <c r="D99" s="117" t="s">
        <v>903</v>
      </c>
      <c r="E99" s="140" t="s">
        <v>1038</v>
      </c>
      <c r="F99" s="118" t="s">
        <v>755</v>
      </c>
      <c r="G99" s="227">
        <v>150</v>
      </c>
      <c r="H99" s="9" t="str">
        <f>IF($F99="부록4",IFERROR(INDEX(③1일작업량DB!$H$6:$H$169,MATCH(SUBSTITUTE($C99&amp;"|"&amp;$D99,"~","~~"),③1일작업량DB!$J$6:$J$169,0)),"-"),"")</f>
        <v>m/일</v>
      </c>
      <c r="I99" s="227"/>
      <c r="J99" s="229">
        <f>IF($F99="부록4",IFERROR(INDEX(③1일작업량DB!$G$6:$G$169,MATCH(SUBSTITUTE($C99&amp;"|"&amp;$D99,"~","~~"),③1일작업량DB!$J$6:$J$169,0)),""),$I99)</f>
        <v>60</v>
      </c>
      <c r="K99" s="235">
        <v>1</v>
      </c>
      <c r="L99" s="139">
        <f t="shared" si="12"/>
        <v>2.5</v>
      </c>
      <c r="M99" s="231">
        <v>0</v>
      </c>
      <c r="N99" s="231">
        <v>0</v>
      </c>
      <c r="O99" s="142">
        <f t="shared" si="13"/>
        <v>2.5</v>
      </c>
    </row>
    <row r="100" spans="2:15" ht="15">
      <c r="B100" s="63">
        <v>89</v>
      </c>
      <c r="C100" s="114" t="s">
        <v>291</v>
      </c>
      <c r="D100" s="117" t="s">
        <v>905</v>
      </c>
      <c r="E100" s="140" t="s">
        <v>1039</v>
      </c>
      <c r="F100" s="118" t="s">
        <v>755</v>
      </c>
      <c r="G100" s="227">
        <v>21.57</v>
      </c>
      <c r="H100" s="9" t="str">
        <f>IF($F100="부록4",IFERROR(INDEX(③1일작업량DB!$H$6:$H$169,MATCH(SUBSTITUTE($C100&amp;"|"&amp;$D100,"~","~~"),③1일작업량DB!$J$6:$J$169,0)),"-"),"")</f>
        <v>㎡/일</v>
      </c>
      <c r="I100" s="227"/>
      <c r="J100" s="229">
        <f>IF($F100="부록4",IFERROR(INDEX(③1일작업량DB!$G$6:$G$169,MATCH(SUBSTITUTE($C100&amp;"|"&amp;$D100,"~","~~"),③1일작업량DB!$J$6:$J$169,0)),""),$I100)</f>
        <v>300</v>
      </c>
      <c r="K100" s="235">
        <v>1</v>
      </c>
      <c r="L100" s="139">
        <f t="shared" si="12"/>
        <v>0.1</v>
      </c>
      <c r="M100" s="231">
        <v>0</v>
      </c>
      <c r="N100" s="231">
        <v>0</v>
      </c>
      <c r="O100" s="142">
        <f t="shared" si="13"/>
        <v>0.1</v>
      </c>
    </row>
    <row r="101" spans="2:15" ht="15">
      <c r="B101" s="145"/>
      <c r="C101" s="158" t="s">
        <v>1040</v>
      </c>
      <c r="D101" s="166"/>
      <c r="E101" s="167"/>
      <c r="F101" s="159"/>
      <c r="G101" s="228"/>
      <c r="H101" s="145"/>
      <c r="I101" s="228"/>
      <c r="J101" s="230"/>
      <c r="K101" s="236"/>
      <c r="L101" s="164"/>
      <c r="M101" s="232"/>
      <c r="N101" s="232"/>
      <c r="O101" s="165">
        <f>SUM(O102:O118)</f>
        <v>29.799999999999997</v>
      </c>
    </row>
    <row r="102" spans="2:15" ht="15">
      <c r="B102" s="63">
        <v>90</v>
      </c>
      <c r="C102" s="114" t="s">
        <v>921</v>
      </c>
      <c r="D102" s="117" t="s">
        <v>928</v>
      </c>
      <c r="E102" s="140" t="s">
        <v>1041</v>
      </c>
      <c r="F102" s="118" t="s">
        <v>755</v>
      </c>
      <c r="G102" s="227">
        <v>3</v>
      </c>
      <c r="H102" s="9" t="str">
        <f>IF($F102="부록4",IFERROR(INDEX(③1일작업량DB!$H$6:$H$169,MATCH(SUBSTITUTE($C102&amp;"|"&amp;$D102,"~","~~"),③1일작업량DB!$J$6:$J$169,0)),"-"),"")</f>
        <v>개소/일</v>
      </c>
      <c r="I102" s="227"/>
      <c r="J102" s="229">
        <f>IF($F102="부록4",IFERROR(INDEX(③1일작업량DB!$G$6:$G$169,MATCH(SUBSTITUTE($C102&amp;"|"&amp;$D102,"~","~~"),③1일작업량DB!$J$6:$J$169,0)),""),$I102)</f>
        <v>2</v>
      </c>
      <c r="K102" s="235">
        <v>1</v>
      </c>
      <c r="L102" s="139">
        <f t="shared" ref="L102:L118" si="14">IFERROR(IF(AND($G102&gt;0,$J102&gt;0,$K102&gt;0),ROUNDUP($G102/($J102*$K102),1),0),0)</f>
        <v>1.5</v>
      </c>
      <c r="M102" s="231">
        <v>0</v>
      </c>
      <c r="N102" s="231">
        <v>0</v>
      </c>
      <c r="O102" s="142">
        <f t="shared" ref="O102:O118" si="15">$L102+$M102+$N102</f>
        <v>1.5</v>
      </c>
    </row>
    <row r="103" spans="2:15" ht="15">
      <c r="B103" s="63">
        <v>91</v>
      </c>
      <c r="C103" s="114" t="s">
        <v>231</v>
      </c>
      <c r="D103" s="117" t="s">
        <v>950</v>
      </c>
      <c r="E103" s="140" t="s">
        <v>1042</v>
      </c>
      <c r="F103" s="118" t="s">
        <v>755</v>
      </c>
      <c r="G103" s="227">
        <v>21.38</v>
      </c>
      <c r="H103" s="9" t="str">
        <f>IF($F103="부록4",IFERROR(INDEX(③1일작업량DB!$H$6:$H$169,MATCH(SUBSTITUTE($C103&amp;"|"&amp;$D103,"~","~~"),③1일작업량DB!$J$6:$J$169,0)),"-"),"")</f>
        <v>㎥/일</v>
      </c>
      <c r="I103" s="227"/>
      <c r="J103" s="229">
        <f>IF($F103="부록4",IFERROR(INDEX(③1일작업량DB!$G$6:$G$169,MATCH(SUBSTITUTE($C103&amp;"|"&amp;$D103,"~","~~"),③1일작업량DB!$J$6:$J$169,0)),""),$I103)</f>
        <v>349</v>
      </c>
      <c r="K103" s="235">
        <v>1</v>
      </c>
      <c r="L103" s="139">
        <f t="shared" si="14"/>
        <v>0.1</v>
      </c>
      <c r="M103" s="231">
        <v>0</v>
      </c>
      <c r="N103" s="231">
        <v>0</v>
      </c>
      <c r="O103" s="142">
        <f t="shared" si="15"/>
        <v>0.1</v>
      </c>
    </row>
    <row r="104" spans="2:15" ht="15">
      <c r="B104" s="63">
        <v>92</v>
      </c>
      <c r="C104" s="114" t="s">
        <v>231</v>
      </c>
      <c r="D104" s="117" t="s">
        <v>257</v>
      </c>
      <c r="E104" s="140" t="s">
        <v>1043</v>
      </c>
      <c r="F104" s="118" t="s">
        <v>755</v>
      </c>
      <c r="G104" s="227">
        <v>21.38</v>
      </c>
      <c r="H104" s="9" t="str">
        <f>IF($F104="부록4",IFERROR(INDEX(③1일작업량DB!$H$6:$H$169,MATCH(SUBSTITUTE($C104&amp;"|"&amp;$D104,"~","~~"),③1일작업량DB!$J$6:$J$169,0)),"-"),"")</f>
        <v>㎥/일</v>
      </c>
      <c r="I104" s="227"/>
      <c r="J104" s="229">
        <f>IF($F104="부록4",IFERROR(INDEX(③1일작업량DB!$G$6:$G$169,MATCH(SUBSTITUTE($C104&amp;"|"&amp;$D104,"~","~~"),③1일작업량DB!$J$6:$J$169,0)),""),$I104)</f>
        <v>42</v>
      </c>
      <c r="K104" s="235">
        <v>1</v>
      </c>
      <c r="L104" s="139">
        <f t="shared" si="14"/>
        <v>0.6</v>
      </c>
      <c r="M104" s="231">
        <v>0</v>
      </c>
      <c r="N104" s="231">
        <v>0</v>
      </c>
      <c r="O104" s="142">
        <f t="shared" si="15"/>
        <v>0.6</v>
      </c>
    </row>
    <row r="105" spans="2:15" ht="15">
      <c r="B105" s="63">
        <v>93</v>
      </c>
      <c r="C105" s="114" t="s">
        <v>921</v>
      </c>
      <c r="D105" s="117" t="s">
        <v>922</v>
      </c>
      <c r="E105" s="140" t="s">
        <v>1044</v>
      </c>
      <c r="F105" s="118" t="s">
        <v>755</v>
      </c>
      <c r="G105" s="227">
        <v>42</v>
      </c>
      <c r="H105" s="9" t="str">
        <f>IF($F105="부록4",IFERROR(INDEX(③1일작업량DB!$H$6:$H$169,MATCH(SUBSTITUTE($C105&amp;"|"&amp;$D105,"~","~~"),③1일작업량DB!$J$6:$J$169,0)),"-"),"")</f>
        <v>경간/일</v>
      </c>
      <c r="I105" s="227"/>
      <c r="J105" s="229">
        <f>IF($F105="부록4",IFERROR(INDEX(③1일작업량DB!$G$6:$G$169,MATCH(SUBSTITUTE($C105&amp;"|"&amp;$D105,"~","~~"),③1일작업량DB!$J$6:$J$169,0)),""),$I105)</f>
        <v>8</v>
      </c>
      <c r="K105" s="235">
        <v>1</v>
      </c>
      <c r="L105" s="139">
        <f t="shared" si="14"/>
        <v>5.3</v>
      </c>
      <c r="M105" s="231">
        <v>0</v>
      </c>
      <c r="N105" s="231">
        <v>0</v>
      </c>
      <c r="O105" s="142">
        <f t="shared" si="15"/>
        <v>5.3</v>
      </c>
    </row>
    <row r="106" spans="2:15" ht="15">
      <c r="B106" s="63">
        <v>94</v>
      </c>
      <c r="C106" s="114" t="s">
        <v>921</v>
      </c>
      <c r="D106" s="117" t="s">
        <v>925</v>
      </c>
      <c r="E106" s="140" t="s">
        <v>1045</v>
      </c>
      <c r="F106" s="118" t="s">
        <v>755</v>
      </c>
      <c r="G106" s="227">
        <v>24</v>
      </c>
      <c r="H106" s="9" t="str">
        <f>IF($F106="부록4",IFERROR(INDEX(③1일작업량DB!$H$6:$H$169,MATCH(SUBSTITUTE($C106&amp;"|"&amp;$D106,"~","~~"),③1일작업량DB!$J$6:$J$169,0)),"-"),"")</f>
        <v>경간/일</v>
      </c>
      <c r="I106" s="227"/>
      <c r="J106" s="229">
        <f>IF($F106="부록4",IFERROR(INDEX(③1일작업량DB!$G$6:$G$169,MATCH(SUBSTITUTE($C106&amp;"|"&amp;$D106,"~","~~"),③1일작업량DB!$J$6:$J$169,0)),""),$I106)</f>
        <v>15</v>
      </c>
      <c r="K106" s="235">
        <v>1</v>
      </c>
      <c r="L106" s="139">
        <f t="shared" si="14"/>
        <v>1.6</v>
      </c>
      <c r="M106" s="231">
        <v>0</v>
      </c>
      <c r="N106" s="231">
        <v>0</v>
      </c>
      <c r="O106" s="142">
        <f t="shared" si="15"/>
        <v>1.6</v>
      </c>
    </row>
    <row r="107" spans="2:15" ht="15">
      <c r="B107" s="63">
        <v>95</v>
      </c>
      <c r="C107" s="114" t="s">
        <v>921</v>
      </c>
      <c r="D107" s="117" t="s">
        <v>926</v>
      </c>
      <c r="E107" s="140" t="s">
        <v>1046</v>
      </c>
      <c r="F107" s="118" t="s">
        <v>755</v>
      </c>
      <c r="G107" s="227">
        <v>48</v>
      </c>
      <c r="H107" s="9" t="str">
        <f>IF($F107="부록4",IFERROR(INDEX(③1일작업량DB!$H$6:$H$169,MATCH(SUBSTITUTE($C107&amp;"|"&amp;$D107,"~","~~"),③1일작업량DB!$J$6:$J$169,0)),"-"),"")</f>
        <v>경간/일</v>
      </c>
      <c r="I107" s="227"/>
      <c r="J107" s="229">
        <f>IF($F107="부록4",IFERROR(INDEX(③1일작업량DB!$G$6:$G$169,MATCH(SUBSTITUTE($C107&amp;"|"&amp;$D107,"~","~~"),③1일작업량DB!$J$6:$J$169,0)),""),$I107)</f>
        <v>10</v>
      </c>
      <c r="K107" s="235">
        <v>1</v>
      </c>
      <c r="L107" s="139">
        <f t="shared" si="14"/>
        <v>4.8</v>
      </c>
      <c r="M107" s="231">
        <v>0</v>
      </c>
      <c r="N107" s="231">
        <v>0</v>
      </c>
      <c r="O107" s="142">
        <f t="shared" si="15"/>
        <v>4.8</v>
      </c>
    </row>
    <row r="108" spans="2:15" ht="15">
      <c r="B108" s="63">
        <v>96</v>
      </c>
      <c r="C108" s="114" t="s">
        <v>361</v>
      </c>
      <c r="D108" s="117" t="s">
        <v>756</v>
      </c>
      <c r="E108" s="140" t="s">
        <v>1047</v>
      </c>
      <c r="F108" s="118" t="s">
        <v>755</v>
      </c>
      <c r="G108" s="227">
        <v>6.05</v>
      </c>
      <c r="H108" s="9" t="str">
        <f>IF($F108="부록4",IFERROR(INDEX(③1일작업량DB!$H$6:$H$169,MATCH(SUBSTITUTE($C108&amp;"|"&amp;$D108,"~","~~"),③1일작업량DB!$J$6:$J$169,0)),"-"),"")</f>
        <v>㎥/일</v>
      </c>
      <c r="I108" s="227"/>
      <c r="J108" s="229">
        <f>IF($F108="부록4",IFERROR(INDEX(③1일작업량DB!$G$6:$G$169,MATCH(SUBSTITUTE($C108&amp;"|"&amp;$D108,"~","~~"),③1일작업량DB!$J$6:$J$169,0)),""),$I108)</f>
        <v>189</v>
      </c>
      <c r="K108" s="235">
        <v>1</v>
      </c>
      <c r="L108" s="139">
        <f t="shared" si="14"/>
        <v>0.1</v>
      </c>
      <c r="M108" s="231">
        <v>0</v>
      </c>
      <c r="N108" s="231">
        <v>0</v>
      </c>
      <c r="O108" s="142">
        <f t="shared" si="15"/>
        <v>0.1</v>
      </c>
    </row>
    <row r="109" spans="2:15" ht="15">
      <c r="B109" s="63">
        <v>97</v>
      </c>
      <c r="C109" s="114" t="s">
        <v>361</v>
      </c>
      <c r="D109" s="117" t="s">
        <v>758</v>
      </c>
      <c r="E109" s="140" t="s">
        <v>1048</v>
      </c>
      <c r="F109" s="118" t="s">
        <v>755</v>
      </c>
      <c r="G109" s="227">
        <v>31.79</v>
      </c>
      <c r="H109" s="9" t="str">
        <f>IF($F109="부록4",IFERROR(INDEX(③1일작업량DB!$H$6:$H$169,MATCH(SUBSTITUTE($C109&amp;"|"&amp;$D109,"~","~~"),③1일작업량DB!$J$6:$J$169,0)),"-"),"")</f>
        <v>㎡/일</v>
      </c>
      <c r="I109" s="227"/>
      <c r="J109" s="229">
        <f>IF($F109="부록4",IFERROR(INDEX(③1일작업량DB!$G$6:$G$169,MATCH(SUBSTITUTE($C109&amp;"|"&amp;$D109,"~","~~"),③1일작업량DB!$J$6:$J$169,0)),""),$I109)</f>
        <v>60</v>
      </c>
      <c r="K109" s="235">
        <v>1</v>
      </c>
      <c r="L109" s="139">
        <f t="shared" si="14"/>
        <v>0.6</v>
      </c>
      <c r="M109" s="231">
        <v>0</v>
      </c>
      <c r="N109" s="231">
        <v>0</v>
      </c>
      <c r="O109" s="142">
        <f t="shared" si="15"/>
        <v>0.6</v>
      </c>
    </row>
    <row r="110" spans="2:15" ht="15">
      <c r="B110" s="63">
        <v>98</v>
      </c>
      <c r="C110" s="114" t="s">
        <v>907</v>
      </c>
      <c r="D110" s="117" t="s">
        <v>908</v>
      </c>
      <c r="E110" s="140" t="s">
        <v>1049</v>
      </c>
      <c r="F110" s="118" t="s">
        <v>755</v>
      </c>
      <c r="G110" s="227">
        <v>0.9</v>
      </c>
      <c r="H110" s="9" t="str">
        <f>IF($F110="부록4",IFERROR(INDEX(③1일작업량DB!$H$6:$H$169,MATCH(SUBSTITUTE($C110&amp;"|"&amp;$D110,"~","~~"),③1일작업량DB!$J$6:$J$169,0)),"-"),"")</f>
        <v>㎥/일</v>
      </c>
      <c r="I110" s="227"/>
      <c r="J110" s="229">
        <f>IF($F110="부록4",IFERROR(INDEX(③1일작업량DB!$G$6:$G$169,MATCH(SUBSTITUTE($C110&amp;"|"&amp;$D110,"~","~~"),③1일작업량DB!$J$6:$J$169,0)),""),$I110)</f>
        <v>25</v>
      </c>
      <c r="K110" s="235">
        <v>1</v>
      </c>
      <c r="L110" s="139">
        <f t="shared" si="14"/>
        <v>0.1</v>
      </c>
      <c r="M110" s="231">
        <v>0</v>
      </c>
      <c r="N110" s="231">
        <v>0</v>
      </c>
      <c r="O110" s="142">
        <f t="shared" si="15"/>
        <v>0.1</v>
      </c>
    </row>
    <row r="111" spans="2:15" ht="15">
      <c r="B111" s="63">
        <v>99</v>
      </c>
      <c r="C111" s="114" t="s">
        <v>403</v>
      </c>
      <c r="D111" s="117" t="s">
        <v>919</v>
      </c>
      <c r="E111" s="140" t="s">
        <v>1050</v>
      </c>
      <c r="F111" s="118" t="s">
        <v>755</v>
      </c>
      <c r="G111" s="227">
        <v>195</v>
      </c>
      <c r="H111" s="9" t="str">
        <f>IF($F111="부록4",IFERROR(INDEX(③1일작업량DB!$H$6:$H$169,MATCH(SUBSTITUTE($C111&amp;"|"&amp;$D111,"~","~~"),③1일작업량DB!$J$6:$J$169,0)),"-"),"")</f>
        <v>m/일</v>
      </c>
      <c r="I111" s="227"/>
      <c r="J111" s="229">
        <f>IF($F111="부록4",IFERROR(INDEX(③1일작업량DB!$G$6:$G$169,MATCH(SUBSTITUTE($C111&amp;"|"&amp;$D111,"~","~~"),③1일작업량DB!$J$6:$J$169,0)),""),$I111)</f>
        <v>300</v>
      </c>
      <c r="K111" s="235">
        <v>1</v>
      </c>
      <c r="L111" s="139">
        <f t="shared" si="14"/>
        <v>0.7</v>
      </c>
      <c r="M111" s="231">
        <v>0</v>
      </c>
      <c r="N111" s="231">
        <v>0</v>
      </c>
      <c r="O111" s="142">
        <f t="shared" si="15"/>
        <v>0.7</v>
      </c>
    </row>
    <row r="112" spans="2:15" ht="15">
      <c r="B112" s="63">
        <v>100</v>
      </c>
      <c r="C112" s="114" t="s">
        <v>921</v>
      </c>
      <c r="D112" s="117" t="s">
        <v>941</v>
      </c>
      <c r="E112" s="140" t="s">
        <v>1051</v>
      </c>
      <c r="F112" s="118" t="s">
        <v>755</v>
      </c>
      <c r="G112" s="227">
        <v>2</v>
      </c>
      <c r="H112" s="9" t="str">
        <f>IF($F112="부록4",IFERROR(INDEX(③1일작업량DB!$H$6:$H$169,MATCH(SUBSTITUTE($C112&amp;"|"&amp;$D112,"~","~~"),③1일작업량DB!$J$6:$J$169,0)),"-"),"")</f>
        <v>개소/일</v>
      </c>
      <c r="I112" s="227"/>
      <c r="J112" s="229">
        <f>IF($F112="부록4",IFERROR(INDEX(③1일작업량DB!$G$6:$G$169,MATCH(SUBSTITUTE($C112&amp;"|"&amp;$D112,"~","~~"),③1일작업량DB!$J$6:$J$169,0)),""),$I112)</f>
        <v>1</v>
      </c>
      <c r="K112" s="235">
        <v>1</v>
      </c>
      <c r="L112" s="139">
        <f t="shared" si="14"/>
        <v>2</v>
      </c>
      <c r="M112" s="231">
        <v>0</v>
      </c>
      <c r="N112" s="231">
        <v>0</v>
      </c>
      <c r="O112" s="142">
        <f t="shared" si="15"/>
        <v>2</v>
      </c>
    </row>
    <row r="113" spans="2:18" ht="15">
      <c r="B113" s="63">
        <v>101</v>
      </c>
      <c r="C113" s="114" t="s">
        <v>921</v>
      </c>
      <c r="D113" s="117" t="s">
        <v>930</v>
      </c>
      <c r="E113" s="140" t="s">
        <v>1052</v>
      </c>
      <c r="F113" s="118" t="s">
        <v>755</v>
      </c>
      <c r="G113" s="227">
        <v>2</v>
      </c>
      <c r="H113" s="9" t="str">
        <f>IF($F113="부록4",IFERROR(INDEX(③1일작업량DB!$H$6:$H$169,MATCH(SUBSTITUTE($C113&amp;"|"&amp;$D113,"~","~~"),③1일작업량DB!$J$6:$J$169,0)),"-"),"")</f>
        <v>공/일</v>
      </c>
      <c r="I113" s="227"/>
      <c r="J113" s="229">
        <f>IF($F113="부록4",IFERROR(INDEX(③1일작업량DB!$G$6:$G$169,MATCH(SUBSTITUTE($C113&amp;"|"&amp;$D113,"~","~~"),③1일작업량DB!$J$6:$J$169,0)),""),$I113)</f>
        <v>0.5</v>
      </c>
      <c r="K113" s="235">
        <v>1</v>
      </c>
      <c r="L113" s="139">
        <f t="shared" si="14"/>
        <v>4</v>
      </c>
      <c r="M113" s="231">
        <v>0</v>
      </c>
      <c r="N113" s="231">
        <v>0</v>
      </c>
      <c r="O113" s="142">
        <f t="shared" si="15"/>
        <v>4</v>
      </c>
    </row>
    <row r="114" spans="2:18" ht="15">
      <c r="B114" s="63">
        <v>102</v>
      </c>
      <c r="C114" s="114" t="s">
        <v>921</v>
      </c>
      <c r="D114" s="117" t="s">
        <v>933</v>
      </c>
      <c r="E114" s="140" t="s">
        <v>1053</v>
      </c>
      <c r="F114" s="118" t="s">
        <v>755</v>
      </c>
      <c r="G114" s="227">
        <v>1</v>
      </c>
      <c r="H114" s="9" t="str">
        <f>IF($F114="부록4",IFERROR(INDEX(③1일작업량DB!$H$6:$H$169,MATCH(SUBSTITUTE($C114&amp;"|"&amp;$D114,"~","~~"),③1일작업량DB!$J$6:$J$169,0)),"-"),"")</f>
        <v>회/일</v>
      </c>
      <c r="I114" s="227"/>
      <c r="J114" s="229">
        <f>IF($F114="부록4",IFERROR(INDEX(③1일작업량DB!$G$6:$G$169,MATCH(SUBSTITUTE($C114&amp;"|"&amp;$D114,"~","~~"),③1일작업량DB!$J$6:$J$169,0)),""),$I114)</f>
        <v>1</v>
      </c>
      <c r="K114" s="235">
        <v>1</v>
      </c>
      <c r="L114" s="139">
        <f t="shared" si="14"/>
        <v>1</v>
      </c>
      <c r="M114" s="231">
        <v>0</v>
      </c>
      <c r="N114" s="231">
        <v>0</v>
      </c>
      <c r="O114" s="142">
        <f t="shared" si="15"/>
        <v>1</v>
      </c>
    </row>
    <row r="115" spans="2:18" ht="15">
      <c r="B115" s="63">
        <v>103</v>
      </c>
      <c r="C115" s="114" t="s">
        <v>921</v>
      </c>
      <c r="D115" s="117" t="s">
        <v>936</v>
      </c>
      <c r="E115" s="140" t="s">
        <v>1054</v>
      </c>
      <c r="F115" s="118" t="s">
        <v>755</v>
      </c>
      <c r="G115" s="227">
        <v>4</v>
      </c>
      <c r="H115" s="9" t="str">
        <f>IF($F115="부록4",IFERROR(INDEX(③1일작업량DB!$H$6:$H$169,MATCH(SUBSTITUTE($C115&amp;"|"&amp;$D115,"~","~~"),③1일작업량DB!$J$6:$J$169,0)),"-"),"")</f>
        <v>개소/일</v>
      </c>
      <c r="I115" s="227"/>
      <c r="J115" s="229">
        <f>IF($F115="부록4",IFERROR(INDEX(③1일작업량DB!$G$6:$G$169,MATCH(SUBSTITUTE($C115&amp;"|"&amp;$D115,"~","~~"),③1일작업량DB!$J$6:$J$169,0)),""),$I115)</f>
        <v>2</v>
      </c>
      <c r="K115" s="235">
        <v>1</v>
      </c>
      <c r="L115" s="139">
        <f t="shared" si="14"/>
        <v>2</v>
      </c>
      <c r="M115" s="231">
        <v>0</v>
      </c>
      <c r="N115" s="231">
        <v>0</v>
      </c>
      <c r="O115" s="142">
        <f t="shared" si="15"/>
        <v>2</v>
      </c>
    </row>
    <row r="116" spans="2:18" ht="15">
      <c r="B116" s="63">
        <v>104</v>
      </c>
      <c r="C116" s="114" t="s">
        <v>921</v>
      </c>
      <c r="D116" s="117" t="s">
        <v>938</v>
      </c>
      <c r="E116" s="140" t="s">
        <v>939</v>
      </c>
      <c r="F116" s="118" t="s">
        <v>755</v>
      </c>
      <c r="G116" s="227">
        <v>1</v>
      </c>
      <c r="H116" s="9" t="str">
        <f>IF($F116="부록4",IFERROR(INDEX(③1일작업량DB!$H$6:$H$169,MATCH(SUBSTITUTE($C116&amp;"|"&amp;$D116,"~","~~"),③1일작업량DB!$J$6:$J$169,0)),"-"),"")</f>
        <v>식/일</v>
      </c>
      <c r="I116" s="227"/>
      <c r="J116" s="229">
        <f>IF($F116="부록4",IFERROR(INDEX(③1일작업량DB!$G$6:$G$169,MATCH(SUBSTITUTE($C116&amp;"|"&amp;$D116,"~","~~"),③1일작업량DB!$J$6:$J$169,0)),""),$I116)</f>
        <v>0.5</v>
      </c>
      <c r="K116" s="235">
        <v>1</v>
      </c>
      <c r="L116" s="139">
        <f t="shared" si="14"/>
        <v>2</v>
      </c>
      <c r="M116" s="231">
        <v>0</v>
      </c>
      <c r="N116" s="231">
        <v>0</v>
      </c>
      <c r="O116" s="142">
        <f t="shared" si="15"/>
        <v>2</v>
      </c>
    </row>
    <row r="117" spans="2:18" ht="15">
      <c r="B117" s="63">
        <v>105</v>
      </c>
      <c r="C117" s="114" t="s">
        <v>921</v>
      </c>
      <c r="D117" s="117" t="s">
        <v>943</v>
      </c>
      <c r="E117" s="140" t="s">
        <v>1055</v>
      </c>
      <c r="F117" s="118" t="s">
        <v>755</v>
      </c>
      <c r="G117" s="227">
        <v>6.8470000000000004</v>
      </c>
      <c r="H117" s="9" t="str">
        <f>IF($F117="부록4",IFERROR(INDEX(③1일작업량DB!$H$6:$H$169,MATCH(SUBSTITUTE($C117&amp;"|"&amp;$D117,"~","~~"),③1일작업량DB!$J$6:$J$169,0)),"-"),"")</f>
        <v>ton/일</v>
      </c>
      <c r="I117" s="227"/>
      <c r="J117" s="229">
        <f>IF($F117="부록4",IFERROR(INDEX(③1일작업량DB!$G$6:$G$169,MATCH(SUBSTITUTE($C117&amp;"|"&amp;$D117,"~","~~"),③1일작업량DB!$J$6:$J$169,0)),""),$I117)</f>
        <v>5</v>
      </c>
      <c r="K117" s="235">
        <v>1</v>
      </c>
      <c r="L117" s="139">
        <f t="shared" si="14"/>
        <v>1.4000000000000001</v>
      </c>
      <c r="M117" s="231">
        <v>0</v>
      </c>
      <c r="N117" s="231">
        <v>0</v>
      </c>
      <c r="O117" s="142">
        <f t="shared" si="15"/>
        <v>1.4000000000000001</v>
      </c>
    </row>
    <row r="118" spans="2:18" ht="15">
      <c r="B118" s="63">
        <v>106</v>
      </c>
      <c r="C118" s="114" t="s">
        <v>921</v>
      </c>
      <c r="D118" s="117" t="s">
        <v>946</v>
      </c>
      <c r="E118" s="140" t="s">
        <v>1056</v>
      </c>
      <c r="F118" s="118" t="s">
        <v>755</v>
      </c>
      <c r="G118" s="227">
        <v>6</v>
      </c>
      <c r="H118" s="9" t="str">
        <f>IF($F118="부록4",IFERROR(INDEX(③1일작업량DB!$H$6:$H$169,MATCH(SUBSTITUTE($C118&amp;"|"&amp;$D118,"~","~~"),③1일작업량DB!$J$6:$J$169,0)),"-"),"")</f>
        <v>개소/일</v>
      </c>
      <c r="I118" s="227"/>
      <c r="J118" s="229">
        <f>IF($F118="부록4",IFERROR(INDEX(③1일작업량DB!$G$6:$G$169,MATCH(SUBSTITUTE($C118&amp;"|"&amp;$D118,"~","~~"),③1일작업량DB!$J$6:$J$169,0)),""),$I118)</f>
        <v>3</v>
      </c>
      <c r="K118" s="235">
        <v>1</v>
      </c>
      <c r="L118" s="139">
        <f t="shared" si="14"/>
        <v>2</v>
      </c>
      <c r="M118" s="231">
        <v>0</v>
      </c>
      <c r="N118" s="231">
        <v>0</v>
      </c>
      <c r="O118" s="142">
        <f t="shared" si="15"/>
        <v>2</v>
      </c>
    </row>
    <row r="119" spans="2:18">
      <c r="B119" s="233" t="s">
        <v>430</v>
      </c>
      <c r="C119" s="233"/>
      <c r="D119" s="233"/>
      <c r="E119" s="233"/>
      <c r="F119" s="233"/>
      <c r="G119" s="233"/>
      <c r="H119" s="233"/>
      <c r="I119" s="233"/>
      <c r="J119" s="233"/>
      <c r="K119" s="233"/>
      <c r="L119" s="234">
        <f>SUMIF($B$6:$B$118,"&gt;0",L6:L118)</f>
        <v>422.40000000000009</v>
      </c>
      <c r="M119" s="234">
        <f>SUMIF($B$6:$B$118,"&gt;0",M6:M118)</f>
        <v>6</v>
      </c>
      <c r="N119" s="234">
        <f>SUMIF($B$6:$B$118,"&gt;0",N6:N118)</f>
        <v>3</v>
      </c>
      <c r="O119" s="234">
        <f>O5+O15+O38+O47+O61+O80+O89+O101</f>
        <v>431.40000000000003</v>
      </c>
    </row>
    <row r="120" spans="2:18" ht="32.15" customHeight="1">
      <c r="B120" s="501" t="s">
        <v>1057</v>
      </c>
      <c r="C120" s="501"/>
      <c r="D120" s="501"/>
      <c r="E120" s="501"/>
      <c r="F120" s="501"/>
      <c r="G120" s="501"/>
      <c r="H120" s="501"/>
      <c r="I120" s="501"/>
      <c r="J120" s="501"/>
      <c r="K120" s="501"/>
      <c r="L120" s="501"/>
      <c r="M120" s="501"/>
      <c r="N120" s="501"/>
      <c r="O120" s="501"/>
      <c r="P120" s="501"/>
      <c r="Q120" s="501"/>
      <c r="R120" s="501"/>
    </row>
  </sheetData>
  <mergeCells count="2">
    <mergeCell ref="B120:R120"/>
    <mergeCell ref="A1:N1"/>
  </mergeCells>
  <phoneticPr fontId="84" type="noConversion"/>
  <dataValidations count="3">
    <dataValidation type="list" allowBlank="1" sqref="N5:N98" xr:uid="{C2254870-00DB-4536-BE17-934958D6C90D}">
      <formula1>"0,1,2,11,14,15"</formula1>
      <formula2>0</formula2>
    </dataValidation>
    <dataValidation type="list" allowBlank="1" sqref="M5:M98" xr:uid="{07D4FD86-EEB1-469B-922F-C9C610C75612}">
      <formula1>"0,0.5,1,2,3,5,7"</formula1>
      <formula2>0</formula2>
    </dataValidation>
    <dataValidation type="list" allowBlank="1" sqref="F5:F98" xr:uid="{DB134C45-D10C-46EE-AE4F-ED2E4C86A83E}">
      <formula1>"부록4,품셈,실적,기타"</formula1>
      <formula2>0</formula2>
    </dataValidation>
  </dataValidations>
  <printOptions horizontalCentered="1"/>
  <pageMargins left="0.31496111111111108" right="0.31496111111111108" top="0.47244166666666665" bottom="0.47244166666666665" header="0.19685069444444445" footer="0.19685069444444445"/>
  <pageSetup paperSize="9" scale="78" fitToHeight="3" orientation="landscape" r:id="rId1"/>
  <headerFooter>
    <oddHeader>&amp;C&amp;"맑은 고딕,굵게"&amp;11연천군 신서공공하수처리시설 증설 외 2개사업 — 적정 공사기간 산정</oddHeader>
    <oddFooter>&amp;L&amp;"맑은 고딕"&amp;8④-1 처리시설 작업일수  (동절기 미반영 기준)&amp;R&amp;"맑은 고딕"&amp;8&amp;P / &amp;N</oddFooter>
  </headerFooter>
  <rowBreaks count="3" manualBreakCount="3">
    <brk id="38" max="17" man="1"/>
    <brk id="72" max="17" man="1"/>
    <brk id="106" max="17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D7E974B3-F5F1-4988-A9A7-FCE7A2758227}">
          <x14:formula1>
            <xm:f>③1일작업량DB!$E$6:$E$112</xm:f>
          </x14:formula1>
          <x14:formula2>
            <xm:f>0</xm:f>
          </x14:formula2>
          <xm:sqref>D5:D98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461E5-9BF6-4485-9489-D0C93724108A}">
  <sheetPr>
    <tabColor rgb="FF2E75B6"/>
  </sheetPr>
  <dimension ref="A1:R261"/>
  <sheetViews>
    <sheetView view="pageBreakPreview" zoomScale="60" zoomScaleNormal="85" workbookViewId="0">
      <pane ySplit="4" topLeftCell="A5" activePane="bottomLeft" state="frozen"/>
      <selection pane="bottomLeft" activeCell="B239" sqref="B239:O239"/>
    </sheetView>
  </sheetViews>
  <sheetFormatPr defaultColWidth="8.69140625" defaultRowHeight="14.6"/>
  <cols>
    <col min="1" max="1" width="3" customWidth="1"/>
    <col min="2" max="2" width="5" customWidth="1"/>
    <col min="3" max="3" width="13" customWidth="1"/>
    <col min="4" max="5" width="26" customWidth="1"/>
    <col min="6" max="6" width="8" customWidth="1"/>
    <col min="7" max="7" width="10" customWidth="1"/>
    <col min="8" max="8" width="7" customWidth="1"/>
    <col min="9" max="9" width="12" hidden="1" customWidth="1"/>
    <col min="10" max="10" width="12" customWidth="1"/>
    <col min="11" max="11" width="7" customWidth="1"/>
    <col min="12" max="12" width="10" customWidth="1"/>
    <col min="13" max="13" width="9" customWidth="1"/>
    <col min="14" max="14" width="8" customWidth="1"/>
    <col min="15" max="15" width="11" customWidth="1"/>
  </cols>
  <sheetData>
    <row r="1" spans="1:18" ht="25.5" customHeight="1">
      <c r="A1" s="477" t="s">
        <v>1159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</row>
    <row r="2" spans="1:18" ht="15.45">
      <c r="B2" s="1" t="s">
        <v>418</v>
      </c>
    </row>
    <row r="4" spans="1:18" ht="37.5" customHeight="1">
      <c r="B4" s="71" t="s">
        <v>76</v>
      </c>
      <c r="C4" s="72" t="s">
        <v>205</v>
      </c>
      <c r="D4" s="72" t="s">
        <v>419</v>
      </c>
      <c r="E4" s="72" t="s">
        <v>420</v>
      </c>
      <c r="F4" s="72" t="s">
        <v>421</v>
      </c>
      <c r="G4" s="72" t="s">
        <v>422</v>
      </c>
      <c r="H4" s="72" t="s">
        <v>209</v>
      </c>
      <c r="I4" s="72" t="s">
        <v>423</v>
      </c>
      <c r="J4" s="72" t="s">
        <v>424</v>
      </c>
      <c r="K4" s="72" t="s">
        <v>425</v>
      </c>
      <c r="L4" s="72" t="s">
        <v>426</v>
      </c>
      <c r="M4" s="72" t="s">
        <v>427</v>
      </c>
      <c r="N4" s="72" t="s">
        <v>428</v>
      </c>
      <c r="O4" s="72" t="s">
        <v>429</v>
      </c>
      <c r="R4">
        <f>⑥공사기간종합!C10</f>
        <v>0</v>
      </c>
    </row>
    <row r="5" spans="1:18" ht="15">
      <c r="B5" s="145"/>
      <c r="C5" s="158" t="s">
        <v>948</v>
      </c>
      <c r="D5" s="166"/>
      <c r="E5" s="167"/>
      <c r="F5" s="159"/>
      <c r="G5" s="160"/>
      <c r="H5" s="145"/>
      <c r="I5" s="161"/>
      <c r="J5" s="162"/>
      <c r="K5" s="163"/>
      <c r="L5" s="164"/>
      <c r="M5" s="163"/>
      <c r="N5" s="163"/>
      <c r="O5" s="165">
        <f>SUM(O6:O16)</f>
        <v>5.7000000000000011</v>
      </c>
    </row>
    <row r="6" spans="1:18" ht="16" customHeight="1">
      <c r="B6" s="63">
        <v>1</v>
      </c>
      <c r="C6" s="114" t="s">
        <v>231</v>
      </c>
      <c r="D6" s="117" t="s">
        <v>237</v>
      </c>
      <c r="E6" s="140" t="s">
        <v>1058</v>
      </c>
      <c r="F6" s="118" t="s">
        <v>755</v>
      </c>
      <c r="G6" s="227">
        <v>150</v>
      </c>
      <c r="H6" s="9" t="str">
        <f>IF($F6="부록4",IFERROR(INDEX(③1일작업량DB!$H$6:$H$169,MATCH(SUBSTITUTE($C6&amp;"|"&amp;$D6,"~","~~"),③1일작업량DB!$J$6:$J$169,0)),"-"),"")</f>
        <v>㎡/일</v>
      </c>
      <c r="I6" s="227"/>
      <c r="J6" s="229">
        <f>IF($F6="부록4",IFERROR(INDEX(③1일작업량DB!$G$6:$G$169,MATCH(SUBSTITUTE($C6&amp;"|"&amp;$D6,"~","~~"),③1일작업량DB!$J$6:$J$169,0)),""),$I6)</f>
        <v>1915</v>
      </c>
      <c r="K6" s="235">
        <v>1</v>
      </c>
      <c r="L6" s="139">
        <f t="shared" ref="L6:L16" si="0">IFERROR(IF(AND($G6&gt;0,$J6&gt;0,$K6&gt;0),ROUNDUP($G6/($J6*$K6),1),0),0)</f>
        <v>0.1</v>
      </c>
      <c r="M6" s="231">
        <v>0</v>
      </c>
      <c r="N6" s="231">
        <v>0</v>
      </c>
      <c r="O6" s="142">
        <f t="shared" ref="O6:O16" si="1">$L6+$M6+$N6</f>
        <v>0.1</v>
      </c>
    </row>
    <row r="7" spans="1:18" ht="16" customHeight="1">
      <c r="B7" s="63">
        <v>2</v>
      </c>
      <c r="C7" s="119" t="s">
        <v>231</v>
      </c>
      <c r="D7" s="117" t="s">
        <v>950</v>
      </c>
      <c r="E7" s="140" t="s">
        <v>1059</v>
      </c>
      <c r="F7" s="118" t="s">
        <v>755</v>
      </c>
      <c r="G7" s="227">
        <v>335</v>
      </c>
      <c r="H7" s="9" t="str">
        <f>IF($F7="부록4",IFERROR(INDEX(③1일작업량DB!$H$6:$H$169,MATCH(SUBSTITUTE($C7&amp;"|"&amp;$D7,"~","~~"),③1일작업량DB!$J$6:$J$169,0)),"-"),"")</f>
        <v>㎥/일</v>
      </c>
      <c r="I7" s="227"/>
      <c r="J7" s="229">
        <f>IF($F7="부록4",IFERROR(INDEX(③1일작업량DB!$G$6:$G$169,MATCH(SUBSTITUTE($C7&amp;"|"&amp;$D7,"~","~~"),③1일작업량DB!$J$6:$J$169,0)),""),$I7)</f>
        <v>349</v>
      </c>
      <c r="K7" s="235">
        <v>1</v>
      </c>
      <c r="L7" s="139">
        <f t="shared" si="0"/>
        <v>1</v>
      </c>
      <c r="M7" s="231">
        <v>0</v>
      </c>
      <c r="N7" s="231">
        <v>0</v>
      </c>
      <c r="O7" s="142">
        <f t="shared" si="1"/>
        <v>1</v>
      </c>
    </row>
    <row r="8" spans="1:18" ht="16" customHeight="1">
      <c r="B8" s="63">
        <v>3</v>
      </c>
      <c r="C8" s="114" t="s">
        <v>231</v>
      </c>
      <c r="D8" s="117" t="s">
        <v>950</v>
      </c>
      <c r="E8" s="140" t="s">
        <v>1060</v>
      </c>
      <c r="F8" s="118" t="s">
        <v>755</v>
      </c>
      <c r="G8" s="227">
        <v>10</v>
      </c>
      <c r="H8" s="9" t="str">
        <f>IF($F8="부록4",IFERROR(INDEX(③1일작업량DB!$H$6:$H$169,MATCH(SUBSTITUTE($C8&amp;"|"&amp;$D8,"~","~~"),③1일작업량DB!$J$6:$J$169,0)),"-"),"")</f>
        <v>㎥/일</v>
      </c>
      <c r="I8" s="227"/>
      <c r="J8" s="229">
        <f>IF($F8="부록4",IFERROR(INDEX(③1일작업량DB!$G$6:$G$169,MATCH(SUBSTITUTE($C8&amp;"|"&amp;$D8,"~","~~"),③1일작업량DB!$J$6:$J$169,0)),""),$I8)</f>
        <v>349</v>
      </c>
      <c r="K8" s="235">
        <v>1</v>
      </c>
      <c r="L8" s="139">
        <f t="shared" si="0"/>
        <v>0.1</v>
      </c>
      <c r="M8" s="231">
        <v>0</v>
      </c>
      <c r="N8" s="231">
        <v>0</v>
      </c>
      <c r="O8" s="142">
        <f t="shared" si="1"/>
        <v>0.1</v>
      </c>
    </row>
    <row r="9" spans="1:18" ht="16" customHeight="1">
      <c r="B9" s="63">
        <v>4</v>
      </c>
      <c r="C9" s="114" t="s">
        <v>231</v>
      </c>
      <c r="D9" s="119" t="s">
        <v>953</v>
      </c>
      <c r="E9" s="140" t="s">
        <v>1061</v>
      </c>
      <c r="F9" s="118" t="s">
        <v>755</v>
      </c>
      <c r="G9" s="227">
        <v>6.5</v>
      </c>
      <c r="H9" s="9" t="str">
        <f>IF($F9="부록4",IFERROR(INDEX(③1일작업량DB!$H$6:$H$169,MATCH(SUBSTITUTE($C9&amp;"|"&amp;$D9,"~","~~"),③1일작업량DB!$J$6:$J$169,0)),"-"),"")</f>
        <v>㎥/일</v>
      </c>
      <c r="I9" s="227"/>
      <c r="J9" s="229">
        <f>IF($F9="부록4",IFERROR(INDEX(③1일작업량DB!$G$6:$G$169,MATCH(SUBSTITUTE($C9&amp;"|"&amp;$D9,"~","~~"),③1일작업량DB!$J$6:$J$169,0)),""),$I9)</f>
        <v>1118</v>
      </c>
      <c r="K9" s="235">
        <v>1</v>
      </c>
      <c r="L9" s="139">
        <f t="shared" si="0"/>
        <v>0.1</v>
      </c>
      <c r="M9" s="231">
        <v>0</v>
      </c>
      <c r="N9" s="231">
        <v>0</v>
      </c>
      <c r="O9" s="142">
        <f t="shared" si="1"/>
        <v>0.1</v>
      </c>
    </row>
    <row r="10" spans="1:18" ht="16" customHeight="1">
      <c r="B10" s="63">
        <v>5</v>
      </c>
      <c r="C10" s="114" t="s">
        <v>231</v>
      </c>
      <c r="D10" s="119" t="s">
        <v>257</v>
      </c>
      <c r="E10" s="140" t="s">
        <v>955</v>
      </c>
      <c r="F10" s="118" t="s">
        <v>755</v>
      </c>
      <c r="G10" s="227">
        <v>136.30000000000001</v>
      </c>
      <c r="H10" s="9" t="str">
        <f>IF($F10="부록4",IFERROR(INDEX(③1일작업량DB!$H$6:$H$169,MATCH(SUBSTITUTE($C10&amp;"|"&amp;$D10,"~","~~"),③1일작업량DB!$J$6:$J$169,0)),"-"),"")</f>
        <v>㎥/일</v>
      </c>
      <c r="I10" s="227"/>
      <c r="J10" s="229">
        <f>IF($F10="부록4",IFERROR(INDEX(③1일작업량DB!$G$6:$G$169,MATCH(SUBSTITUTE($C10&amp;"|"&amp;$D10,"~","~~"),③1일작업량DB!$J$6:$J$169,0)),""),$I10)</f>
        <v>42</v>
      </c>
      <c r="K10" s="235">
        <v>2</v>
      </c>
      <c r="L10" s="139">
        <f t="shared" si="0"/>
        <v>1.7000000000000002</v>
      </c>
      <c r="M10" s="231">
        <v>0</v>
      </c>
      <c r="N10" s="231">
        <v>0</v>
      </c>
      <c r="O10" s="142">
        <f t="shared" si="1"/>
        <v>1.7000000000000002</v>
      </c>
    </row>
    <row r="11" spans="1:18" ht="16" customHeight="1">
      <c r="B11" s="63">
        <v>6</v>
      </c>
      <c r="C11" s="114" t="s">
        <v>231</v>
      </c>
      <c r="D11" s="114" t="s">
        <v>831</v>
      </c>
      <c r="E11" s="208" t="s">
        <v>1062</v>
      </c>
      <c r="F11" s="118" t="s">
        <v>755</v>
      </c>
      <c r="G11" s="227">
        <v>13.8</v>
      </c>
      <c r="H11" s="9" t="str">
        <f>IF($F11="부록4",IFERROR(INDEX(③1일작업량DB!$H$6:$H$169,MATCH(SUBSTITUTE($C11&amp;"|"&amp;$D11,"~","~~"),③1일작업량DB!$J$6:$J$169,0)),"-"),"")</f>
        <v>㎡/일</v>
      </c>
      <c r="I11" s="227"/>
      <c r="J11" s="229">
        <f>IF($F11="부록4",IFERROR(INDEX(③1일작업량DB!$G$6:$G$169,MATCH(SUBSTITUTE($C11&amp;"|"&amp;$D11,"~","~~"),③1일작업량DB!$J$6:$J$169,0)),""),$I11)</f>
        <v>500</v>
      </c>
      <c r="K11" s="235">
        <v>1</v>
      </c>
      <c r="L11" s="139">
        <f t="shared" si="0"/>
        <v>0.1</v>
      </c>
      <c r="M11" s="231">
        <v>0</v>
      </c>
      <c r="N11" s="231">
        <v>0</v>
      </c>
      <c r="O11" s="142">
        <f t="shared" si="1"/>
        <v>0.1</v>
      </c>
    </row>
    <row r="12" spans="1:18" ht="16" customHeight="1">
      <c r="B12" s="63">
        <v>7</v>
      </c>
      <c r="C12" s="114" t="s">
        <v>231</v>
      </c>
      <c r="D12" s="117" t="s">
        <v>831</v>
      </c>
      <c r="E12" s="209" t="s">
        <v>1063</v>
      </c>
      <c r="F12" s="118" t="s">
        <v>755</v>
      </c>
      <c r="G12" s="227">
        <v>185.7</v>
      </c>
      <c r="H12" s="9" t="str">
        <f>IF($F12="부록4",IFERROR(INDEX(③1일작업량DB!$H$6:$H$169,MATCH(SUBSTITUTE($C12&amp;"|"&amp;$D12,"~","~~"),③1일작업량DB!$J$6:$J$169,0)),"-"),"")</f>
        <v>㎡/일</v>
      </c>
      <c r="I12" s="227"/>
      <c r="J12" s="229">
        <f>IF($F12="부록4",IFERROR(INDEX(③1일작업량DB!$G$6:$G$169,MATCH(SUBSTITUTE($C12&amp;"|"&amp;$D12,"~","~~"),③1일작업량DB!$J$6:$J$169,0)),""),$I12)</f>
        <v>500</v>
      </c>
      <c r="K12" s="235">
        <v>1</v>
      </c>
      <c r="L12" s="139">
        <f t="shared" si="0"/>
        <v>0.4</v>
      </c>
      <c r="M12" s="231">
        <v>0</v>
      </c>
      <c r="N12" s="231">
        <v>0</v>
      </c>
      <c r="O12" s="142">
        <f t="shared" si="1"/>
        <v>0.4</v>
      </c>
    </row>
    <row r="13" spans="1:18" ht="16" customHeight="1">
      <c r="B13" s="63">
        <v>8</v>
      </c>
      <c r="C13" s="114" t="s">
        <v>231</v>
      </c>
      <c r="D13" s="119" t="s">
        <v>834</v>
      </c>
      <c r="E13" s="208" t="s">
        <v>1064</v>
      </c>
      <c r="F13" s="118" t="s">
        <v>755</v>
      </c>
      <c r="G13" s="227">
        <v>22.25</v>
      </c>
      <c r="H13" s="9" t="str">
        <f>IF($F13="부록4",IFERROR(INDEX(③1일작업량DB!$H$6:$H$169,MATCH(SUBSTITUTE($C13&amp;"|"&amp;$D13,"~","~~"),③1일작업량DB!$J$6:$J$169,0)),"-"),"")</f>
        <v>㎡/일</v>
      </c>
      <c r="I13" s="227"/>
      <c r="J13" s="229">
        <f>IF($F13="부록4",IFERROR(INDEX(③1일작업량DB!$G$6:$G$169,MATCH(SUBSTITUTE($C13&amp;"|"&amp;$D13,"~","~~"),③1일작업량DB!$J$6:$J$169,0)),""),$I13)</f>
        <v>100</v>
      </c>
      <c r="K13" s="235">
        <v>1</v>
      </c>
      <c r="L13" s="139">
        <f t="shared" si="0"/>
        <v>0.30000000000000004</v>
      </c>
      <c r="M13" s="231">
        <v>0</v>
      </c>
      <c r="N13" s="231">
        <v>0</v>
      </c>
      <c r="O13" s="142">
        <f t="shared" si="1"/>
        <v>0.30000000000000004</v>
      </c>
    </row>
    <row r="14" spans="1:18" ht="16" customHeight="1">
      <c r="B14" s="63">
        <v>9</v>
      </c>
      <c r="C14" s="114" t="s">
        <v>231</v>
      </c>
      <c r="D14" s="119" t="s">
        <v>829</v>
      </c>
      <c r="E14" s="209" t="s">
        <v>1065</v>
      </c>
      <c r="F14" s="118" t="s">
        <v>755</v>
      </c>
      <c r="G14" s="227">
        <v>255.81</v>
      </c>
      <c r="H14" s="9" t="str">
        <f>IF($F14="부록4",IFERROR(INDEX(③1일작업량DB!$H$6:$H$169,MATCH(SUBSTITUTE($C14&amp;"|"&amp;$D14,"~","~~"),③1일작업량DB!$J$6:$J$169,0)),"-"),"")</f>
        <v>㎥/일</v>
      </c>
      <c r="I14" s="227"/>
      <c r="J14" s="229">
        <f>IF($F14="부록4",IFERROR(INDEX(③1일작업량DB!$G$6:$G$169,MATCH(SUBSTITUTE($C14&amp;"|"&amp;$D14,"~","~~"),③1일작업량DB!$J$6:$J$169,0)),""),$I14)</f>
        <v>500</v>
      </c>
      <c r="K14" s="235">
        <v>1</v>
      </c>
      <c r="L14" s="139">
        <f t="shared" si="0"/>
        <v>0.6</v>
      </c>
      <c r="M14" s="231">
        <v>0</v>
      </c>
      <c r="N14" s="231">
        <v>0</v>
      </c>
      <c r="O14" s="142">
        <f t="shared" si="1"/>
        <v>0.6</v>
      </c>
    </row>
    <row r="15" spans="1:18" ht="16" customHeight="1">
      <c r="B15" s="63">
        <v>10</v>
      </c>
      <c r="C15" s="114" t="s">
        <v>231</v>
      </c>
      <c r="D15" s="119" t="s">
        <v>950</v>
      </c>
      <c r="E15" s="209" t="s">
        <v>1066</v>
      </c>
      <c r="F15" s="118" t="s">
        <v>755</v>
      </c>
      <c r="G15" s="227">
        <v>110.3</v>
      </c>
      <c r="H15" s="9" t="str">
        <f>IF($F15="부록4",IFERROR(INDEX(③1일작업량DB!$H$6:$H$169,MATCH(SUBSTITUTE($C15&amp;"|"&amp;$D15,"~","~~"),③1일작업량DB!$J$6:$J$169,0)),"-"),"")</f>
        <v>㎥/일</v>
      </c>
      <c r="I15" s="227"/>
      <c r="J15" s="229">
        <f>IF($F15="부록4",IFERROR(INDEX(③1일작업량DB!$G$6:$G$169,MATCH(SUBSTITUTE($C15&amp;"|"&amp;$D15,"~","~~"),③1일작업량DB!$J$6:$J$169,0)),""),$I15)</f>
        <v>349</v>
      </c>
      <c r="K15" s="235">
        <v>1</v>
      </c>
      <c r="L15" s="139">
        <f t="shared" si="0"/>
        <v>0.4</v>
      </c>
      <c r="M15" s="231">
        <v>0</v>
      </c>
      <c r="N15" s="231">
        <v>0</v>
      </c>
      <c r="O15" s="142">
        <f t="shared" si="1"/>
        <v>0.4</v>
      </c>
    </row>
    <row r="16" spans="1:18" ht="16" customHeight="1">
      <c r="B16" s="63">
        <v>11</v>
      </c>
      <c r="C16" s="114" t="s">
        <v>231</v>
      </c>
      <c r="D16" s="117" t="s">
        <v>257</v>
      </c>
      <c r="E16" s="140" t="s">
        <v>1067</v>
      </c>
      <c r="F16" s="118" t="s">
        <v>755</v>
      </c>
      <c r="G16" s="227">
        <v>33.700000000000003</v>
      </c>
      <c r="H16" s="9" t="str">
        <f>IF($F16="부록4",IFERROR(INDEX(③1일작업량DB!$H$6:$H$169,MATCH(SUBSTITUTE($C16&amp;"|"&amp;$D16,"~","~~"),③1일작업량DB!$J$6:$J$169,0)),"-"),"")</f>
        <v>㎥/일</v>
      </c>
      <c r="I16" s="227"/>
      <c r="J16" s="229">
        <f>IF($F16="부록4",IFERROR(INDEX(③1일작업량DB!$G$6:$G$169,MATCH(SUBSTITUTE($C16&amp;"|"&amp;$D16,"~","~~"),③1일작업량DB!$J$6:$J$169,0)),""),$I16)</f>
        <v>42</v>
      </c>
      <c r="K16" s="235">
        <v>1</v>
      </c>
      <c r="L16" s="139">
        <f t="shared" si="0"/>
        <v>0.9</v>
      </c>
      <c r="M16" s="231">
        <v>0</v>
      </c>
      <c r="N16" s="231">
        <v>0</v>
      </c>
      <c r="O16" s="142">
        <f t="shared" si="1"/>
        <v>0.9</v>
      </c>
    </row>
    <row r="17" spans="2:15" ht="16" customHeight="1">
      <c r="B17" s="145"/>
      <c r="C17" s="443" t="s">
        <v>1068</v>
      </c>
      <c r="D17" s="166"/>
      <c r="E17" s="167"/>
      <c r="F17" s="159"/>
      <c r="G17" s="160"/>
      <c r="H17" s="145"/>
      <c r="I17" s="161"/>
      <c r="J17" s="162"/>
      <c r="K17" s="163"/>
      <c r="L17" s="164"/>
      <c r="M17" s="163"/>
      <c r="N17" s="163"/>
      <c r="O17" s="165">
        <f>SUM(O18:O35)</f>
        <v>32.1</v>
      </c>
    </row>
    <row r="18" spans="2:15" ht="16" customHeight="1">
      <c r="B18" s="63">
        <v>12</v>
      </c>
      <c r="C18" s="114" t="s">
        <v>361</v>
      </c>
      <c r="D18" s="117" t="s">
        <v>362</v>
      </c>
      <c r="E18" s="140" t="s">
        <v>1069</v>
      </c>
      <c r="F18" s="118" t="s">
        <v>755</v>
      </c>
      <c r="G18" s="227">
        <v>13.032999999999999</v>
      </c>
      <c r="H18" s="9" t="str">
        <f>IF($F18="부록4",IFERROR(INDEX(③1일작업량DB!$H$6:$H$169,MATCH(SUBSTITUTE($C18&amp;"|"&amp;$D18,"~","~~"),③1일작업량DB!$J$6:$J$169,0)),"-"),"")</f>
        <v>ton/일</v>
      </c>
      <c r="I18" s="227"/>
      <c r="J18" s="229">
        <f>IF($F18="부록4",IFERROR(INDEX(③1일작업량DB!$G$6:$G$169,MATCH(SUBSTITUTE($C18&amp;"|"&amp;$D18,"~","~~"),③1일작업량DB!$J$6:$J$169,0)),""),$I18)</f>
        <v>4</v>
      </c>
      <c r="K18" s="235">
        <v>2</v>
      </c>
      <c r="L18" s="139">
        <f t="shared" ref="L18:L35" si="2">IFERROR(IF(AND($G18&gt;0,$J18&gt;0,$K18&gt;0),ROUNDUP($G18/($J18*$K18),1),0),0)</f>
        <v>1.7000000000000002</v>
      </c>
      <c r="M18" s="231">
        <v>0</v>
      </c>
      <c r="N18" s="231">
        <v>0</v>
      </c>
      <c r="O18" s="142">
        <f t="shared" ref="O18:O35" si="3">$L18+$M18+$N18</f>
        <v>1.7000000000000002</v>
      </c>
    </row>
    <row r="19" spans="2:15" ht="16" customHeight="1">
      <c r="B19" s="63">
        <v>13</v>
      </c>
      <c r="C19" s="114" t="s">
        <v>361</v>
      </c>
      <c r="D19" s="117" t="s">
        <v>962</v>
      </c>
      <c r="E19" s="140" t="s">
        <v>963</v>
      </c>
      <c r="F19" s="118" t="s">
        <v>755</v>
      </c>
      <c r="G19" s="227">
        <v>13.032999999999999</v>
      </c>
      <c r="H19" s="9" t="str">
        <f>IF($F19="부록4",IFERROR(INDEX(③1일작업량DB!$H$6:$H$169,MATCH(SUBSTITUTE($C19&amp;"|"&amp;$D19,"~","~~"),③1일작업량DB!$J$6:$J$169,0)),"-"),"")</f>
        <v>ton/일</v>
      </c>
      <c r="I19" s="227"/>
      <c r="J19" s="229">
        <f>IF($F19="부록4",IFERROR(INDEX(③1일작업량DB!$G$6:$G$169,MATCH(SUBSTITUTE($C19&amp;"|"&amp;$D19,"~","~~"),③1일작업량DB!$J$6:$J$169,0)),""),$I19)</f>
        <v>2.5</v>
      </c>
      <c r="K19" s="235">
        <v>2</v>
      </c>
      <c r="L19" s="139">
        <f t="shared" si="2"/>
        <v>2.7</v>
      </c>
      <c r="M19" s="231">
        <v>0</v>
      </c>
      <c r="N19" s="231">
        <v>0</v>
      </c>
      <c r="O19" s="142">
        <f t="shared" si="3"/>
        <v>2.7</v>
      </c>
    </row>
    <row r="20" spans="2:15" ht="16" customHeight="1">
      <c r="B20" s="63">
        <v>14</v>
      </c>
      <c r="C20" s="114" t="s">
        <v>361</v>
      </c>
      <c r="D20" s="117" t="s">
        <v>759</v>
      </c>
      <c r="E20" s="140" t="s">
        <v>1070</v>
      </c>
      <c r="F20" s="118" t="s">
        <v>755</v>
      </c>
      <c r="G20" s="227">
        <v>329.27499999999998</v>
      </c>
      <c r="H20" s="9" t="str">
        <f>IF($F20="부록4",IFERROR(INDEX(③1일작업량DB!$H$6:$H$169,MATCH(SUBSTITUTE($C20&amp;"|"&amp;$D20,"~","~~"),③1일작업량DB!$J$6:$J$169,0)),"-"),"")</f>
        <v>㎡/일</v>
      </c>
      <c r="I20" s="227"/>
      <c r="J20" s="229">
        <f>IF($F20="부록4",IFERROR(INDEX(③1일작업량DB!$G$6:$G$169,MATCH(SUBSTITUTE($C20&amp;"|"&amp;$D20,"~","~~"),③1일작업량DB!$J$6:$J$169,0)),""),$I20)</f>
        <v>50</v>
      </c>
      <c r="K20" s="235">
        <v>2</v>
      </c>
      <c r="L20" s="139">
        <f t="shared" si="2"/>
        <v>3.3000000000000003</v>
      </c>
      <c r="M20" s="231">
        <v>0</v>
      </c>
      <c r="N20" s="231">
        <v>0</v>
      </c>
      <c r="O20" s="142">
        <f t="shared" si="3"/>
        <v>3.3000000000000003</v>
      </c>
    </row>
    <row r="21" spans="2:15" ht="16" customHeight="1">
      <c r="B21" s="63">
        <v>15</v>
      </c>
      <c r="C21" s="114" t="s">
        <v>361</v>
      </c>
      <c r="D21" s="117" t="s">
        <v>377</v>
      </c>
      <c r="E21" s="140" t="s">
        <v>964</v>
      </c>
      <c r="F21" s="118" t="s">
        <v>755</v>
      </c>
      <c r="G21" s="227">
        <v>329.27499999999998</v>
      </c>
      <c r="H21" s="9" t="str">
        <f>IF($F21="부록4",IFERROR(INDEX(③1일작업량DB!$H$6:$H$169,MATCH(SUBSTITUTE($C21&amp;"|"&amp;$D21,"~","~~"),③1일작업량DB!$J$6:$J$169,0)),"-"),"")</f>
        <v>㎡/일</v>
      </c>
      <c r="I21" s="227"/>
      <c r="J21" s="229">
        <f>IF($F21="부록4",IFERROR(INDEX(③1일작업량DB!$G$6:$G$169,MATCH(SUBSTITUTE($C21&amp;"|"&amp;$D21,"~","~~"),③1일작업량DB!$J$6:$J$169,0)),""),$I21)</f>
        <v>115</v>
      </c>
      <c r="K21" s="235">
        <v>1</v>
      </c>
      <c r="L21" s="139">
        <f t="shared" si="2"/>
        <v>2.9</v>
      </c>
      <c r="M21" s="231">
        <v>0</v>
      </c>
      <c r="N21" s="231">
        <v>0</v>
      </c>
      <c r="O21" s="142">
        <f t="shared" si="3"/>
        <v>2.9</v>
      </c>
    </row>
    <row r="22" spans="2:15" ht="16" customHeight="1">
      <c r="B22" s="63">
        <v>16</v>
      </c>
      <c r="C22" s="114" t="s">
        <v>361</v>
      </c>
      <c r="D22" s="117" t="s">
        <v>758</v>
      </c>
      <c r="E22" s="140" t="s">
        <v>1071</v>
      </c>
      <c r="F22" s="118" t="s">
        <v>755</v>
      </c>
      <c r="G22" s="227">
        <v>3.68</v>
      </c>
      <c r="H22" s="9" t="str">
        <f>IF($F22="부록4",IFERROR(INDEX(③1일작업량DB!$H$6:$H$169,MATCH(SUBSTITUTE($C22&amp;"|"&amp;$D22,"~","~~"),③1일작업량DB!$J$6:$J$169,0)),"-"),"")</f>
        <v>㎡/일</v>
      </c>
      <c r="I22" s="227"/>
      <c r="J22" s="229">
        <f>IF($F22="부록4",IFERROR(INDEX(③1일작업량DB!$G$6:$G$169,MATCH(SUBSTITUTE($C22&amp;"|"&amp;$D22,"~","~~"),③1일작업량DB!$J$6:$J$169,0)),""),$I22)</f>
        <v>60</v>
      </c>
      <c r="K22" s="235">
        <v>1</v>
      </c>
      <c r="L22" s="139">
        <f t="shared" si="2"/>
        <v>0.1</v>
      </c>
      <c r="M22" s="231">
        <v>0</v>
      </c>
      <c r="N22" s="231">
        <v>0</v>
      </c>
      <c r="O22" s="142">
        <f t="shared" si="3"/>
        <v>0.1</v>
      </c>
    </row>
    <row r="23" spans="2:15" ht="16" customHeight="1">
      <c r="B23" s="63">
        <v>17</v>
      </c>
      <c r="C23" s="114" t="s">
        <v>361</v>
      </c>
      <c r="D23" s="117" t="s">
        <v>780</v>
      </c>
      <c r="E23" s="140" t="s">
        <v>1072</v>
      </c>
      <c r="F23" s="118" t="s">
        <v>755</v>
      </c>
      <c r="G23" s="227">
        <v>17.75</v>
      </c>
      <c r="H23" s="9" t="str">
        <f>IF($F23="부록4",IFERROR(INDEX(③1일작업량DB!$H$6:$H$169,MATCH(SUBSTITUTE($C23&amp;"|"&amp;$D23,"~","~~"),③1일작업량DB!$J$6:$J$169,0)),"-"),"")</f>
        <v>㎡/일</v>
      </c>
      <c r="I23" s="227"/>
      <c r="J23" s="229">
        <f>IF($F23="부록4",IFERROR(INDEX(③1일작업량DB!$G$6:$G$169,MATCH(SUBSTITUTE($C23&amp;"|"&amp;$D23,"~","~~"),③1일작업량DB!$J$6:$J$169,0)),""),$I23)</f>
        <v>40</v>
      </c>
      <c r="K23" s="235">
        <v>1</v>
      </c>
      <c r="L23" s="139">
        <f t="shared" si="2"/>
        <v>0.5</v>
      </c>
      <c r="M23" s="231">
        <v>0</v>
      </c>
      <c r="N23" s="231">
        <v>0</v>
      </c>
      <c r="O23" s="142">
        <f t="shared" si="3"/>
        <v>0.5</v>
      </c>
    </row>
    <row r="24" spans="2:15" ht="16" customHeight="1">
      <c r="B24" s="63">
        <v>18</v>
      </c>
      <c r="C24" s="114" t="s">
        <v>361</v>
      </c>
      <c r="D24" s="117" t="s">
        <v>374</v>
      </c>
      <c r="E24" s="140" t="s">
        <v>967</v>
      </c>
      <c r="F24" s="118" t="s">
        <v>755</v>
      </c>
      <c r="G24" s="227">
        <v>21.43</v>
      </c>
      <c r="H24" s="9" t="str">
        <f>IF($F24="부록4",IFERROR(INDEX(③1일작업량DB!$H$6:$H$169,MATCH(SUBSTITUTE($C24&amp;"|"&amp;$D24,"~","~~"),③1일작업량DB!$J$6:$J$169,0)),"-"),"")</f>
        <v>㎡/일</v>
      </c>
      <c r="I24" s="227"/>
      <c r="J24" s="229">
        <f>IF($F24="부록4",IFERROR(INDEX(③1일작업량DB!$G$6:$G$169,MATCH(SUBSTITUTE($C24&amp;"|"&amp;$D24,"~","~~"),③1일작업량DB!$J$6:$J$169,0)),""),$I24)</f>
        <v>100</v>
      </c>
      <c r="K24" s="235">
        <v>1</v>
      </c>
      <c r="L24" s="139">
        <f t="shared" si="2"/>
        <v>0.30000000000000004</v>
      </c>
      <c r="M24" s="231">
        <v>0</v>
      </c>
      <c r="N24" s="231">
        <v>0</v>
      </c>
      <c r="O24" s="142">
        <f t="shared" si="3"/>
        <v>0.30000000000000004</v>
      </c>
    </row>
    <row r="25" spans="2:15" ht="16" customHeight="1">
      <c r="B25" s="63">
        <v>19</v>
      </c>
      <c r="C25" s="114" t="s">
        <v>361</v>
      </c>
      <c r="D25" s="117" t="s">
        <v>379</v>
      </c>
      <c r="E25" s="140" t="s">
        <v>1073</v>
      </c>
      <c r="F25" s="118" t="s">
        <v>755</v>
      </c>
      <c r="G25" s="227">
        <v>102.818</v>
      </c>
      <c r="H25" s="9" t="str">
        <f>IF($F25="부록4",IFERROR(INDEX(③1일작업량DB!$H$6:$H$169,MATCH(SUBSTITUTE($C25&amp;"|"&amp;$D25,"~","~~"),③1일작업량DB!$J$6:$J$169,0)),"-"),"")</f>
        <v>㎥/일</v>
      </c>
      <c r="I25" s="227"/>
      <c r="J25" s="229">
        <f>IF($F25="부록4",IFERROR(INDEX(③1일작업량DB!$G$6:$G$169,MATCH(SUBSTITUTE($C25&amp;"|"&amp;$D25,"~","~~"),③1일작업량DB!$J$6:$J$169,0)),""),$I25)</f>
        <v>69</v>
      </c>
      <c r="K25" s="235">
        <v>1</v>
      </c>
      <c r="L25" s="139">
        <f t="shared" si="2"/>
        <v>1.5</v>
      </c>
      <c r="M25" s="231">
        <v>0</v>
      </c>
      <c r="N25" s="231">
        <v>0</v>
      </c>
      <c r="O25" s="142">
        <f t="shared" si="3"/>
        <v>1.5</v>
      </c>
    </row>
    <row r="26" spans="2:15" ht="16" customHeight="1">
      <c r="B26" s="63">
        <v>20</v>
      </c>
      <c r="C26" s="114" t="s">
        <v>331</v>
      </c>
      <c r="D26" s="117" t="s">
        <v>341</v>
      </c>
      <c r="E26" s="140" t="s">
        <v>1074</v>
      </c>
      <c r="F26" s="118" t="s">
        <v>755</v>
      </c>
      <c r="G26" s="227">
        <v>119.86499999999999</v>
      </c>
      <c r="H26" s="9" t="str">
        <f>IF($F26="부록4",IFERROR(INDEX(③1일작업량DB!$H$6:$H$169,MATCH(SUBSTITUTE($C26&amp;"|"&amp;$D26,"~","~~"),③1일작업량DB!$J$6:$J$169,0)),"-"),"")</f>
        <v>㎡/일</v>
      </c>
      <c r="I26" s="227"/>
      <c r="J26" s="229">
        <f>IF($F26="부록4",IFERROR(INDEX(③1일작업량DB!$G$6:$G$169,MATCH(SUBSTITUTE($C26&amp;"|"&amp;$D26,"~","~~"),③1일작업량DB!$J$6:$J$169,0)),""),$I26)</f>
        <v>100</v>
      </c>
      <c r="K26" s="235">
        <v>1</v>
      </c>
      <c r="L26" s="139">
        <f t="shared" si="2"/>
        <v>1.2000000000000002</v>
      </c>
      <c r="M26" s="231">
        <v>0</v>
      </c>
      <c r="N26" s="231">
        <v>0</v>
      </c>
      <c r="O26" s="142">
        <f t="shared" si="3"/>
        <v>1.2000000000000002</v>
      </c>
    </row>
    <row r="27" spans="2:15" ht="16" customHeight="1">
      <c r="B27" s="63">
        <v>21</v>
      </c>
      <c r="C27" s="114" t="s">
        <v>361</v>
      </c>
      <c r="D27" s="117" t="s">
        <v>756</v>
      </c>
      <c r="E27" s="140" t="s">
        <v>1075</v>
      </c>
      <c r="F27" s="118" t="s">
        <v>755</v>
      </c>
      <c r="G27" s="227">
        <v>7.0119999999999996</v>
      </c>
      <c r="H27" s="9" t="str">
        <f>IF($F27="부록4",IFERROR(INDEX(③1일작업량DB!$H$6:$H$169,MATCH(SUBSTITUTE($C27&amp;"|"&amp;$D27,"~","~~"),③1일작업량DB!$J$6:$J$169,0)),"-"),"")</f>
        <v>㎥/일</v>
      </c>
      <c r="I27" s="227"/>
      <c r="J27" s="229">
        <f>IF($F27="부록4",IFERROR(INDEX(③1일작업량DB!$G$6:$G$169,MATCH(SUBSTITUTE($C27&amp;"|"&amp;$D27,"~","~~"),③1일작업량DB!$J$6:$J$169,0)),""),$I27)</f>
        <v>189</v>
      </c>
      <c r="K27" s="235">
        <v>1</v>
      </c>
      <c r="L27" s="139">
        <f t="shared" si="2"/>
        <v>0.1</v>
      </c>
      <c r="M27" s="231">
        <v>1</v>
      </c>
      <c r="N27" s="231">
        <v>0</v>
      </c>
      <c r="O27" s="142">
        <f t="shared" si="3"/>
        <v>1.1000000000000001</v>
      </c>
    </row>
    <row r="28" spans="2:15" ht="16" customHeight="1">
      <c r="B28" s="63">
        <v>22</v>
      </c>
      <c r="C28" s="114" t="s">
        <v>361</v>
      </c>
      <c r="D28" s="117" t="s">
        <v>757</v>
      </c>
      <c r="E28" s="140" t="s">
        <v>1076</v>
      </c>
      <c r="F28" s="118" t="s">
        <v>755</v>
      </c>
      <c r="G28" s="227">
        <v>103.313</v>
      </c>
      <c r="H28" s="9" t="str">
        <f>IF($F28="부록4",IFERROR(INDEX(③1일작업량DB!$H$6:$H$169,MATCH(SUBSTITUTE($C28&amp;"|"&amp;$D28,"~","~~"),③1일작업량DB!$J$6:$J$169,0)),"-"),"")</f>
        <v>㎥/일</v>
      </c>
      <c r="I28" s="227"/>
      <c r="J28" s="229">
        <f>IF($F28="부록4",IFERROR(INDEX(③1일작업량DB!$G$6:$G$169,MATCH(SUBSTITUTE($C28&amp;"|"&amp;$D28,"~","~~"),③1일작업량DB!$J$6:$J$169,0)),""),$I28)</f>
        <v>130</v>
      </c>
      <c r="K28" s="235">
        <v>1</v>
      </c>
      <c r="L28" s="139">
        <f t="shared" si="2"/>
        <v>0.79999999999999993</v>
      </c>
      <c r="M28" s="231">
        <v>3</v>
      </c>
      <c r="N28" s="231">
        <v>2</v>
      </c>
      <c r="O28" s="142">
        <f t="shared" si="3"/>
        <v>5.8</v>
      </c>
    </row>
    <row r="29" spans="2:15" ht="16" customHeight="1">
      <c r="B29" s="63">
        <v>23</v>
      </c>
      <c r="C29" s="114" t="s">
        <v>836</v>
      </c>
      <c r="D29" s="117" t="s">
        <v>837</v>
      </c>
      <c r="E29" s="140" t="s">
        <v>838</v>
      </c>
      <c r="F29" s="118" t="s">
        <v>755</v>
      </c>
      <c r="G29" s="227">
        <v>20.41</v>
      </c>
      <c r="H29" s="9" t="str">
        <f>IF($F29="부록4",IFERROR(INDEX(③1일작업량DB!$H$6:$H$169,MATCH(SUBSTITUTE($C29&amp;"|"&amp;$D29,"~","~~"),③1일작업량DB!$J$6:$J$169,0)),"-"),"")</f>
        <v>㎡/일</v>
      </c>
      <c r="I29" s="227"/>
      <c r="J29" s="229">
        <f>IF($F29="부록4",IFERROR(INDEX(③1일작업량DB!$G$6:$G$169,MATCH(SUBSTITUTE($C29&amp;"|"&amp;$D29,"~","~~"),③1일작업량DB!$J$6:$J$169,0)),""),$I29)</f>
        <v>30</v>
      </c>
      <c r="K29" s="235">
        <v>1</v>
      </c>
      <c r="L29" s="139">
        <f t="shared" si="2"/>
        <v>0.7</v>
      </c>
      <c r="M29" s="231">
        <v>0</v>
      </c>
      <c r="N29" s="231">
        <v>0</v>
      </c>
      <c r="O29" s="142">
        <f t="shared" si="3"/>
        <v>0.7</v>
      </c>
    </row>
    <row r="30" spans="2:15" ht="16" customHeight="1">
      <c r="B30" s="63">
        <v>24</v>
      </c>
      <c r="C30" s="114" t="s">
        <v>836</v>
      </c>
      <c r="D30" s="117" t="s">
        <v>839</v>
      </c>
      <c r="E30" s="140" t="s">
        <v>1077</v>
      </c>
      <c r="F30" s="118" t="s">
        <v>755</v>
      </c>
      <c r="G30" s="227">
        <v>42.95</v>
      </c>
      <c r="H30" s="9" t="str">
        <f>IF($F30="부록4",IFERROR(INDEX(③1일작업량DB!$H$6:$H$169,MATCH(SUBSTITUTE($C30&amp;"|"&amp;$D30,"~","~~"),③1일작업량DB!$J$6:$J$169,0)),"-"),"")</f>
        <v>m/일</v>
      </c>
      <c r="I30" s="227"/>
      <c r="J30" s="229">
        <f>IF($F30="부록4",IFERROR(INDEX(③1일작업량DB!$G$6:$G$169,MATCH(SUBSTITUTE($C30&amp;"|"&amp;$D30,"~","~~"),③1일작업량DB!$J$6:$J$169,0)),""),$I30)</f>
        <v>40</v>
      </c>
      <c r="K30" s="235">
        <v>1</v>
      </c>
      <c r="L30" s="139">
        <f t="shared" si="2"/>
        <v>1.1000000000000001</v>
      </c>
      <c r="M30" s="231">
        <v>0</v>
      </c>
      <c r="N30" s="231">
        <v>0</v>
      </c>
      <c r="O30" s="142">
        <f t="shared" si="3"/>
        <v>1.1000000000000001</v>
      </c>
    </row>
    <row r="31" spans="2:15" ht="16" customHeight="1">
      <c r="B31" s="63">
        <v>25</v>
      </c>
      <c r="C31" s="114" t="s">
        <v>388</v>
      </c>
      <c r="D31" s="117" t="s">
        <v>397</v>
      </c>
      <c r="E31" s="140" t="s">
        <v>1078</v>
      </c>
      <c r="F31" s="118" t="s">
        <v>755</v>
      </c>
      <c r="G31" s="227">
        <v>199.13</v>
      </c>
      <c r="H31" s="9" t="str">
        <f>IF($F31="부록4",IFERROR(INDEX(③1일작업량DB!$H$6:$H$169,MATCH(SUBSTITUTE($C31&amp;"|"&amp;$D31,"~","~~"),③1일작업량DB!$J$6:$J$169,0)),"-"),"")</f>
        <v>㎡/일</v>
      </c>
      <c r="I31" s="227"/>
      <c r="J31" s="229">
        <f>IF($F31="부록4",IFERROR(INDEX(③1일작업량DB!$G$6:$G$169,MATCH(SUBSTITUTE($C31&amp;"|"&amp;$D31,"~","~~"),③1일작업량DB!$J$6:$J$169,0)),""),$I31)</f>
        <v>200</v>
      </c>
      <c r="K31" s="235">
        <v>1</v>
      </c>
      <c r="L31" s="139">
        <f t="shared" si="2"/>
        <v>1</v>
      </c>
      <c r="M31" s="231">
        <v>0</v>
      </c>
      <c r="N31" s="231">
        <v>0</v>
      </c>
      <c r="O31" s="142">
        <f t="shared" si="3"/>
        <v>1</v>
      </c>
    </row>
    <row r="32" spans="2:15" ht="16" customHeight="1">
      <c r="B32" s="63">
        <v>26</v>
      </c>
      <c r="C32" s="114" t="s">
        <v>388</v>
      </c>
      <c r="D32" s="117" t="s">
        <v>399</v>
      </c>
      <c r="E32" s="140" t="s">
        <v>1079</v>
      </c>
      <c r="F32" s="118" t="s">
        <v>755</v>
      </c>
      <c r="G32" s="227">
        <v>142.315</v>
      </c>
      <c r="H32" s="9" t="str">
        <f>IF($F32="부록4",IFERROR(INDEX(③1일작업량DB!$H$6:$H$169,MATCH(SUBSTITUTE($C32&amp;"|"&amp;$D32,"~","~~"),③1일작업량DB!$J$6:$J$169,0)),"-"),"")</f>
        <v>㎡/일</v>
      </c>
      <c r="I32" s="227"/>
      <c r="J32" s="229">
        <f>IF($F32="부록4",IFERROR(INDEX(③1일작업량DB!$G$6:$G$169,MATCH(SUBSTITUTE($C32&amp;"|"&amp;$D32,"~","~~"),③1일작업량DB!$J$6:$J$169,0)),""),$I32)</f>
        <v>88</v>
      </c>
      <c r="K32" s="235">
        <v>1</v>
      </c>
      <c r="L32" s="139">
        <f t="shared" si="2"/>
        <v>1.7000000000000002</v>
      </c>
      <c r="M32" s="231">
        <v>0</v>
      </c>
      <c r="N32" s="231">
        <v>0</v>
      </c>
      <c r="O32" s="142">
        <f t="shared" si="3"/>
        <v>1.7000000000000002</v>
      </c>
    </row>
    <row r="33" spans="2:15" ht="16" customHeight="1">
      <c r="B33" s="63">
        <v>27</v>
      </c>
      <c r="C33" s="114" t="s">
        <v>836</v>
      </c>
      <c r="D33" s="117" t="s">
        <v>846</v>
      </c>
      <c r="E33" s="140" t="s">
        <v>1080</v>
      </c>
      <c r="F33" s="118" t="s">
        <v>755</v>
      </c>
      <c r="G33" s="227">
        <v>6</v>
      </c>
      <c r="H33" s="9" t="str">
        <f>IF($F33="부록4",IFERROR(INDEX(③1일작업량DB!$H$6:$H$169,MATCH(SUBSTITUTE($C33&amp;"|"&amp;$D33,"~","~~"),③1일작업량DB!$J$6:$J$169,0)),"-"),"")</f>
        <v>EA/일</v>
      </c>
      <c r="I33" s="227"/>
      <c r="J33" s="229">
        <f>IF($F33="부록4",IFERROR(INDEX(③1일작업량DB!$G$6:$G$169,MATCH(SUBSTITUTE($C33&amp;"|"&amp;$D33,"~","~~"),③1일작업량DB!$J$6:$J$169,0)),""),$I33)</f>
        <v>4</v>
      </c>
      <c r="K33" s="235">
        <v>1</v>
      </c>
      <c r="L33" s="139">
        <f t="shared" si="2"/>
        <v>1.5</v>
      </c>
      <c r="M33" s="231">
        <v>0</v>
      </c>
      <c r="N33" s="231">
        <v>0</v>
      </c>
      <c r="O33" s="142">
        <f t="shared" si="3"/>
        <v>1.5</v>
      </c>
    </row>
    <row r="34" spans="2:15" ht="16" customHeight="1">
      <c r="B34" s="63">
        <v>28</v>
      </c>
      <c r="C34" s="114" t="s">
        <v>836</v>
      </c>
      <c r="D34" s="117" t="s">
        <v>844</v>
      </c>
      <c r="E34" s="140" t="s">
        <v>1081</v>
      </c>
      <c r="F34" s="118" t="s">
        <v>755</v>
      </c>
      <c r="G34" s="227">
        <v>18.350000000000001</v>
      </c>
      <c r="H34" s="9" t="str">
        <f>IF($F34="부록4",IFERROR(INDEX(③1일작업량DB!$H$6:$H$169,MATCH(SUBSTITUTE($C34&amp;"|"&amp;$D34,"~","~~"),③1일작업량DB!$J$6:$J$169,0)),"-"),"")</f>
        <v>m/일</v>
      </c>
      <c r="I34" s="227"/>
      <c r="J34" s="229">
        <f>IF($F34="부록4",IFERROR(INDEX(③1일작업량DB!$G$6:$G$169,MATCH(SUBSTITUTE($C34&amp;"|"&amp;$D34,"~","~~"),③1일작업량DB!$J$6:$J$169,0)),""),$I34)</f>
        <v>12</v>
      </c>
      <c r="K34" s="235">
        <v>1</v>
      </c>
      <c r="L34" s="139">
        <f t="shared" si="2"/>
        <v>1.6</v>
      </c>
      <c r="M34" s="231">
        <v>0</v>
      </c>
      <c r="N34" s="231">
        <v>0</v>
      </c>
      <c r="O34" s="142">
        <f t="shared" si="3"/>
        <v>1.6</v>
      </c>
    </row>
    <row r="35" spans="2:15" ht="16" customHeight="1">
      <c r="B35" s="63">
        <v>29</v>
      </c>
      <c r="C35" s="114" t="s">
        <v>403</v>
      </c>
      <c r="D35" s="117" t="s">
        <v>915</v>
      </c>
      <c r="E35" s="140" t="s">
        <v>1082</v>
      </c>
      <c r="F35" s="118" t="s">
        <v>755</v>
      </c>
      <c r="G35" s="227">
        <v>40</v>
      </c>
      <c r="H35" s="9" t="str">
        <f>IF($F35="부록4",IFERROR(INDEX(③1일작업량DB!$H$6:$H$169,MATCH(SUBSTITUTE($C35&amp;"|"&amp;$D35,"~","~~"),③1일작업량DB!$J$6:$J$169,0)),"-"),"")</f>
        <v>개소/일</v>
      </c>
      <c r="I35" s="227"/>
      <c r="J35" s="229">
        <f>IF($F35="부록4",IFERROR(INDEX(③1일작업량DB!$G$6:$G$169,MATCH(SUBSTITUTE($C35&amp;"|"&amp;$D35,"~","~~"),③1일작업량DB!$J$6:$J$169,0)),""),$I35)</f>
        <v>12</v>
      </c>
      <c r="K35" s="235">
        <v>1</v>
      </c>
      <c r="L35" s="139">
        <f t="shared" si="2"/>
        <v>3.4</v>
      </c>
      <c r="M35" s="231">
        <v>0</v>
      </c>
      <c r="N35" s="231">
        <v>0</v>
      </c>
      <c r="O35" s="142">
        <f t="shared" si="3"/>
        <v>3.4</v>
      </c>
    </row>
    <row r="36" spans="2:15" ht="16" customHeight="1">
      <c r="B36" s="145"/>
      <c r="C36" s="443" t="s">
        <v>1083</v>
      </c>
      <c r="D36" s="166"/>
      <c r="E36" s="167"/>
      <c r="F36" s="159"/>
      <c r="G36" s="160"/>
      <c r="H36" s="145"/>
      <c r="I36" s="161"/>
      <c r="J36" s="162"/>
      <c r="K36" s="163"/>
      <c r="L36" s="164"/>
      <c r="M36" s="163"/>
      <c r="N36" s="163"/>
      <c r="O36" s="165">
        <f>SUM(O37:O45)</f>
        <v>10.6</v>
      </c>
    </row>
    <row r="37" spans="2:15" ht="16" customHeight="1">
      <c r="B37" s="63">
        <v>30</v>
      </c>
      <c r="C37" s="114" t="s">
        <v>231</v>
      </c>
      <c r="D37" s="117" t="s">
        <v>950</v>
      </c>
      <c r="E37" s="140" t="s">
        <v>1084</v>
      </c>
      <c r="F37" s="118" t="s">
        <v>755</v>
      </c>
      <c r="G37" s="227">
        <v>139.86000000000001</v>
      </c>
      <c r="H37" s="9" t="str">
        <f>IF($F37="부록4",IFERROR(INDEX(③1일작업량DB!$H$6:$H$169,MATCH(SUBSTITUTE($C37&amp;"|"&amp;$D37,"~","~~"),③1일작업량DB!$J$6:$J$169,0)),"-"),"")</f>
        <v>㎥/일</v>
      </c>
      <c r="I37" s="227"/>
      <c r="J37" s="229">
        <f>IF($F37="부록4",IFERROR(INDEX(③1일작업량DB!$G$6:$G$169,MATCH(SUBSTITUTE($C37&amp;"|"&amp;$D37,"~","~~"),③1일작업량DB!$J$6:$J$169,0)),""),$I37)</f>
        <v>349</v>
      </c>
      <c r="K37" s="235">
        <v>1</v>
      </c>
      <c r="L37" s="139">
        <f t="shared" ref="L37:L45" si="4">IFERROR(IF(AND($G37&gt;0,$J37&gt;0,$K37&gt;0),ROUNDUP($G37/($J37*$K37),1),0),0)</f>
        <v>0.5</v>
      </c>
      <c r="M37" s="231">
        <v>0</v>
      </c>
      <c r="N37" s="231">
        <v>0</v>
      </c>
      <c r="O37" s="142">
        <f t="shared" ref="O37:O45" si="5">$L37+$M37+$N37</f>
        <v>0.5</v>
      </c>
    </row>
    <row r="38" spans="2:15" ht="16" customHeight="1">
      <c r="B38" s="145">
        <v>31</v>
      </c>
      <c r="C38" s="158" t="s">
        <v>231</v>
      </c>
      <c r="D38" s="166" t="s">
        <v>257</v>
      </c>
      <c r="E38" s="167" t="s">
        <v>1085</v>
      </c>
      <c r="F38" s="159" t="s">
        <v>755</v>
      </c>
      <c r="G38" s="228">
        <v>111.57</v>
      </c>
      <c r="H38" s="145" t="str">
        <f>IF($F38="부록4",IFERROR(INDEX(③1일작업량DB!$H$6:$H$169,MATCH(SUBSTITUTE($C38&amp;"|"&amp;$D38,"~","~~"),③1일작업량DB!$J$6:$J$169,0)),"-"),"")</f>
        <v>㎥/일</v>
      </c>
      <c r="I38" s="228"/>
      <c r="J38" s="230">
        <f>IF($F38="부록4",IFERROR(INDEX(③1일작업량DB!$G$6:$G$169,MATCH(SUBSTITUTE($C38&amp;"|"&amp;$D38,"~","~~"),③1일작업량DB!$J$6:$J$169,0)),""),$I38)</f>
        <v>42</v>
      </c>
      <c r="K38" s="236">
        <v>1</v>
      </c>
      <c r="L38" s="164">
        <f t="shared" si="4"/>
        <v>2.7</v>
      </c>
      <c r="M38" s="232">
        <v>0</v>
      </c>
      <c r="N38" s="232">
        <v>0</v>
      </c>
      <c r="O38" s="165">
        <f t="shared" si="5"/>
        <v>2.7</v>
      </c>
    </row>
    <row r="39" spans="2:15" ht="16" customHeight="1">
      <c r="B39" s="63">
        <v>32</v>
      </c>
      <c r="C39" s="114" t="s">
        <v>231</v>
      </c>
      <c r="D39" s="117" t="s">
        <v>827</v>
      </c>
      <c r="E39" s="140" t="s">
        <v>1086</v>
      </c>
      <c r="F39" s="118" t="s">
        <v>755</v>
      </c>
      <c r="G39" s="227">
        <v>27.96</v>
      </c>
      <c r="H39" s="9" t="str">
        <f>IF($F39="부록4",IFERROR(INDEX(③1일작업량DB!$H$6:$H$169,MATCH(SUBSTITUTE($C39&amp;"|"&amp;$D39,"~","~~"),③1일작업량DB!$J$6:$J$169,0)),"-"),"")</f>
        <v>㎥/일</v>
      </c>
      <c r="I39" s="227"/>
      <c r="J39" s="229">
        <f>IF($F39="부록4",IFERROR(INDEX(③1일작업량DB!$G$6:$G$169,MATCH(SUBSTITUTE($C39&amp;"|"&amp;$D39,"~","~~"),③1일작업량DB!$J$6:$J$169,0)),""),$I39)</f>
        <v>60</v>
      </c>
      <c r="K39" s="235">
        <v>1</v>
      </c>
      <c r="L39" s="139">
        <f t="shared" si="4"/>
        <v>0.5</v>
      </c>
      <c r="M39" s="231">
        <v>0</v>
      </c>
      <c r="N39" s="231">
        <v>0</v>
      </c>
      <c r="O39" s="142">
        <f t="shared" si="5"/>
        <v>0.5</v>
      </c>
    </row>
    <row r="40" spans="2:15" ht="16" customHeight="1">
      <c r="B40" s="63">
        <v>33</v>
      </c>
      <c r="C40" s="114" t="s">
        <v>269</v>
      </c>
      <c r="D40" s="117" t="s">
        <v>760</v>
      </c>
      <c r="E40" s="140" t="s">
        <v>1087</v>
      </c>
      <c r="F40" s="118" t="s">
        <v>755</v>
      </c>
      <c r="G40" s="227">
        <v>10.199999999999999</v>
      </c>
      <c r="H40" s="9" t="str">
        <f>IF($F40="부록4",IFERROR(INDEX(③1일작업량DB!$H$6:$H$169,MATCH(SUBSTITUTE($C40&amp;"|"&amp;$D40,"~","~~"),③1일작업량DB!$J$6:$J$169,0)),"-"),"")</f>
        <v>m/일</v>
      </c>
      <c r="I40" s="227"/>
      <c r="J40" s="229">
        <f>IF($F40="부록4",IFERROR(INDEX(③1일작업량DB!$G$6:$G$169,MATCH(SUBSTITUTE($C40&amp;"|"&amp;$D40,"~","~~"),③1일작업량DB!$J$6:$J$169,0)),""),$I40)</f>
        <v>43</v>
      </c>
      <c r="K40" s="235">
        <v>1</v>
      </c>
      <c r="L40" s="139">
        <f t="shared" si="4"/>
        <v>0.30000000000000004</v>
      </c>
      <c r="M40" s="231">
        <v>0</v>
      </c>
      <c r="N40" s="231">
        <v>0</v>
      </c>
      <c r="O40" s="142">
        <f t="shared" si="5"/>
        <v>0.30000000000000004</v>
      </c>
    </row>
    <row r="41" spans="2:15" ht="16" customHeight="1">
      <c r="B41" s="63">
        <v>34</v>
      </c>
      <c r="C41" s="114" t="s">
        <v>403</v>
      </c>
      <c r="D41" s="117" t="s">
        <v>913</v>
      </c>
      <c r="E41" s="140" t="s">
        <v>1088</v>
      </c>
      <c r="F41" s="118" t="s">
        <v>755</v>
      </c>
      <c r="G41" s="227">
        <v>11</v>
      </c>
      <c r="H41" s="9" t="str">
        <f>IF($F41="부록4",IFERROR(INDEX(③1일작업량DB!$H$6:$H$169,MATCH(SUBSTITUTE($C41&amp;"|"&amp;$D41,"~","~~"),③1일작업량DB!$J$6:$J$169,0)),"-"),"")</f>
        <v>개소/일</v>
      </c>
      <c r="I41" s="227"/>
      <c r="J41" s="229">
        <f>IF($F41="부록4",IFERROR(INDEX(③1일작업량DB!$G$6:$G$169,MATCH(SUBSTITUTE($C41&amp;"|"&amp;$D41,"~","~~"),③1일작업량DB!$J$6:$J$169,0)),""),$I41)</f>
        <v>15</v>
      </c>
      <c r="K41" s="235">
        <v>1</v>
      </c>
      <c r="L41" s="139">
        <f t="shared" si="4"/>
        <v>0.79999999999999993</v>
      </c>
      <c r="M41" s="231">
        <v>0</v>
      </c>
      <c r="N41" s="231">
        <v>0</v>
      </c>
      <c r="O41" s="142">
        <f t="shared" si="5"/>
        <v>0.79999999999999993</v>
      </c>
    </row>
    <row r="42" spans="2:15" ht="16" customHeight="1">
      <c r="B42" s="63">
        <v>35</v>
      </c>
      <c r="C42" s="114" t="s">
        <v>403</v>
      </c>
      <c r="D42" s="117" t="s">
        <v>911</v>
      </c>
      <c r="E42" s="140" t="s">
        <v>1089</v>
      </c>
      <c r="F42" s="118" t="s">
        <v>755</v>
      </c>
      <c r="G42" s="227">
        <v>17</v>
      </c>
      <c r="H42" s="9" t="str">
        <f>IF($F42="부록4",IFERROR(INDEX(③1일작업량DB!$H$6:$H$169,MATCH(SUBSTITUTE($C42&amp;"|"&amp;$D42,"~","~~"),③1일작업량DB!$J$6:$J$169,0)),"-"),"")</f>
        <v>개소/일</v>
      </c>
      <c r="I42" s="227"/>
      <c r="J42" s="229">
        <f>IF($F42="부록4",IFERROR(INDEX(③1일작업량DB!$G$6:$G$169,MATCH(SUBSTITUTE($C42&amp;"|"&amp;$D42,"~","~~"),③1일작업량DB!$J$6:$J$169,0)),""),$I42)</f>
        <v>8</v>
      </c>
      <c r="K42" s="235">
        <v>1</v>
      </c>
      <c r="L42" s="139">
        <f t="shared" si="4"/>
        <v>2.2000000000000002</v>
      </c>
      <c r="M42" s="231">
        <v>0</v>
      </c>
      <c r="N42" s="231">
        <v>0</v>
      </c>
      <c r="O42" s="142">
        <f t="shared" si="5"/>
        <v>2.2000000000000002</v>
      </c>
    </row>
    <row r="43" spans="2:15" ht="16" customHeight="1">
      <c r="B43" s="63">
        <v>36</v>
      </c>
      <c r="C43" s="114" t="s">
        <v>403</v>
      </c>
      <c r="D43" s="117" t="s">
        <v>915</v>
      </c>
      <c r="E43" s="140" t="s">
        <v>1090</v>
      </c>
      <c r="F43" s="118" t="s">
        <v>755</v>
      </c>
      <c r="G43" s="227">
        <v>20</v>
      </c>
      <c r="H43" s="9" t="str">
        <f>IF($F43="부록4",IFERROR(INDEX(③1일작업량DB!$H$6:$H$169,MATCH(SUBSTITUTE($C43&amp;"|"&amp;$D43,"~","~~"),③1일작업량DB!$J$6:$J$169,0)),"-"),"")</f>
        <v>개소/일</v>
      </c>
      <c r="I43" s="227"/>
      <c r="J43" s="229">
        <f>IF($F43="부록4",IFERROR(INDEX(③1일작업량DB!$G$6:$G$169,MATCH(SUBSTITUTE($C43&amp;"|"&amp;$D43,"~","~~"),③1일작업량DB!$J$6:$J$169,0)),""),$I43)</f>
        <v>12</v>
      </c>
      <c r="K43" s="235">
        <v>1</v>
      </c>
      <c r="L43" s="139">
        <f t="shared" si="4"/>
        <v>1.7000000000000002</v>
      </c>
      <c r="M43" s="231">
        <v>0</v>
      </c>
      <c r="N43" s="231">
        <v>0</v>
      </c>
      <c r="O43" s="142">
        <f t="shared" si="5"/>
        <v>1.7000000000000002</v>
      </c>
    </row>
    <row r="44" spans="2:15" ht="16" customHeight="1">
      <c r="B44" s="63">
        <v>37</v>
      </c>
      <c r="C44" s="114" t="s">
        <v>403</v>
      </c>
      <c r="D44" s="117" t="s">
        <v>919</v>
      </c>
      <c r="E44" s="140" t="s">
        <v>1091</v>
      </c>
      <c r="F44" s="118" t="s">
        <v>755</v>
      </c>
      <c r="G44" s="227">
        <v>106.25</v>
      </c>
      <c r="H44" s="9" t="str">
        <f>IF($F44="부록4",IFERROR(INDEX(③1일작업량DB!$H$6:$H$169,MATCH(SUBSTITUTE($C44&amp;"|"&amp;$D44,"~","~~"),③1일작업량DB!$J$6:$J$169,0)),"-"),"")</f>
        <v>m/일</v>
      </c>
      <c r="I44" s="227"/>
      <c r="J44" s="229">
        <f>IF($F44="부록4",IFERROR(INDEX(③1일작업량DB!$G$6:$G$169,MATCH(SUBSTITUTE($C44&amp;"|"&amp;$D44,"~","~~"),③1일작업량DB!$J$6:$J$169,0)),""),$I44)</f>
        <v>300</v>
      </c>
      <c r="K44" s="235">
        <v>1</v>
      </c>
      <c r="L44" s="139">
        <f t="shared" si="4"/>
        <v>0.4</v>
      </c>
      <c r="M44" s="231">
        <v>0</v>
      </c>
      <c r="N44" s="231">
        <v>0</v>
      </c>
      <c r="O44" s="142">
        <f t="shared" si="5"/>
        <v>0.4</v>
      </c>
    </row>
    <row r="45" spans="2:15" ht="16" customHeight="1">
      <c r="B45" s="63">
        <v>38</v>
      </c>
      <c r="C45" s="114" t="s">
        <v>849</v>
      </c>
      <c r="D45" s="117" t="s">
        <v>883</v>
      </c>
      <c r="E45" s="140" t="s">
        <v>1092</v>
      </c>
      <c r="F45" s="118" t="s">
        <v>755</v>
      </c>
      <c r="G45" s="227">
        <v>37</v>
      </c>
      <c r="H45" s="9" t="str">
        <f>IF($F45="부록4",IFERROR(INDEX(③1일작업량DB!$H$6:$H$169,MATCH(SUBSTITUTE($C45&amp;"|"&amp;$D45,"~","~~"),③1일작업량DB!$J$6:$J$169,0)),"-"),"")</f>
        <v>m/일</v>
      </c>
      <c r="I45" s="227"/>
      <c r="J45" s="229">
        <f>IF($F45="부록4",IFERROR(INDEX(③1일작업량DB!$G$6:$G$169,MATCH(SUBSTITUTE($C45&amp;"|"&amp;$D45,"~","~~"),③1일작업량DB!$J$6:$J$169,0)),""),$I45)</f>
        <v>25</v>
      </c>
      <c r="K45" s="235">
        <v>1</v>
      </c>
      <c r="L45" s="139">
        <f t="shared" si="4"/>
        <v>1.5</v>
      </c>
      <c r="M45" s="231">
        <v>0</v>
      </c>
      <c r="N45" s="231">
        <v>0</v>
      </c>
      <c r="O45" s="142">
        <f t="shared" si="5"/>
        <v>1.5</v>
      </c>
    </row>
    <row r="46" spans="2:15" ht="16" customHeight="1">
      <c r="B46" s="145"/>
      <c r="C46" s="443" t="s">
        <v>990</v>
      </c>
      <c r="D46" s="166"/>
      <c r="E46" s="167"/>
      <c r="F46" s="159"/>
      <c r="G46" s="160"/>
      <c r="H46" s="145"/>
      <c r="I46" s="161"/>
      <c r="J46" s="162"/>
      <c r="K46" s="163"/>
      <c r="L46" s="164"/>
      <c r="M46" s="163"/>
      <c r="N46" s="163"/>
      <c r="O46" s="165">
        <f>SUM(O47:O63)</f>
        <v>33.900000000000006</v>
      </c>
    </row>
    <row r="47" spans="2:15" ht="16" customHeight="1">
      <c r="B47" s="145">
        <v>39</v>
      </c>
      <c r="C47" s="158" t="s">
        <v>231</v>
      </c>
      <c r="D47" s="166" t="s">
        <v>950</v>
      </c>
      <c r="E47" s="167" t="s">
        <v>1093</v>
      </c>
      <c r="F47" s="159" t="s">
        <v>755</v>
      </c>
      <c r="G47" s="228">
        <v>155.91</v>
      </c>
      <c r="H47" s="145" t="str">
        <f>IF($F47="부록4",IFERROR(INDEX(③1일작업량DB!$H$6:$H$169,MATCH(SUBSTITUTE($C47&amp;"|"&amp;$D47,"~","~~"),③1일작업량DB!$J$6:$J$169,0)),"-"),"")</f>
        <v>㎥/일</v>
      </c>
      <c r="I47" s="228"/>
      <c r="J47" s="230">
        <f>IF($F47="부록4",IFERROR(INDEX(③1일작업량DB!$G$6:$G$169,MATCH(SUBSTITUTE($C47&amp;"|"&amp;$D47,"~","~~"),③1일작업량DB!$J$6:$J$169,0)),""),$I47)</f>
        <v>349</v>
      </c>
      <c r="K47" s="236">
        <v>1</v>
      </c>
      <c r="L47" s="164">
        <f t="shared" ref="L47:L63" si="6">IFERROR(IF(AND($G47&gt;0,$J47&gt;0,$K47&gt;0),ROUNDUP($G47/($J47*$K47),1),0),0)</f>
        <v>0.5</v>
      </c>
      <c r="M47" s="232">
        <v>0</v>
      </c>
      <c r="N47" s="232">
        <v>0</v>
      </c>
      <c r="O47" s="165">
        <f t="shared" ref="O47:O63" si="7">$L47+$M47+$N47</f>
        <v>0.5</v>
      </c>
    </row>
    <row r="48" spans="2:15" ht="16" customHeight="1">
      <c r="B48" s="63">
        <v>40</v>
      </c>
      <c r="C48" s="114" t="s">
        <v>231</v>
      </c>
      <c r="D48" s="117" t="s">
        <v>257</v>
      </c>
      <c r="E48" s="140" t="s">
        <v>1094</v>
      </c>
      <c r="F48" s="118" t="s">
        <v>755</v>
      </c>
      <c r="G48" s="227">
        <v>21.21</v>
      </c>
      <c r="H48" s="9" t="str">
        <f>IF($F48="부록4",IFERROR(INDEX(③1일작업량DB!$H$6:$H$169,MATCH(SUBSTITUTE($C48&amp;"|"&amp;$D48,"~","~~"),③1일작업량DB!$J$6:$J$169,0)),"-"),"")</f>
        <v>㎥/일</v>
      </c>
      <c r="I48" s="227"/>
      <c r="J48" s="229">
        <f>IF($F48="부록4",IFERROR(INDEX(③1일작업량DB!$G$6:$G$169,MATCH(SUBSTITUTE($C48&amp;"|"&amp;$D48,"~","~~"),③1일작업량DB!$J$6:$J$169,0)),""),$I48)</f>
        <v>42</v>
      </c>
      <c r="K48" s="235">
        <v>1</v>
      </c>
      <c r="L48" s="139">
        <f t="shared" si="6"/>
        <v>0.6</v>
      </c>
      <c r="M48" s="231">
        <v>0</v>
      </c>
      <c r="N48" s="231">
        <v>0</v>
      </c>
      <c r="O48" s="142">
        <f t="shared" si="7"/>
        <v>0.6</v>
      </c>
    </row>
    <row r="49" spans="2:15" ht="16" customHeight="1">
      <c r="B49" s="63">
        <v>41</v>
      </c>
      <c r="C49" s="114" t="s">
        <v>231</v>
      </c>
      <c r="D49" s="117" t="s">
        <v>257</v>
      </c>
      <c r="E49" s="140" t="s">
        <v>1095</v>
      </c>
      <c r="F49" s="118" t="s">
        <v>755</v>
      </c>
      <c r="G49" s="227">
        <v>71.260000000000005</v>
      </c>
      <c r="H49" s="9" t="str">
        <f>IF($F49="부록4",IFERROR(INDEX(③1일작업량DB!$H$6:$H$169,MATCH(SUBSTITUTE($C49&amp;"|"&amp;$D49,"~","~~"),③1일작업량DB!$J$6:$J$169,0)),"-"),"")</f>
        <v>㎥/일</v>
      </c>
      <c r="I49" s="227"/>
      <c r="J49" s="229">
        <f>IF($F49="부록4",IFERROR(INDEX(③1일작업량DB!$G$6:$G$169,MATCH(SUBSTITUTE($C49&amp;"|"&amp;$D49,"~","~~"),③1일작업량DB!$J$6:$J$169,0)),""),$I49)</f>
        <v>42</v>
      </c>
      <c r="K49" s="235">
        <v>1</v>
      </c>
      <c r="L49" s="139">
        <f t="shared" si="6"/>
        <v>1.7000000000000002</v>
      </c>
      <c r="M49" s="231">
        <v>0</v>
      </c>
      <c r="N49" s="231">
        <v>0</v>
      </c>
      <c r="O49" s="142">
        <f t="shared" si="7"/>
        <v>1.7000000000000002</v>
      </c>
    </row>
    <row r="50" spans="2:15" ht="16" customHeight="1">
      <c r="B50" s="63">
        <v>42</v>
      </c>
      <c r="C50" s="114" t="s">
        <v>231</v>
      </c>
      <c r="D50" s="117" t="s">
        <v>827</v>
      </c>
      <c r="E50" s="140" t="s">
        <v>1096</v>
      </c>
      <c r="F50" s="118" t="s">
        <v>755</v>
      </c>
      <c r="G50" s="227">
        <v>30.57</v>
      </c>
      <c r="H50" s="9" t="str">
        <f>IF($F50="부록4",IFERROR(INDEX(③1일작업량DB!$H$6:$H$169,MATCH(SUBSTITUTE($C50&amp;"|"&amp;$D50,"~","~~"),③1일작업량DB!$J$6:$J$169,0)),"-"),"")</f>
        <v>㎥/일</v>
      </c>
      <c r="I50" s="227"/>
      <c r="J50" s="229">
        <f>IF($F50="부록4",IFERROR(INDEX(③1일작업량DB!$G$6:$G$169,MATCH(SUBSTITUTE($C50&amp;"|"&amp;$D50,"~","~~"),③1일작업량DB!$J$6:$J$169,0)),""),$I50)</f>
        <v>60</v>
      </c>
      <c r="K50" s="235">
        <v>1</v>
      </c>
      <c r="L50" s="139">
        <f t="shared" si="6"/>
        <v>0.6</v>
      </c>
      <c r="M50" s="231">
        <v>0</v>
      </c>
      <c r="N50" s="231">
        <v>0</v>
      </c>
      <c r="O50" s="142">
        <f t="shared" si="7"/>
        <v>0.6</v>
      </c>
    </row>
    <row r="51" spans="2:15" ht="16" customHeight="1">
      <c r="B51" s="63">
        <v>43</v>
      </c>
      <c r="C51" s="114" t="s">
        <v>231</v>
      </c>
      <c r="D51" s="117" t="s">
        <v>348</v>
      </c>
      <c r="E51" s="140" t="s">
        <v>1097</v>
      </c>
      <c r="F51" s="118" t="s">
        <v>755</v>
      </c>
      <c r="G51" s="227">
        <v>2.7570000000000001</v>
      </c>
      <c r="H51" s="9" t="str">
        <f>IF($F51="부록4",IFERROR(INDEX(③1일작업량DB!$H$6:$H$169,MATCH(SUBSTITUTE($C51&amp;"|"&amp;$D51,"~","~~"),③1일작업량DB!$J$6:$J$169,0)),"-"),"")</f>
        <v>㎥/일</v>
      </c>
      <c r="I51" s="227"/>
      <c r="J51" s="229">
        <f>IF($F51="부록4",IFERROR(INDEX(③1일작업량DB!$G$6:$G$169,MATCH(SUBSTITUTE($C51&amp;"|"&amp;$D51,"~","~~"),③1일작업량DB!$J$6:$J$169,0)),""),$I51)</f>
        <v>65</v>
      </c>
      <c r="K51" s="235">
        <v>1</v>
      </c>
      <c r="L51" s="139">
        <f t="shared" si="6"/>
        <v>0.1</v>
      </c>
      <c r="M51" s="231">
        <v>0</v>
      </c>
      <c r="N51" s="231">
        <v>0</v>
      </c>
      <c r="O51" s="142">
        <f t="shared" si="7"/>
        <v>0.1</v>
      </c>
    </row>
    <row r="52" spans="2:15" ht="16" customHeight="1">
      <c r="B52" s="63">
        <v>44</v>
      </c>
      <c r="C52" s="114" t="s">
        <v>269</v>
      </c>
      <c r="D52" s="117" t="s">
        <v>760</v>
      </c>
      <c r="E52" s="140" t="s">
        <v>1098</v>
      </c>
      <c r="F52" s="118" t="s">
        <v>755</v>
      </c>
      <c r="G52" s="227">
        <v>32.25</v>
      </c>
      <c r="H52" s="9" t="str">
        <f>IF($F52="부록4",IFERROR(INDEX(③1일작업량DB!$H$6:$H$169,MATCH(SUBSTITUTE($C52&amp;"|"&amp;$D52,"~","~~"),③1일작업량DB!$J$6:$J$169,0)),"-"),"")</f>
        <v>m/일</v>
      </c>
      <c r="I52" s="227"/>
      <c r="J52" s="229">
        <f>IF($F52="부록4",IFERROR(INDEX(③1일작업량DB!$G$6:$G$169,MATCH(SUBSTITUTE($C52&amp;"|"&amp;$D52,"~","~~"),③1일작업량DB!$J$6:$J$169,0)),""),$I52)</f>
        <v>43</v>
      </c>
      <c r="K52" s="235">
        <v>1</v>
      </c>
      <c r="L52" s="139">
        <f t="shared" si="6"/>
        <v>0.79999999999999993</v>
      </c>
      <c r="M52" s="231">
        <v>0</v>
      </c>
      <c r="N52" s="231">
        <v>0</v>
      </c>
      <c r="O52" s="142">
        <f t="shared" si="7"/>
        <v>0.79999999999999993</v>
      </c>
    </row>
    <row r="53" spans="2:15" ht="16" customHeight="1">
      <c r="B53" s="63">
        <v>45</v>
      </c>
      <c r="C53" s="114" t="s">
        <v>269</v>
      </c>
      <c r="D53" s="117" t="s">
        <v>760</v>
      </c>
      <c r="E53" s="140" t="s">
        <v>1099</v>
      </c>
      <c r="F53" s="118" t="s">
        <v>755</v>
      </c>
      <c r="G53" s="227">
        <v>24.6</v>
      </c>
      <c r="H53" s="9" t="str">
        <f>IF($F53="부록4",IFERROR(INDEX(③1일작업량DB!$H$6:$H$169,MATCH(SUBSTITUTE($C53&amp;"|"&amp;$D53,"~","~~"),③1일작업량DB!$J$6:$J$169,0)),"-"),"")</f>
        <v>m/일</v>
      </c>
      <c r="I53" s="227"/>
      <c r="J53" s="229">
        <f>IF($F53="부록4",IFERROR(INDEX(③1일작업량DB!$G$6:$G$169,MATCH(SUBSTITUTE($C53&amp;"|"&amp;$D53,"~","~~"),③1일작업량DB!$J$6:$J$169,0)),""),$I53)</f>
        <v>43</v>
      </c>
      <c r="K53" s="235">
        <v>1</v>
      </c>
      <c r="L53" s="139">
        <f t="shared" si="6"/>
        <v>0.6</v>
      </c>
      <c r="M53" s="231">
        <v>0</v>
      </c>
      <c r="N53" s="231">
        <v>0</v>
      </c>
      <c r="O53" s="142">
        <f t="shared" si="7"/>
        <v>0.6</v>
      </c>
    </row>
    <row r="54" spans="2:15" ht="16" customHeight="1">
      <c r="B54" s="63">
        <v>46</v>
      </c>
      <c r="C54" s="114" t="s">
        <v>403</v>
      </c>
      <c r="D54" s="117" t="s">
        <v>915</v>
      </c>
      <c r="E54" s="140" t="s">
        <v>1100</v>
      </c>
      <c r="F54" s="118" t="s">
        <v>755</v>
      </c>
      <c r="G54" s="227">
        <v>14</v>
      </c>
      <c r="H54" s="9" t="str">
        <f>IF($F54="부록4",IFERROR(INDEX(③1일작업량DB!$H$6:$H$169,MATCH(SUBSTITUTE($C54&amp;"|"&amp;$D54,"~","~~"),③1일작업량DB!$J$6:$J$169,0)),"-"),"")</f>
        <v>개소/일</v>
      </c>
      <c r="I54" s="227"/>
      <c r="J54" s="229">
        <f>IF($F54="부록4",IFERROR(INDEX(③1일작업량DB!$G$6:$G$169,MATCH(SUBSTITUTE($C54&amp;"|"&amp;$D54,"~","~~"),③1일작업량DB!$J$6:$J$169,0)),""),$I54)</f>
        <v>12</v>
      </c>
      <c r="K54" s="235">
        <v>1</v>
      </c>
      <c r="L54" s="139">
        <f t="shared" si="6"/>
        <v>1.2000000000000002</v>
      </c>
      <c r="M54" s="231">
        <v>0</v>
      </c>
      <c r="N54" s="231">
        <v>0</v>
      </c>
      <c r="O54" s="142">
        <f t="shared" si="7"/>
        <v>1.2000000000000002</v>
      </c>
    </row>
    <row r="55" spans="2:15" ht="16" customHeight="1">
      <c r="B55" s="63">
        <v>47</v>
      </c>
      <c r="C55" s="114" t="s">
        <v>921</v>
      </c>
      <c r="D55" s="117" t="s">
        <v>928</v>
      </c>
      <c r="E55" s="140" t="s">
        <v>1101</v>
      </c>
      <c r="F55" s="118" t="s">
        <v>755</v>
      </c>
      <c r="G55" s="227">
        <v>10</v>
      </c>
      <c r="H55" s="9" t="str">
        <f>IF($F55="부록4",IFERROR(INDEX(③1일작업량DB!$H$6:$H$169,MATCH(SUBSTITUTE($C55&amp;"|"&amp;$D55,"~","~~"),③1일작업량DB!$J$6:$J$169,0)),"-"),"")</f>
        <v>개소/일</v>
      </c>
      <c r="I55" s="227"/>
      <c r="J55" s="229">
        <f>IF($F55="부록4",IFERROR(INDEX(③1일작업량DB!$G$6:$G$169,MATCH(SUBSTITUTE($C55&amp;"|"&amp;$D55,"~","~~"),③1일작업량DB!$J$6:$J$169,0)),""),$I55)</f>
        <v>2</v>
      </c>
      <c r="K55" s="235">
        <v>1</v>
      </c>
      <c r="L55" s="139">
        <f t="shared" si="6"/>
        <v>5</v>
      </c>
      <c r="M55" s="231">
        <v>0</v>
      </c>
      <c r="N55" s="231">
        <v>0</v>
      </c>
      <c r="O55" s="142">
        <f t="shared" si="7"/>
        <v>5</v>
      </c>
    </row>
    <row r="56" spans="2:15" ht="16" customHeight="1">
      <c r="B56" s="63">
        <v>48</v>
      </c>
      <c r="C56" s="114" t="s">
        <v>269</v>
      </c>
      <c r="D56" s="117" t="s">
        <v>885</v>
      </c>
      <c r="E56" s="140" t="s">
        <v>1102</v>
      </c>
      <c r="F56" s="118" t="s">
        <v>755</v>
      </c>
      <c r="G56" s="227">
        <v>5</v>
      </c>
      <c r="H56" s="9" t="str">
        <f>IF($F56="부록4",IFERROR(INDEX(③1일작업량DB!$H$6:$H$169,MATCH(SUBSTITUTE($C56&amp;"|"&amp;$D56,"~","~~"),③1일작업량DB!$J$6:$J$169,0)),"-"),"")</f>
        <v>개소/일</v>
      </c>
      <c r="I56" s="227"/>
      <c r="J56" s="229">
        <f>IF($F56="부록4",IFERROR(INDEX(③1일작업량DB!$G$6:$G$169,MATCH(SUBSTITUTE($C56&amp;"|"&amp;$D56,"~","~~"),③1일작업량DB!$J$6:$J$169,0)),""),$I56)</f>
        <v>1.5</v>
      </c>
      <c r="K56" s="235">
        <v>1</v>
      </c>
      <c r="L56" s="139">
        <f t="shared" si="6"/>
        <v>3.4</v>
      </c>
      <c r="M56" s="231">
        <v>0</v>
      </c>
      <c r="N56" s="231">
        <v>0</v>
      </c>
      <c r="O56" s="142">
        <f t="shared" si="7"/>
        <v>3.4</v>
      </c>
    </row>
    <row r="57" spans="2:15" ht="16" customHeight="1">
      <c r="B57" s="63">
        <v>49</v>
      </c>
      <c r="C57" s="114" t="s">
        <v>269</v>
      </c>
      <c r="D57" s="117" t="s">
        <v>889</v>
      </c>
      <c r="E57" s="140" t="s">
        <v>890</v>
      </c>
      <c r="F57" s="118" t="s">
        <v>755</v>
      </c>
      <c r="G57" s="227">
        <v>5</v>
      </c>
      <c r="H57" s="9" t="str">
        <f>IF($F57="부록4",IFERROR(INDEX(③1일작업량DB!$H$6:$H$169,MATCH(SUBSTITUTE($C57&amp;"|"&amp;$D57,"~","~~"),③1일작업량DB!$J$6:$J$169,0)),"-"),"")</f>
        <v>개소/일</v>
      </c>
      <c r="I57" s="227"/>
      <c r="J57" s="229">
        <f>IF($F57="부록4",IFERROR(INDEX(③1일작업량DB!$G$6:$G$169,MATCH(SUBSTITUTE($C57&amp;"|"&amp;$D57,"~","~~"),③1일작업량DB!$J$6:$J$169,0)),""),$I57)</f>
        <v>8</v>
      </c>
      <c r="K57" s="235">
        <v>1</v>
      </c>
      <c r="L57" s="139">
        <f t="shared" si="6"/>
        <v>0.7</v>
      </c>
      <c r="M57" s="231">
        <v>0</v>
      </c>
      <c r="N57" s="231">
        <v>0</v>
      </c>
      <c r="O57" s="142">
        <f t="shared" si="7"/>
        <v>0.7</v>
      </c>
    </row>
    <row r="58" spans="2:15" ht="16" customHeight="1">
      <c r="B58" s="63">
        <v>50</v>
      </c>
      <c r="C58" s="114" t="s">
        <v>269</v>
      </c>
      <c r="D58" s="117" t="s">
        <v>891</v>
      </c>
      <c r="E58" s="140" t="s">
        <v>1103</v>
      </c>
      <c r="F58" s="118" t="s">
        <v>755</v>
      </c>
      <c r="G58" s="227">
        <v>39</v>
      </c>
      <c r="H58" s="9" t="str">
        <f>IF($F58="부록4",IFERROR(INDEX(③1일작업량DB!$H$6:$H$169,MATCH(SUBSTITUTE($C58&amp;"|"&amp;$D58,"~","~~"),③1일작업량DB!$J$6:$J$169,0)),"-"),"")</f>
        <v>개소/일</v>
      </c>
      <c r="I58" s="227"/>
      <c r="J58" s="229">
        <f>IF($F58="부록4",IFERROR(INDEX(③1일작업량DB!$G$6:$G$169,MATCH(SUBSTITUTE($C58&amp;"|"&amp;$D58,"~","~~"),③1일작업량DB!$J$6:$J$169,0)),""),$I58)</f>
        <v>10</v>
      </c>
      <c r="K58" s="235">
        <v>1</v>
      </c>
      <c r="L58" s="139">
        <f t="shared" si="6"/>
        <v>3.9</v>
      </c>
      <c r="M58" s="231">
        <v>0</v>
      </c>
      <c r="N58" s="231">
        <v>0</v>
      </c>
      <c r="O58" s="142">
        <f t="shared" si="7"/>
        <v>3.9</v>
      </c>
    </row>
    <row r="59" spans="2:15" ht="16" customHeight="1">
      <c r="B59" s="63">
        <v>51</v>
      </c>
      <c r="C59" s="114" t="s">
        <v>269</v>
      </c>
      <c r="D59" s="117" t="s">
        <v>887</v>
      </c>
      <c r="E59" s="140" t="s">
        <v>1104</v>
      </c>
      <c r="F59" s="118" t="s">
        <v>755</v>
      </c>
      <c r="G59" s="227">
        <v>9</v>
      </c>
      <c r="H59" s="9" t="str">
        <f>IF($F59="부록4",IFERROR(INDEX(③1일작업량DB!$H$6:$H$169,MATCH(SUBSTITUTE($C59&amp;"|"&amp;$D59,"~","~~"),③1일작업량DB!$J$6:$J$169,0)),"-"),"")</f>
        <v>개소/일</v>
      </c>
      <c r="I59" s="227"/>
      <c r="J59" s="229">
        <f>IF($F59="부록4",IFERROR(INDEX(③1일작업량DB!$G$6:$G$169,MATCH(SUBSTITUTE($C59&amp;"|"&amp;$D59,"~","~~"),③1일작업량DB!$J$6:$J$169,0)),""),$I59)</f>
        <v>4</v>
      </c>
      <c r="K59" s="235">
        <v>1</v>
      </c>
      <c r="L59" s="139">
        <f t="shared" si="6"/>
        <v>2.3000000000000003</v>
      </c>
      <c r="M59" s="231">
        <v>0</v>
      </c>
      <c r="N59" s="231">
        <v>0</v>
      </c>
      <c r="O59" s="142">
        <f t="shared" si="7"/>
        <v>2.3000000000000003</v>
      </c>
    </row>
    <row r="60" spans="2:15" ht="16" customHeight="1">
      <c r="B60" s="63">
        <v>52</v>
      </c>
      <c r="C60" s="114" t="s">
        <v>269</v>
      </c>
      <c r="D60" s="117" t="s">
        <v>1105</v>
      </c>
      <c r="E60" s="140" t="s">
        <v>1106</v>
      </c>
      <c r="F60" s="118" t="s">
        <v>755</v>
      </c>
      <c r="G60" s="227">
        <v>13</v>
      </c>
      <c r="H60" s="9" t="str">
        <f>IF($F60="부록4",IFERROR(INDEX(③1일작업량DB!$H$6:$H$169,MATCH(SUBSTITUTE($C60&amp;"|"&amp;$D60,"~","~~"),③1일작업량DB!$J$6:$J$169,0)),"-"),"")</f>
        <v>span/일</v>
      </c>
      <c r="I60" s="227"/>
      <c r="J60" s="229">
        <f>IF($F60="부록4",IFERROR(INDEX(③1일작업량DB!$G$6:$G$169,MATCH(SUBSTITUTE($C60&amp;"|"&amp;$D60,"~","~~"),③1일작업량DB!$J$6:$J$169,0)),""),$I60)</f>
        <v>2.222</v>
      </c>
      <c r="K60" s="235">
        <v>1</v>
      </c>
      <c r="L60" s="139">
        <f t="shared" si="6"/>
        <v>5.8999999999999995</v>
      </c>
      <c r="M60" s="231">
        <v>0</v>
      </c>
      <c r="N60" s="231">
        <v>0</v>
      </c>
      <c r="O60" s="142">
        <f t="shared" si="7"/>
        <v>5.8999999999999995</v>
      </c>
    </row>
    <row r="61" spans="2:15" ht="16" customHeight="1">
      <c r="B61" s="145">
        <v>53</v>
      </c>
      <c r="C61" s="158" t="s">
        <v>836</v>
      </c>
      <c r="D61" s="166" t="s">
        <v>846</v>
      </c>
      <c r="E61" s="167" t="s">
        <v>1107</v>
      </c>
      <c r="F61" s="159" t="s">
        <v>755</v>
      </c>
      <c r="G61" s="228">
        <v>25</v>
      </c>
      <c r="H61" s="145" t="str">
        <f>IF($F61="부록4",IFERROR(INDEX(③1일작업량DB!$H$6:$H$169,MATCH(SUBSTITUTE($C61&amp;"|"&amp;$D61,"~","~~"),③1일작업량DB!$J$6:$J$169,0)),"-"),"")</f>
        <v>EA/일</v>
      </c>
      <c r="I61" s="228"/>
      <c r="J61" s="230">
        <f>IF($F61="부록4",IFERROR(INDEX(③1일작업량DB!$G$6:$G$169,MATCH(SUBSTITUTE($C61&amp;"|"&amp;$D61,"~","~~"),③1일작업량DB!$J$6:$J$169,0)),""),$I61)</f>
        <v>4</v>
      </c>
      <c r="K61" s="236">
        <v>1</v>
      </c>
      <c r="L61" s="164">
        <f t="shared" si="6"/>
        <v>6.3</v>
      </c>
      <c r="M61" s="232">
        <v>0</v>
      </c>
      <c r="N61" s="232">
        <v>0</v>
      </c>
      <c r="O61" s="165">
        <f t="shared" si="7"/>
        <v>6.3</v>
      </c>
    </row>
    <row r="62" spans="2:15" ht="16" customHeight="1">
      <c r="B62" s="63">
        <v>54</v>
      </c>
      <c r="C62" s="114" t="s">
        <v>361</v>
      </c>
      <c r="D62" s="117" t="s">
        <v>756</v>
      </c>
      <c r="E62" s="140" t="s">
        <v>1108</v>
      </c>
      <c r="F62" s="118" t="s">
        <v>755</v>
      </c>
      <c r="G62" s="227">
        <v>1.2</v>
      </c>
      <c r="H62" s="9" t="str">
        <f>IF($F62="부록4",IFERROR(INDEX(③1일작업량DB!$H$6:$H$169,MATCH(SUBSTITUTE($C62&amp;"|"&amp;$D62,"~","~~"),③1일작업량DB!$J$6:$J$169,0)),"-"),"")</f>
        <v>㎥/일</v>
      </c>
      <c r="I62" s="227"/>
      <c r="J62" s="229">
        <f>IF($F62="부록4",IFERROR(INDEX(③1일작업량DB!$G$6:$G$169,MATCH(SUBSTITUTE($C62&amp;"|"&amp;$D62,"~","~~"),③1일작업량DB!$J$6:$J$169,0)),""),$I62)</f>
        <v>189</v>
      </c>
      <c r="K62" s="235">
        <v>1</v>
      </c>
      <c r="L62" s="139">
        <f t="shared" si="6"/>
        <v>0.1</v>
      </c>
      <c r="M62" s="231">
        <v>0</v>
      </c>
      <c r="N62" s="231">
        <v>0</v>
      </c>
      <c r="O62" s="142">
        <f t="shared" si="7"/>
        <v>0.1</v>
      </c>
    </row>
    <row r="63" spans="2:15" ht="16" customHeight="1">
      <c r="B63" s="63">
        <v>55</v>
      </c>
      <c r="C63" s="114" t="s">
        <v>361</v>
      </c>
      <c r="D63" s="117" t="s">
        <v>758</v>
      </c>
      <c r="E63" s="140" t="s">
        <v>1109</v>
      </c>
      <c r="F63" s="118" t="s">
        <v>755</v>
      </c>
      <c r="G63" s="227">
        <v>10.62</v>
      </c>
      <c r="H63" s="9" t="str">
        <f>IF($F63="부록4",IFERROR(INDEX(③1일작업량DB!$H$6:$H$169,MATCH(SUBSTITUTE($C63&amp;"|"&amp;$D63,"~","~~"),③1일작업량DB!$J$6:$J$169,0)),"-"),"")</f>
        <v>㎡/일</v>
      </c>
      <c r="I63" s="227"/>
      <c r="J63" s="229">
        <f>IF($F63="부록4",IFERROR(INDEX(③1일작업량DB!$G$6:$G$169,MATCH(SUBSTITUTE($C63&amp;"|"&amp;$D63,"~","~~"),③1일작업량DB!$J$6:$J$169,0)),""),$I63)</f>
        <v>60</v>
      </c>
      <c r="K63" s="235">
        <v>1</v>
      </c>
      <c r="L63" s="139">
        <f t="shared" si="6"/>
        <v>0.2</v>
      </c>
      <c r="M63" s="231">
        <v>0</v>
      </c>
      <c r="N63" s="231">
        <v>0</v>
      </c>
      <c r="O63" s="142">
        <f t="shared" si="7"/>
        <v>0.2</v>
      </c>
    </row>
    <row r="64" spans="2:15" ht="16" customHeight="1">
      <c r="B64" s="145"/>
      <c r="C64" s="443" t="s">
        <v>1110</v>
      </c>
      <c r="D64" s="166"/>
      <c r="E64" s="167"/>
      <c r="F64" s="159"/>
      <c r="G64" s="160"/>
      <c r="H64" s="145"/>
      <c r="I64" s="161"/>
      <c r="J64" s="162"/>
      <c r="K64" s="163"/>
      <c r="L64" s="164"/>
      <c r="M64" s="163"/>
      <c r="N64" s="163"/>
      <c r="O64" s="165">
        <f>SUM(O65:O74)</f>
        <v>22.1</v>
      </c>
    </row>
    <row r="65" spans="2:15" ht="16" customHeight="1">
      <c r="B65" s="63">
        <v>56</v>
      </c>
      <c r="C65" s="114" t="s">
        <v>849</v>
      </c>
      <c r="D65" s="117" t="s">
        <v>859</v>
      </c>
      <c r="E65" s="140" t="s">
        <v>1111</v>
      </c>
      <c r="F65" s="118" t="s">
        <v>755</v>
      </c>
      <c r="G65" s="227">
        <v>158.75</v>
      </c>
      <c r="H65" s="9" t="str">
        <f>IF($F65="부록4",IFERROR(INDEX(③1일작업량DB!$H$6:$H$169,MATCH(SUBSTITUTE($C65&amp;"|"&amp;$D65,"~","~~"),③1일작업량DB!$J$6:$J$169,0)),"-"),"")</f>
        <v>m/일</v>
      </c>
      <c r="I65" s="227"/>
      <c r="J65" s="229">
        <f>IF($F65="부록4",IFERROR(INDEX(③1일작업량DB!$G$6:$G$169,MATCH(SUBSTITUTE($C65&amp;"|"&amp;$D65,"~","~~"),③1일작업량DB!$J$6:$J$169,0)),""),$I65)</f>
        <v>85</v>
      </c>
      <c r="K65" s="235">
        <v>1</v>
      </c>
      <c r="L65" s="139">
        <f t="shared" ref="L65:L74" si="8">IFERROR(IF(AND($G65&gt;0,$J65&gt;0,$K65&gt;0),ROUNDUP($G65/($J65*$K65),1),0),0)</f>
        <v>1.9000000000000001</v>
      </c>
      <c r="M65" s="231">
        <v>0</v>
      </c>
      <c r="N65" s="231">
        <v>0</v>
      </c>
      <c r="O65" s="142">
        <f t="shared" ref="O65:O74" si="9">$L65+$M65+$N65</f>
        <v>1.9000000000000001</v>
      </c>
    </row>
    <row r="66" spans="2:15" ht="16" customHeight="1">
      <c r="B66" s="63">
        <v>57</v>
      </c>
      <c r="C66" s="114" t="s">
        <v>849</v>
      </c>
      <c r="D66" s="117" t="s">
        <v>861</v>
      </c>
      <c r="E66" s="140" t="s">
        <v>1112</v>
      </c>
      <c r="F66" s="118" t="s">
        <v>755</v>
      </c>
      <c r="G66" s="227">
        <v>25</v>
      </c>
      <c r="H66" s="9" t="str">
        <f>IF($F66="부록4",IFERROR(INDEX(③1일작업량DB!$H$6:$H$169,MATCH(SUBSTITUTE($C66&amp;"|"&amp;$D66,"~","~~"),③1일작업량DB!$J$6:$J$169,0)),"-"),"")</f>
        <v>본/일</v>
      </c>
      <c r="I66" s="227"/>
      <c r="J66" s="229">
        <f>IF($F66="부록4",IFERROR(INDEX(③1일작업량DB!$G$6:$G$169,MATCH(SUBSTITUTE($C66&amp;"|"&amp;$D66,"~","~~"),③1일작업량DB!$J$6:$J$169,0)),""),$I66)</f>
        <v>10</v>
      </c>
      <c r="K66" s="235">
        <v>1</v>
      </c>
      <c r="L66" s="139">
        <f t="shared" si="8"/>
        <v>2.5</v>
      </c>
      <c r="M66" s="231">
        <v>0</v>
      </c>
      <c r="N66" s="231">
        <v>0</v>
      </c>
      <c r="O66" s="142">
        <f t="shared" si="9"/>
        <v>2.5</v>
      </c>
    </row>
    <row r="67" spans="2:15" ht="16" customHeight="1">
      <c r="B67" s="63">
        <v>58</v>
      </c>
      <c r="C67" s="114" t="s">
        <v>350</v>
      </c>
      <c r="D67" s="117" t="s">
        <v>358</v>
      </c>
      <c r="E67" s="140" t="s">
        <v>1113</v>
      </c>
      <c r="F67" s="118" t="s">
        <v>755</v>
      </c>
      <c r="G67" s="227">
        <v>25</v>
      </c>
      <c r="H67" s="9" t="str">
        <f>IF($F67="부록4",IFERROR(INDEX(③1일작업량DB!$H$6:$H$169,MATCH(SUBSTITUTE($C67&amp;"|"&amp;$D67,"~","~~"),③1일작업량DB!$J$6:$J$169,0)),"-"),"")</f>
        <v>본/일</v>
      </c>
      <c r="I67" s="227"/>
      <c r="J67" s="229">
        <f>IF($F67="부록4",IFERROR(INDEX(③1일작업량DB!$G$6:$G$169,MATCH(SUBSTITUTE($C67&amp;"|"&amp;$D67,"~","~~"),③1일작업량DB!$J$6:$J$169,0)),""),$I67)</f>
        <v>21</v>
      </c>
      <c r="K67" s="235">
        <v>1</v>
      </c>
      <c r="L67" s="139">
        <f t="shared" si="8"/>
        <v>1.2000000000000002</v>
      </c>
      <c r="M67" s="231">
        <v>0</v>
      </c>
      <c r="N67" s="231">
        <v>0</v>
      </c>
      <c r="O67" s="142">
        <f t="shared" si="9"/>
        <v>1.2000000000000002</v>
      </c>
    </row>
    <row r="68" spans="2:15" ht="16" customHeight="1">
      <c r="B68" s="63">
        <v>59</v>
      </c>
      <c r="C68" s="114" t="s">
        <v>849</v>
      </c>
      <c r="D68" s="117" t="s">
        <v>862</v>
      </c>
      <c r="E68" s="140" t="s">
        <v>1114</v>
      </c>
      <c r="F68" s="118" t="s">
        <v>755</v>
      </c>
      <c r="G68" s="227">
        <v>25</v>
      </c>
      <c r="H68" s="9" t="str">
        <f>IF($F68="부록4",IFERROR(INDEX(③1일작업량DB!$H$6:$H$169,MATCH(SUBSTITUTE($C68&amp;"|"&amp;$D68,"~","~~"),③1일작업량DB!$J$6:$J$169,0)),"-"),"")</f>
        <v>본/일</v>
      </c>
      <c r="I68" s="227"/>
      <c r="J68" s="229">
        <f>IF($F68="부록4",IFERROR(INDEX(③1일작업량DB!$G$6:$G$169,MATCH(SUBSTITUTE($C68&amp;"|"&amp;$D68,"~","~~"),③1일작업량DB!$J$6:$J$169,0)),""),$I68)</f>
        <v>12</v>
      </c>
      <c r="K68" s="235">
        <v>1</v>
      </c>
      <c r="L68" s="139">
        <f t="shared" si="8"/>
        <v>2.1</v>
      </c>
      <c r="M68" s="231">
        <v>0</v>
      </c>
      <c r="N68" s="231">
        <v>0</v>
      </c>
      <c r="O68" s="142">
        <f t="shared" si="9"/>
        <v>2.1</v>
      </c>
    </row>
    <row r="69" spans="2:15" ht="16" customHeight="1">
      <c r="B69" s="63">
        <v>60</v>
      </c>
      <c r="C69" s="114" t="s">
        <v>849</v>
      </c>
      <c r="D69" s="117" t="s">
        <v>857</v>
      </c>
      <c r="E69" s="140" t="s">
        <v>858</v>
      </c>
      <c r="F69" s="118" t="s">
        <v>755</v>
      </c>
      <c r="G69" s="227">
        <v>158.75</v>
      </c>
      <c r="H69" s="9" t="str">
        <f>IF($F69="부록4",IFERROR(INDEX(③1일작업량DB!$H$6:$H$169,MATCH(SUBSTITUTE($C69&amp;"|"&amp;$D69,"~","~~"),③1일작업량DB!$J$6:$J$169,0)),"-"),"")</f>
        <v>m/일</v>
      </c>
      <c r="I69" s="227"/>
      <c r="J69" s="229">
        <f>IF($F69="부록4",IFERROR(INDEX(③1일작업량DB!$G$6:$G$169,MATCH(SUBSTITUTE($C69&amp;"|"&amp;$D69,"~","~~"),③1일작업량DB!$J$6:$J$169,0)),""),$I69)</f>
        <v>200</v>
      </c>
      <c r="K69" s="235">
        <v>1</v>
      </c>
      <c r="L69" s="139">
        <f t="shared" si="8"/>
        <v>0.79999999999999993</v>
      </c>
      <c r="M69" s="231">
        <v>0</v>
      </c>
      <c r="N69" s="231">
        <v>0</v>
      </c>
      <c r="O69" s="142">
        <f t="shared" si="9"/>
        <v>0.79999999999999993</v>
      </c>
    </row>
    <row r="70" spans="2:15" ht="16" customHeight="1">
      <c r="B70" s="63">
        <v>61</v>
      </c>
      <c r="C70" s="114" t="s">
        <v>849</v>
      </c>
      <c r="D70" s="117" t="s">
        <v>863</v>
      </c>
      <c r="E70" s="140" t="s">
        <v>1115</v>
      </c>
      <c r="F70" s="118" t="s">
        <v>755</v>
      </c>
      <c r="G70" s="227">
        <v>18</v>
      </c>
      <c r="H70" s="9" t="str">
        <f>IF($F70="부록4",IFERROR(INDEX(③1일작업량DB!$H$6:$H$169,MATCH(SUBSTITUTE($C70&amp;"|"&amp;$D70,"~","~~"),③1일작업량DB!$J$6:$J$169,0)),"-"),"")</f>
        <v>본/일</v>
      </c>
      <c r="I70" s="227"/>
      <c r="J70" s="229">
        <f>IF($F70="부록4",IFERROR(INDEX(③1일작업량DB!$G$6:$G$169,MATCH(SUBSTITUTE($C70&amp;"|"&amp;$D70,"~","~~"),③1일작업량DB!$J$6:$J$169,0)),""),$I70)</f>
        <v>6</v>
      </c>
      <c r="K70" s="235">
        <v>1</v>
      </c>
      <c r="L70" s="139">
        <f t="shared" si="8"/>
        <v>3</v>
      </c>
      <c r="M70" s="231">
        <v>0</v>
      </c>
      <c r="N70" s="231">
        <v>0</v>
      </c>
      <c r="O70" s="142">
        <f t="shared" si="9"/>
        <v>3</v>
      </c>
    </row>
    <row r="71" spans="2:15" ht="16" customHeight="1">
      <c r="B71" s="63">
        <v>62</v>
      </c>
      <c r="C71" s="114" t="s">
        <v>849</v>
      </c>
      <c r="D71" s="117" t="s">
        <v>865</v>
      </c>
      <c r="E71" s="140" t="s">
        <v>1116</v>
      </c>
      <c r="F71" s="118" t="s">
        <v>755</v>
      </c>
      <c r="G71" s="227">
        <v>18</v>
      </c>
      <c r="H71" s="9" t="str">
        <f>IF($F71="부록4",IFERROR(INDEX(③1일작업량DB!$H$6:$H$169,MATCH(SUBSTITUTE($C71&amp;"|"&amp;$D71,"~","~~"),③1일작업량DB!$J$6:$J$169,0)),"-"),"")</f>
        <v>본/일</v>
      </c>
      <c r="I71" s="227"/>
      <c r="J71" s="229">
        <f>IF($F71="부록4",IFERROR(INDEX(③1일작업량DB!$G$6:$G$169,MATCH(SUBSTITUTE($C71&amp;"|"&amp;$D71,"~","~~"),③1일작업량DB!$J$6:$J$169,0)),""),$I71)</f>
        <v>8</v>
      </c>
      <c r="K71" s="235">
        <v>1</v>
      </c>
      <c r="L71" s="139">
        <f t="shared" si="8"/>
        <v>2.3000000000000003</v>
      </c>
      <c r="M71" s="231">
        <v>0</v>
      </c>
      <c r="N71" s="231">
        <v>0</v>
      </c>
      <c r="O71" s="142">
        <f t="shared" si="9"/>
        <v>2.3000000000000003</v>
      </c>
    </row>
    <row r="72" spans="2:15" ht="16" customHeight="1">
      <c r="B72" s="63">
        <v>63</v>
      </c>
      <c r="C72" s="114" t="s">
        <v>849</v>
      </c>
      <c r="D72" s="117" t="s">
        <v>867</v>
      </c>
      <c r="E72" s="140" t="s">
        <v>1117</v>
      </c>
      <c r="F72" s="118" t="s">
        <v>755</v>
      </c>
      <c r="G72" s="227">
        <v>12</v>
      </c>
      <c r="H72" s="9" t="str">
        <f>IF($F72="부록4",IFERROR(INDEX(③1일작업량DB!$H$6:$H$169,MATCH(SUBSTITUTE($C72&amp;"|"&amp;$D72,"~","~~"),③1일작업량DB!$J$6:$J$169,0)),"-"),"")</f>
        <v>본/일</v>
      </c>
      <c r="I72" s="227"/>
      <c r="J72" s="229">
        <f>IF($F72="부록4",IFERROR(INDEX(③1일작업량DB!$G$6:$G$169,MATCH(SUBSTITUTE($C72&amp;"|"&amp;$D72,"~","~~"),③1일작업량DB!$J$6:$J$169,0)),""),$I72)</f>
        <v>5</v>
      </c>
      <c r="K72" s="235">
        <v>1</v>
      </c>
      <c r="L72" s="139">
        <f t="shared" si="8"/>
        <v>2.4</v>
      </c>
      <c r="M72" s="231">
        <v>0</v>
      </c>
      <c r="N72" s="231">
        <v>0</v>
      </c>
      <c r="O72" s="142">
        <f t="shared" si="9"/>
        <v>2.4</v>
      </c>
    </row>
    <row r="73" spans="2:15" ht="16" customHeight="1">
      <c r="B73" s="63">
        <v>64</v>
      </c>
      <c r="C73" s="114" t="s">
        <v>849</v>
      </c>
      <c r="D73" s="117" t="s">
        <v>869</v>
      </c>
      <c r="E73" s="140" t="s">
        <v>1117</v>
      </c>
      <c r="F73" s="118" t="s">
        <v>755</v>
      </c>
      <c r="G73" s="227">
        <v>12</v>
      </c>
      <c r="H73" s="9" t="str">
        <f>IF($F73="부록4",IFERROR(INDEX(③1일작업량DB!$H$6:$H$169,MATCH(SUBSTITUTE($C73&amp;"|"&amp;$D73,"~","~~"),③1일작업량DB!$J$6:$J$169,0)),"-"),"")</f>
        <v>본/일</v>
      </c>
      <c r="I73" s="227"/>
      <c r="J73" s="229">
        <f>IF($F73="부록4",IFERROR(INDEX(③1일작업량DB!$G$6:$G$169,MATCH(SUBSTITUTE($C73&amp;"|"&amp;$D73,"~","~~"),③1일작업량DB!$J$6:$J$169,0)),""),$I73)</f>
        <v>7</v>
      </c>
      <c r="K73" s="235">
        <v>1</v>
      </c>
      <c r="L73" s="139">
        <f t="shared" si="8"/>
        <v>1.8</v>
      </c>
      <c r="M73" s="231">
        <v>0</v>
      </c>
      <c r="N73" s="231">
        <v>0</v>
      </c>
      <c r="O73" s="142">
        <f t="shared" si="9"/>
        <v>1.8</v>
      </c>
    </row>
    <row r="74" spans="2:15" ht="16" customHeight="1">
      <c r="B74" s="63">
        <v>65</v>
      </c>
      <c r="C74" s="114" t="s">
        <v>849</v>
      </c>
      <c r="D74" s="117" t="s">
        <v>1118</v>
      </c>
      <c r="E74" s="140" t="s">
        <v>1119</v>
      </c>
      <c r="F74" s="118" t="s">
        <v>1120</v>
      </c>
      <c r="G74" s="227">
        <v>162.13999999999999</v>
      </c>
      <c r="H74" s="9" t="s">
        <v>833</v>
      </c>
      <c r="I74" s="227">
        <v>40</v>
      </c>
      <c r="J74" s="229">
        <f>IF($F74="부록4",IFERROR(INDEX(③1일작업량DB!$G$6:$G$169,MATCH(SUBSTITUTE($C74&amp;"|"&amp;$D74,"~","~~"),③1일작업량DB!$J$6:$J$169,0)),""),$I74)</f>
        <v>40</v>
      </c>
      <c r="K74" s="235">
        <v>1</v>
      </c>
      <c r="L74" s="139">
        <f t="shared" si="8"/>
        <v>4.0999999999999996</v>
      </c>
      <c r="M74" s="231">
        <v>0</v>
      </c>
      <c r="N74" s="231">
        <v>0</v>
      </c>
      <c r="O74" s="142">
        <f t="shared" si="9"/>
        <v>4.0999999999999996</v>
      </c>
    </row>
    <row r="75" spans="2:15" ht="16" customHeight="1">
      <c r="B75" s="145"/>
      <c r="C75" s="443" t="s">
        <v>1121</v>
      </c>
      <c r="D75" s="166"/>
      <c r="E75" s="167"/>
      <c r="F75" s="159"/>
      <c r="G75" s="160"/>
      <c r="H75" s="145"/>
      <c r="I75" s="161"/>
      <c r="J75" s="162"/>
      <c r="K75" s="163"/>
      <c r="L75" s="164"/>
      <c r="M75" s="163"/>
      <c r="N75" s="163"/>
      <c r="O75" s="165">
        <f>SUM(O76:O92)</f>
        <v>3.7000000000000006</v>
      </c>
    </row>
    <row r="76" spans="2:15" ht="16" customHeight="1">
      <c r="B76" s="63">
        <v>66</v>
      </c>
      <c r="C76" s="114" t="s">
        <v>291</v>
      </c>
      <c r="D76" s="117" t="s">
        <v>292</v>
      </c>
      <c r="E76" s="140" t="s">
        <v>1122</v>
      </c>
      <c r="F76" s="118" t="s">
        <v>755</v>
      </c>
      <c r="G76" s="227">
        <v>31.4</v>
      </c>
      <c r="H76" s="9" t="str">
        <f>IF($F76="부록4",IFERROR(INDEX(③1일작업량DB!$H$6:$H$169,MATCH(SUBSTITUTE($C76&amp;"|"&amp;$D76,"~","~~"),③1일작업량DB!$J$6:$J$169,0)),"-"),"")</f>
        <v>㎥/일</v>
      </c>
      <c r="I76" s="227"/>
      <c r="J76" s="229">
        <f>IF($F76="부록4",IFERROR(INDEX(③1일작업량DB!$G$6:$G$169,MATCH(SUBSTITUTE($C76&amp;"|"&amp;$D76,"~","~~"),③1일작업량DB!$J$6:$J$169,0)),""),$I76)</f>
        <v>550</v>
      </c>
      <c r="K76" s="235">
        <v>1</v>
      </c>
      <c r="L76" s="139">
        <f t="shared" ref="L76:L92" si="10">IFERROR(IF(AND($G76&gt;0,$J76&gt;0,$K76&gt;0),ROUNDUP($G76/($J76*$K76),1),0),0)</f>
        <v>0.1</v>
      </c>
      <c r="M76" s="231">
        <v>0</v>
      </c>
      <c r="N76" s="231">
        <v>0</v>
      </c>
      <c r="O76" s="142">
        <f t="shared" ref="O76:O92" si="11">$L76+$M76+$N76</f>
        <v>0.1</v>
      </c>
    </row>
    <row r="77" spans="2:15" ht="16" customHeight="1">
      <c r="B77" s="63">
        <v>67</v>
      </c>
      <c r="C77" s="114" t="s">
        <v>291</v>
      </c>
      <c r="D77" s="117" t="s">
        <v>292</v>
      </c>
      <c r="E77" s="140" t="s">
        <v>1123</v>
      </c>
      <c r="F77" s="118" t="s">
        <v>755</v>
      </c>
      <c r="G77" s="227">
        <v>26.91</v>
      </c>
      <c r="H77" s="9" t="str">
        <f>IF($F77="부록4",IFERROR(INDEX(③1일작업량DB!$H$6:$H$169,MATCH(SUBSTITUTE($C77&amp;"|"&amp;$D77,"~","~~"),③1일작업량DB!$J$6:$J$169,0)),"-"),"")</f>
        <v>㎥/일</v>
      </c>
      <c r="I77" s="227"/>
      <c r="J77" s="229">
        <f>IF($F77="부록4",IFERROR(INDEX(③1일작업량DB!$G$6:$G$169,MATCH(SUBSTITUTE($C77&amp;"|"&amp;$D77,"~","~~"),③1일작업량DB!$J$6:$J$169,0)),""),$I77)</f>
        <v>550</v>
      </c>
      <c r="K77" s="235">
        <v>1</v>
      </c>
      <c r="L77" s="139">
        <f t="shared" si="10"/>
        <v>0.1</v>
      </c>
      <c r="M77" s="231">
        <v>0</v>
      </c>
      <c r="N77" s="231">
        <v>0</v>
      </c>
      <c r="O77" s="142">
        <f t="shared" si="11"/>
        <v>0.1</v>
      </c>
    </row>
    <row r="78" spans="2:15" ht="16" customHeight="1">
      <c r="B78" s="63">
        <v>68</v>
      </c>
      <c r="C78" s="114" t="s">
        <v>291</v>
      </c>
      <c r="D78" s="117" t="s">
        <v>897</v>
      </c>
      <c r="E78" s="140" t="s">
        <v>1124</v>
      </c>
      <c r="F78" s="118" t="s">
        <v>755</v>
      </c>
      <c r="G78" s="227">
        <v>89.7</v>
      </c>
      <c r="H78" s="9" t="str">
        <f>IF($F78="부록4",IFERROR(INDEX(③1일작업량DB!$H$6:$H$169,MATCH(SUBSTITUTE($C78&amp;"|"&amp;$D78,"~","~~"),③1일작업량DB!$J$6:$J$169,0)),"-"),"")</f>
        <v>㎡/일</v>
      </c>
      <c r="I78" s="227"/>
      <c r="J78" s="229">
        <f>IF($F78="부록4",IFERROR(INDEX(③1일작업량DB!$G$6:$G$169,MATCH(SUBSTITUTE($C78&amp;"|"&amp;$D78,"~","~~"),③1일작업량DB!$J$6:$J$169,0)),""),$I78)</f>
        <v>3000</v>
      </c>
      <c r="K78" s="235">
        <v>1</v>
      </c>
      <c r="L78" s="139">
        <f t="shared" si="10"/>
        <v>0.1</v>
      </c>
      <c r="M78" s="231">
        <v>0</v>
      </c>
      <c r="N78" s="231">
        <v>0</v>
      </c>
      <c r="O78" s="142">
        <f t="shared" si="11"/>
        <v>0.1</v>
      </c>
    </row>
    <row r="79" spans="2:15" ht="16" customHeight="1">
      <c r="B79" s="63">
        <v>69</v>
      </c>
      <c r="C79" s="114" t="s">
        <v>291</v>
      </c>
      <c r="D79" s="117" t="s">
        <v>761</v>
      </c>
      <c r="E79" s="140" t="s">
        <v>1125</v>
      </c>
      <c r="F79" s="118" t="s">
        <v>755</v>
      </c>
      <c r="G79" s="227">
        <v>89.7</v>
      </c>
      <c r="H79" s="9" t="str">
        <f>IF($F79="부록4",IFERROR(INDEX(③1일작업량DB!$H$6:$H$169,MATCH(SUBSTITUTE($C79&amp;"|"&amp;$D79,"~","~~"),③1일작업량DB!$J$6:$J$169,0)),"-"),"")</f>
        <v>㎡/일</v>
      </c>
      <c r="I79" s="227"/>
      <c r="J79" s="229">
        <f>IF($F79="부록4",IFERROR(INDEX(③1일작업량DB!$G$6:$G$169,MATCH(SUBSTITUTE($C79&amp;"|"&amp;$D79,"~","~~"),③1일작업량DB!$J$6:$J$169,0)),""),$I79)</f>
        <v>4500</v>
      </c>
      <c r="K79" s="235">
        <v>1</v>
      </c>
      <c r="L79" s="139">
        <f t="shared" si="10"/>
        <v>0.1</v>
      </c>
      <c r="M79" s="231">
        <v>0</v>
      </c>
      <c r="N79" s="231">
        <v>0</v>
      </c>
      <c r="O79" s="142">
        <f t="shared" si="11"/>
        <v>0.1</v>
      </c>
    </row>
    <row r="80" spans="2:15" ht="16" customHeight="1">
      <c r="B80" s="145">
        <v>70</v>
      </c>
      <c r="C80" s="158" t="s">
        <v>291</v>
      </c>
      <c r="D80" s="166" t="s">
        <v>899</v>
      </c>
      <c r="E80" s="167" t="s">
        <v>1126</v>
      </c>
      <c r="F80" s="159" t="s">
        <v>755</v>
      </c>
      <c r="G80" s="228">
        <v>89.7</v>
      </c>
      <c r="H80" s="145" t="str">
        <f>IF($F80="부록4",IFERROR(INDEX(③1일작업량DB!$H$6:$H$169,MATCH(SUBSTITUTE($C80&amp;"|"&amp;$D80,"~","~~"),③1일작업량DB!$J$6:$J$169,0)),"-"),"")</f>
        <v>㎡/일</v>
      </c>
      <c r="I80" s="228"/>
      <c r="J80" s="230">
        <f>IF($F80="부록4",IFERROR(INDEX(③1일작업량DB!$G$6:$G$169,MATCH(SUBSTITUTE($C80&amp;"|"&amp;$D80,"~","~~"),③1일작업량DB!$J$6:$J$169,0)),""),$I80)</f>
        <v>3000</v>
      </c>
      <c r="K80" s="236">
        <v>1</v>
      </c>
      <c r="L80" s="164">
        <f t="shared" si="10"/>
        <v>0.1</v>
      </c>
      <c r="M80" s="232">
        <v>0</v>
      </c>
      <c r="N80" s="232">
        <v>0</v>
      </c>
      <c r="O80" s="165">
        <f t="shared" si="11"/>
        <v>0.1</v>
      </c>
    </row>
    <row r="81" spans="2:15" ht="16" customHeight="1">
      <c r="B81" s="63">
        <v>71</v>
      </c>
      <c r="C81" s="114" t="s">
        <v>291</v>
      </c>
      <c r="D81" s="117" t="s">
        <v>1036</v>
      </c>
      <c r="E81" s="140" t="s">
        <v>1127</v>
      </c>
      <c r="F81" s="118" t="s">
        <v>755</v>
      </c>
      <c r="G81" s="227">
        <v>89.7</v>
      </c>
      <c r="H81" s="9" t="str">
        <f>IF($F81="부록4",IFERROR(INDEX(③1일작업량DB!$H$6:$H$169,MATCH(SUBSTITUTE($C81&amp;"|"&amp;$D81,"~","~~"),③1일작업량DB!$J$6:$J$169,0)),"-"),"")</f>
        <v>㎡/일</v>
      </c>
      <c r="I81" s="227"/>
      <c r="J81" s="229">
        <f>IF($F81="부록4",IFERROR(INDEX(③1일작업량DB!$G$6:$G$169,MATCH(SUBSTITUTE($C81&amp;"|"&amp;$D81,"~","~~"),③1일작업량DB!$J$6:$J$169,0)),""),$I81)</f>
        <v>4800</v>
      </c>
      <c r="K81" s="235">
        <v>1</v>
      </c>
      <c r="L81" s="139">
        <f t="shared" si="10"/>
        <v>0.1</v>
      </c>
      <c r="M81" s="231">
        <v>0</v>
      </c>
      <c r="N81" s="231">
        <v>0</v>
      </c>
      <c r="O81" s="142">
        <f t="shared" si="11"/>
        <v>0.1</v>
      </c>
    </row>
    <row r="82" spans="2:15" ht="16" customHeight="1">
      <c r="B82" s="63">
        <v>72</v>
      </c>
      <c r="C82" s="114" t="s">
        <v>291</v>
      </c>
      <c r="D82" s="117" t="s">
        <v>893</v>
      </c>
      <c r="E82" s="140" t="s">
        <v>1128</v>
      </c>
      <c r="F82" s="118" t="s">
        <v>755</v>
      </c>
      <c r="G82" s="227">
        <v>45.4</v>
      </c>
      <c r="H82" s="9" t="str">
        <f>IF($F82="부록4",IFERROR(INDEX(③1일작업량DB!$H$6:$H$169,MATCH(SUBSTITUTE($C82&amp;"|"&amp;$D82,"~","~~"),③1일작업량DB!$J$6:$J$169,0)),"-"),"")</f>
        <v>m/일</v>
      </c>
      <c r="I82" s="227"/>
      <c r="J82" s="229">
        <f>IF($F82="부록4",IFERROR(INDEX(③1일작업량DB!$G$6:$G$169,MATCH(SUBSTITUTE($C82&amp;"|"&amp;$D82,"~","~~"),③1일작업량DB!$J$6:$J$169,0)),""),$I82)</f>
        <v>120</v>
      </c>
      <c r="K82" s="235">
        <v>1</v>
      </c>
      <c r="L82" s="139">
        <f t="shared" si="10"/>
        <v>0.4</v>
      </c>
      <c r="M82" s="231">
        <v>0</v>
      </c>
      <c r="N82" s="231">
        <v>0</v>
      </c>
      <c r="O82" s="142">
        <f t="shared" si="11"/>
        <v>0.4</v>
      </c>
    </row>
    <row r="83" spans="2:15" ht="16" customHeight="1">
      <c r="B83" s="63">
        <v>73</v>
      </c>
      <c r="C83" s="114" t="s">
        <v>291</v>
      </c>
      <c r="D83" s="117" t="s">
        <v>895</v>
      </c>
      <c r="E83" s="140" t="s">
        <v>1129</v>
      </c>
      <c r="F83" s="118" t="s">
        <v>755</v>
      </c>
      <c r="G83" s="227">
        <v>4.9029999999999996</v>
      </c>
      <c r="H83" s="9" t="str">
        <f>IF($F83="부록4",IFERROR(INDEX(③1일작업량DB!$H$6:$H$169,MATCH(SUBSTITUTE($C83&amp;"|"&amp;$D83,"~","~~"),③1일작업량DB!$J$6:$J$169,0)),"-"),"")</f>
        <v>㎥/일</v>
      </c>
      <c r="I83" s="227"/>
      <c r="J83" s="229">
        <f>IF($F83="부록4",IFERROR(INDEX(③1일작업량DB!$G$6:$G$169,MATCH(SUBSTITUTE($C83&amp;"|"&amp;$D83,"~","~~"),③1일작업량DB!$J$6:$J$169,0)),""),$I83)</f>
        <v>60</v>
      </c>
      <c r="K83" s="235">
        <v>1</v>
      </c>
      <c r="L83" s="139">
        <f t="shared" si="10"/>
        <v>0.1</v>
      </c>
      <c r="M83" s="231">
        <v>0</v>
      </c>
      <c r="N83" s="231">
        <v>0</v>
      </c>
      <c r="O83" s="142">
        <f t="shared" si="11"/>
        <v>0.1</v>
      </c>
    </row>
    <row r="84" spans="2:15" ht="16" customHeight="1">
      <c r="B84" s="63">
        <v>74</v>
      </c>
      <c r="C84" s="114" t="s">
        <v>291</v>
      </c>
      <c r="D84" s="117" t="s">
        <v>292</v>
      </c>
      <c r="E84" s="140" t="s">
        <v>1130</v>
      </c>
      <c r="F84" s="118" t="s">
        <v>755</v>
      </c>
      <c r="G84" s="227">
        <v>3.677</v>
      </c>
      <c r="H84" s="9" t="str">
        <f>IF($F84="부록4",IFERROR(INDEX(③1일작업량DB!$H$6:$H$169,MATCH(SUBSTITUTE($C84&amp;"|"&amp;$D84,"~","~~"),③1일작업량DB!$J$6:$J$169,0)),"-"),"")</f>
        <v>㎥/일</v>
      </c>
      <c r="I84" s="227"/>
      <c r="J84" s="229">
        <f>IF($F84="부록4",IFERROR(INDEX(③1일작업량DB!$G$6:$G$169,MATCH(SUBSTITUTE($C84&amp;"|"&amp;$D84,"~","~~"),③1일작업량DB!$J$6:$J$169,0)),""),$I84)</f>
        <v>550</v>
      </c>
      <c r="K84" s="235">
        <v>1</v>
      </c>
      <c r="L84" s="139">
        <f t="shared" si="10"/>
        <v>0.1</v>
      </c>
      <c r="M84" s="231">
        <v>0</v>
      </c>
      <c r="N84" s="231">
        <v>0</v>
      </c>
      <c r="O84" s="142">
        <f t="shared" si="11"/>
        <v>0.1</v>
      </c>
    </row>
    <row r="85" spans="2:15" ht="16" customHeight="1">
      <c r="B85" s="63">
        <v>75</v>
      </c>
      <c r="C85" s="114" t="s">
        <v>291</v>
      </c>
      <c r="D85" s="117" t="s">
        <v>761</v>
      </c>
      <c r="E85" s="140" t="s">
        <v>1131</v>
      </c>
      <c r="F85" s="118" t="s">
        <v>755</v>
      </c>
      <c r="G85" s="227">
        <v>24.515999999999998</v>
      </c>
      <c r="H85" s="9" t="str">
        <f>IF($F85="부록4",IFERROR(INDEX(③1일작업량DB!$H$6:$H$169,MATCH(SUBSTITUTE($C85&amp;"|"&amp;$D85,"~","~~"),③1일작업량DB!$J$6:$J$169,0)),"-"),"")</f>
        <v>㎡/일</v>
      </c>
      <c r="I85" s="227"/>
      <c r="J85" s="229">
        <f>IF($F85="부록4",IFERROR(INDEX(③1일작업량DB!$G$6:$G$169,MATCH(SUBSTITUTE($C85&amp;"|"&amp;$D85,"~","~~"),③1일작업량DB!$J$6:$J$169,0)),""),$I85)</f>
        <v>4500</v>
      </c>
      <c r="K85" s="235">
        <v>1</v>
      </c>
      <c r="L85" s="139">
        <f t="shared" si="10"/>
        <v>0.1</v>
      </c>
      <c r="M85" s="231">
        <v>0</v>
      </c>
      <c r="N85" s="231">
        <v>0</v>
      </c>
      <c r="O85" s="142">
        <f t="shared" si="11"/>
        <v>0.1</v>
      </c>
    </row>
    <row r="86" spans="2:15" ht="16" customHeight="1">
      <c r="B86" s="63">
        <v>76</v>
      </c>
      <c r="C86" s="114" t="s">
        <v>291</v>
      </c>
      <c r="D86" s="117" t="s">
        <v>1036</v>
      </c>
      <c r="E86" s="140" t="s">
        <v>1132</v>
      </c>
      <c r="F86" s="118" t="s">
        <v>755</v>
      </c>
      <c r="G86" s="227">
        <v>24.515999999999998</v>
      </c>
      <c r="H86" s="9" t="str">
        <f>IF($F86="부록4",IFERROR(INDEX(③1일작업량DB!$H$6:$H$169,MATCH(SUBSTITUTE($C86&amp;"|"&amp;$D86,"~","~~"),③1일작업량DB!$J$6:$J$169,0)),"-"),"")</f>
        <v>㎡/일</v>
      </c>
      <c r="I86" s="227"/>
      <c r="J86" s="229">
        <f>IF($F86="부록4",IFERROR(INDEX(③1일작업량DB!$G$6:$G$169,MATCH(SUBSTITUTE($C86&amp;"|"&amp;$D86,"~","~~"),③1일작업량DB!$J$6:$J$169,0)),""),$I86)</f>
        <v>4800</v>
      </c>
      <c r="K86" s="235">
        <v>1</v>
      </c>
      <c r="L86" s="139">
        <f t="shared" si="10"/>
        <v>0.1</v>
      </c>
      <c r="M86" s="231">
        <v>0</v>
      </c>
      <c r="N86" s="231">
        <v>0</v>
      </c>
      <c r="O86" s="142">
        <f t="shared" si="11"/>
        <v>0.1</v>
      </c>
    </row>
    <row r="87" spans="2:15" ht="16" customHeight="1">
      <c r="B87" s="63">
        <v>77</v>
      </c>
      <c r="C87" s="114" t="s">
        <v>291</v>
      </c>
      <c r="D87" s="117" t="s">
        <v>897</v>
      </c>
      <c r="E87" s="140" t="s">
        <v>1133</v>
      </c>
      <c r="F87" s="118" t="s">
        <v>755</v>
      </c>
      <c r="G87" s="227">
        <v>24.515999999999998</v>
      </c>
      <c r="H87" s="9" t="str">
        <f>IF($F87="부록4",IFERROR(INDEX(③1일작업량DB!$H$6:$H$169,MATCH(SUBSTITUTE($C87&amp;"|"&amp;$D87,"~","~~"),③1일작업량DB!$J$6:$J$169,0)),"-"),"")</f>
        <v>㎡/일</v>
      </c>
      <c r="I87" s="227"/>
      <c r="J87" s="229">
        <f>IF($F87="부록4",IFERROR(INDEX(③1일작업량DB!$G$6:$G$169,MATCH(SUBSTITUTE($C87&amp;"|"&amp;$D87,"~","~~"),③1일작업량DB!$J$6:$J$169,0)),""),$I87)</f>
        <v>3000</v>
      </c>
      <c r="K87" s="235">
        <v>1</v>
      </c>
      <c r="L87" s="139">
        <f t="shared" si="10"/>
        <v>0.1</v>
      </c>
      <c r="M87" s="231">
        <v>0</v>
      </c>
      <c r="N87" s="231">
        <v>0</v>
      </c>
      <c r="O87" s="142">
        <f t="shared" si="11"/>
        <v>0.1</v>
      </c>
    </row>
    <row r="88" spans="2:15" ht="16" customHeight="1">
      <c r="B88" s="63">
        <v>78</v>
      </c>
      <c r="C88" s="114" t="s">
        <v>291</v>
      </c>
      <c r="D88" s="117" t="s">
        <v>899</v>
      </c>
      <c r="E88" s="140" t="s">
        <v>1134</v>
      </c>
      <c r="F88" s="118" t="s">
        <v>755</v>
      </c>
      <c r="G88" s="227">
        <v>24.515999999999998</v>
      </c>
      <c r="H88" s="9" t="str">
        <f>IF($F88="부록4",IFERROR(INDEX(③1일작업량DB!$H$6:$H$169,MATCH(SUBSTITUTE($C88&amp;"|"&amp;$D88,"~","~~"),③1일작업량DB!$J$6:$J$169,0)),"-"),"")</f>
        <v>㎡/일</v>
      </c>
      <c r="I88" s="227"/>
      <c r="J88" s="229">
        <f>IF($F88="부록4",IFERROR(INDEX(③1일작업량DB!$G$6:$G$169,MATCH(SUBSTITUTE($C88&amp;"|"&amp;$D88,"~","~~"),③1일작업량DB!$J$6:$J$169,0)),""),$I88)</f>
        <v>3000</v>
      </c>
      <c r="K88" s="235">
        <v>1</v>
      </c>
      <c r="L88" s="139">
        <f t="shared" si="10"/>
        <v>0.1</v>
      </c>
      <c r="M88" s="231">
        <v>0</v>
      </c>
      <c r="N88" s="231">
        <v>0</v>
      </c>
      <c r="O88" s="142">
        <f t="shared" si="11"/>
        <v>0.1</v>
      </c>
    </row>
    <row r="89" spans="2:15" ht="16" customHeight="1">
      <c r="B89" s="145">
        <v>79</v>
      </c>
      <c r="C89" s="158" t="s">
        <v>361</v>
      </c>
      <c r="D89" s="166" t="s">
        <v>756</v>
      </c>
      <c r="E89" s="167" t="s">
        <v>1135</v>
      </c>
      <c r="F89" s="159" t="s">
        <v>755</v>
      </c>
      <c r="G89" s="228">
        <v>7.18</v>
      </c>
      <c r="H89" s="145" t="str">
        <f>IF($F89="부록4",IFERROR(INDEX(③1일작업량DB!$H$6:$H$169,MATCH(SUBSTITUTE($C89&amp;"|"&amp;$D89,"~","~~"),③1일작업량DB!$J$6:$J$169,0)),"-"),"")</f>
        <v>㎥/일</v>
      </c>
      <c r="I89" s="228"/>
      <c r="J89" s="230">
        <f>IF($F89="부록4",IFERROR(INDEX(③1일작업량DB!$G$6:$G$169,MATCH(SUBSTITUTE($C89&amp;"|"&amp;$D89,"~","~~"),③1일작업량DB!$J$6:$J$169,0)),""),$I89)</f>
        <v>189</v>
      </c>
      <c r="K89" s="236">
        <v>1</v>
      </c>
      <c r="L89" s="164">
        <f t="shared" si="10"/>
        <v>0.1</v>
      </c>
      <c r="M89" s="232">
        <v>0</v>
      </c>
      <c r="N89" s="232">
        <v>0</v>
      </c>
      <c r="O89" s="165">
        <f t="shared" si="11"/>
        <v>0.1</v>
      </c>
    </row>
    <row r="90" spans="2:15" ht="16" customHeight="1">
      <c r="B90" s="63">
        <v>80</v>
      </c>
      <c r="C90" s="114" t="s">
        <v>361</v>
      </c>
      <c r="D90" s="117" t="s">
        <v>758</v>
      </c>
      <c r="E90" s="140" t="s">
        <v>1136</v>
      </c>
      <c r="F90" s="118" t="s">
        <v>755</v>
      </c>
      <c r="G90" s="227">
        <v>30.06</v>
      </c>
      <c r="H90" s="9" t="str">
        <f>IF($F90="부록4",IFERROR(INDEX(③1일작업량DB!$H$6:$H$169,MATCH(SUBSTITUTE($C90&amp;"|"&amp;$D90,"~","~~"),③1일작업량DB!$J$6:$J$169,0)),"-"),"")</f>
        <v>㎡/일</v>
      </c>
      <c r="I90" s="227"/>
      <c r="J90" s="229">
        <f>IF($F90="부록4",IFERROR(INDEX(③1일작업량DB!$G$6:$G$169,MATCH(SUBSTITUTE($C90&amp;"|"&amp;$D90,"~","~~"),③1일작업량DB!$J$6:$J$169,0)),""),$I90)</f>
        <v>60</v>
      </c>
      <c r="K90" s="235">
        <v>1</v>
      </c>
      <c r="L90" s="139">
        <f t="shared" si="10"/>
        <v>0.6</v>
      </c>
      <c r="M90" s="231">
        <v>0</v>
      </c>
      <c r="N90" s="231">
        <v>0</v>
      </c>
      <c r="O90" s="142">
        <f t="shared" si="11"/>
        <v>0.6</v>
      </c>
    </row>
    <row r="91" spans="2:15" ht="16" customHeight="1">
      <c r="B91" s="63">
        <v>81</v>
      </c>
      <c r="C91" s="114" t="s">
        <v>291</v>
      </c>
      <c r="D91" s="117" t="s">
        <v>903</v>
      </c>
      <c r="E91" s="140" t="s">
        <v>1137</v>
      </c>
      <c r="F91" s="118" t="s">
        <v>755</v>
      </c>
      <c r="G91" s="227">
        <v>77</v>
      </c>
      <c r="H91" s="9" t="str">
        <f>IF($F91="부록4",IFERROR(INDEX(③1일작업량DB!$H$6:$H$169,MATCH(SUBSTITUTE($C91&amp;"|"&amp;$D91,"~","~~"),③1일작업량DB!$J$6:$J$169,0)),"-"),"")</f>
        <v>m/일</v>
      </c>
      <c r="I91" s="227"/>
      <c r="J91" s="229">
        <f>IF($F91="부록4",IFERROR(INDEX(③1일작업량DB!$G$6:$G$169,MATCH(SUBSTITUTE($C91&amp;"|"&amp;$D91,"~","~~"),③1일작업량DB!$J$6:$J$169,0)),""),$I91)</f>
        <v>60</v>
      </c>
      <c r="K91" s="235">
        <v>1</v>
      </c>
      <c r="L91" s="139">
        <f t="shared" si="10"/>
        <v>1.3</v>
      </c>
      <c r="M91" s="231">
        <v>0</v>
      </c>
      <c r="N91" s="231">
        <v>0</v>
      </c>
      <c r="O91" s="142">
        <f t="shared" si="11"/>
        <v>1.3</v>
      </c>
    </row>
    <row r="92" spans="2:15" ht="16" customHeight="1">
      <c r="B92" s="63">
        <v>82</v>
      </c>
      <c r="C92" s="114" t="s">
        <v>291</v>
      </c>
      <c r="D92" s="117" t="s">
        <v>905</v>
      </c>
      <c r="E92" s="140" t="s">
        <v>1138</v>
      </c>
      <c r="F92" s="118" t="s">
        <v>755</v>
      </c>
      <c r="G92" s="227">
        <v>2.25</v>
      </c>
      <c r="H92" s="9" t="str">
        <f>IF($F92="부록4",IFERROR(INDEX(③1일작업량DB!$H$6:$H$169,MATCH(SUBSTITUTE($C92&amp;"|"&amp;$D92,"~","~~"),③1일작업량DB!$J$6:$J$169,0)),"-"),"")</f>
        <v>㎡/일</v>
      </c>
      <c r="I92" s="227"/>
      <c r="J92" s="229">
        <f>IF($F92="부록4",IFERROR(INDEX(③1일작업량DB!$G$6:$G$169,MATCH(SUBSTITUTE($C92&amp;"|"&amp;$D92,"~","~~"),③1일작업량DB!$J$6:$J$169,0)),""),$I92)</f>
        <v>300</v>
      </c>
      <c r="K92" s="235">
        <v>1</v>
      </c>
      <c r="L92" s="139">
        <f t="shared" si="10"/>
        <v>0.1</v>
      </c>
      <c r="M92" s="231">
        <v>0</v>
      </c>
      <c r="N92" s="231">
        <v>0</v>
      </c>
      <c r="O92" s="142">
        <f t="shared" si="11"/>
        <v>0.1</v>
      </c>
    </row>
    <row r="93" spans="2:15" ht="16" customHeight="1">
      <c r="B93" s="145"/>
      <c r="C93" s="443" t="s">
        <v>1139</v>
      </c>
      <c r="D93" s="166"/>
      <c r="E93" s="167"/>
      <c r="F93" s="159"/>
      <c r="G93" s="160"/>
      <c r="H93" s="145"/>
      <c r="I93" s="161"/>
      <c r="J93" s="162"/>
      <c r="K93" s="163"/>
      <c r="L93" s="164"/>
      <c r="M93" s="163"/>
      <c r="N93" s="163"/>
      <c r="O93" s="165">
        <f>SUM(O94:O106)</f>
        <v>17.600000000000001</v>
      </c>
    </row>
    <row r="94" spans="2:15" ht="16" customHeight="1">
      <c r="B94" s="63">
        <v>83</v>
      </c>
      <c r="C94" s="114" t="s">
        <v>361</v>
      </c>
      <c r="D94" s="117" t="s">
        <v>756</v>
      </c>
      <c r="E94" s="140" t="s">
        <v>1140</v>
      </c>
      <c r="F94" s="118" t="s">
        <v>755</v>
      </c>
      <c r="G94" s="227">
        <v>3.27</v>
      </c>
      <c r="H94" s="9" t="str">
        <f>IF($F94="부록4",IFERROR(INDEX(③1일작업량DB!$H$6:$H$169,MATCH(SUBSTITUTE($C94&amp;"|"&amp;$D94,"~","~~"),③1일작업량DB!$J$6:$J$169,0)),"-"),"")</f>
        <v>㎥/일</v>
      </c>
      <c r="I94" s="227"/>
      <c r="J94" s="229">
        <f>IF($F94="부록4",IFERROR(INDEX(③1일작업량DB!$G$6:$G$169,MATCH(SUBSTITUTE($C94&amp;"|"&amp;$D94,"~","~~"),③1일작업량DB!$J$6:$J$169,0)),""),$I94)</f>
        <v>189</v>
      </c>
      <c r="K94" s="235">
        <v>1</v>
      </c>
      <c r="L94" s="139">
        <f t="shared" ref="L94:L106" si="12">IFERROR(IF(AND($G94&gt;0,$J94&gt;0,$K94&gt;0),ROUNDUP($G94/($J94*$K94),1),0),0)</f>
        <v>0.1</v>
      </c>
      <c r="M94" s="231">
        <v>0</v>
      </c>
      <c r="N94" s="231">
        <v>0</v>
      </c>
      <c r="O94" s="142">
        <f t="shared" ref="O94:O106" si="13">$L94+$M94+$N94</f>
        <v>0.1</v>
      </c>
    </row>
    <row r="95" spans="2:15" ht="16" customHeight="1">
      <c r="B95" s="63">
        <v>84</v>
      </c>
      <c r="C95" s="114" t="s">
        <v>361</v>
      </c>
      <c r="D95" s="117" t="s">
        <v>757</v>
      </c>
      <c r="E95" s="140" t="s">
        <v>1141</v>
      </c>
      <c r="F95" s="118" t="s">
        <v>755</v>
      </c>
      <c r="G95" s="227">
        <v>2.65</v>
      </c>
      <c r="H95" s="9" t="str">
        <f>IF($F95="부록4",IFERROR(INDEX(③1일작업량DB!$H$6:$H$169,MATCH(SUBSTITUTE($C95&amp;"|"&amp;$D95,"~","~~"),③1일작업량DB!$J$6:$J$169,0)),"-"),"")</f>
        <v>㎥/일</v>
      </c>
      <c r="I95" s="227"/>
      <c r="J95" s="229">
        <f>IF($F95="부록4",IFERROR(INDEX(③1일작업량DB!$G$6:$G$169,MATCH(SUBSTITUTE($C95&amp;"|"&amp;$D95,"~","~~"),③1일작업량DB!$J$6:$J$169,0)),""),$I95)</f>
        <v>130</v>
      </c>
      <c r="K95" s="235">
        <v>1</v>
      </c>
      <c r="L95" s="139">
        <f t="shared" si="12"/>
        <v>0.1</v>
      </c>
      <c r="M95" s="231">
        <v>0</v>
      </c>
      <c r="N95" s="231">
        <v>0</v>
      </c>
      <c r="O95" s="142">
        <f t="shared" si="13"/>
        <v>0.1</v>
      </c>
    </row>
    <row r="96" spans="2:15" ht="16" customHeight="1">
      <c r="B96" s="63">
        <v>85</v>
      </c>
      <c r="C96" s="114" t="s">
        <v>361</v>
      </c>
      <c r="D96" s="117" t="s">
        <v>362</v>
      </c>
      <c r="E96" s="140" t="s">
        <v>1142</v>
      </c>
      <c r="F96" s="118" t="s">
        <v>755</v>
      </c>
      <c r="G96" s="227">
        <v>0.19</v>
      </c>
      <c r="H96" s="9" t="str">
        <f>IF($F96="부록4",IFERROR(INDEX(③1일작업량DB!$H$6:$H$169,MATCH(SUBSTITUTE($C96&amp;"|"&amp;$D96,"~","~~"),③1일작업량DB!$J$6:$J$169,0)),"-"),"")</f>
        <v>ton/일</v>
      </c>
      <c r="I96" s="227"/>
      <c r="J96" s="229">
        <f>IF($F96="부록4",IFERROR(INDEX(③1일작업량DB!$G$6:$G$169,MATCH(SUBSTITUTE($C96&amp;"|"&amp;$D96,"~","~~"),③1일작업량DB!$J$6:$J$169,0)),""),$I96)</f>
        <v>4</v>
      </c>
      <c r="K96" s="235">
        <v>1</v>
      </c>
      <c r="L96" s="139">
        <f t="shared" si="12"/>
        <v>0.1</v>
      </c>
      <c r="M96" s="231">
        <v>0</v>
      </c>
      <c r="N96" s="231">
        <v>0</v>
      </c>
      <c r="O96" s="142">
        <f t="shared" si="13"/>
        <v>0.1</v>
      </c>
    </row>
    <row r="97" spans="2:15" ht="16" customHeight="1">
      <c r="B97" s="63">
        <v>86</v>
      </c>
      <c r="C97" s="114" t="s">
        <v>361</v>
      </c>
      <c r="D97" s="117" t="s">
        <v>758</v>
      </c>
      <c r="E97" s="140" t="s">
        <v>1143</v>
      </c>
      <c r="F97" s="118" t="s">
        <v>755</v>
      </c>
      <c r="G97" s="227">
        <v>24.67</v>
      </c>
      <c r="H97" s="9" t="str">
        <f>IF($F97="부록4",IFERROR(INDEX(③1일작업량DB!$H$6:$H$169,MATCH(SUBSTITUTE($C97&amp;"|"&amp;$D97,"~","~~"),③1일작업량DB!$J$6:$J$169,0)),"-"),"")</f>
        <v>㎡/일</v>
      </c>
      <c r="I97" s="227"/>
      <c r="J97" s="229">
        <f>IF($F97="부록4",IFERROR(INDEX(③1일작업량DB!$G$6:$G$169,MATCH(SUBSTITUTE($C97&amp;"|"&amp;$D97,"~","~~"),③1일작업량DB!$J$6:$J$169,0)),""),$I97)</f>
        <v>60</v>
      </c>
      <c r="K97" s="235">
        <v>1</v>
      </c>
      <c r="L97" s="139">
        <f t="shared" si="12"/>
        <v>0.5</v>
      </c>
      <c r="M97" s="231">
        <v>0</v>
      </c>
      <c r="N97" s="231">
        <v>0</v>
      </c>
      <c r="O97" s="142">
        <f t="shared" si="13"/>
        <v>0.5</v>
      </c>
    </row>
    <row r="98" spans="2:15" ht="16" customHeight="1">
      <c r="B98" s="63">
        <v>87</v>
      </c>
      <c r="C98" s="114" t="s">
        <v>921</v>
      </c>
      <c r="D98" s="117" t="s">
        <v>922</v>
      </c>
      <c r="E98" s="140" t="s">
        <v>1144</v>
      </c>
      <c r="F98" s="118" t="s">
        <v>755</v>
      </c>
      <c r="G98" s="227">
        <v>28</v>
      </c>
      <c r="H98" s="9" t="str">
        <f>IF($F98="부록4",IFERROR(INDEX(③1일작업량DB!$H$6:$H$169,MATCH(SUBSTITUTE($C98&amp;"|"&amp;$D98,"~","~~"),③1일작업량DB!$J$6:$J$169,0)),"-"),"")</f>
        <v>경간/일</v>
      </c>
      <c r="I98" s="227"/>
      <c r="J98" s="229">
        <f>IF($F98="부록4",IFERROR(INDEX(③1일작업량DB!$G$6:$G$169,MATCH(SUBSTITUTE($C98&amp;"|"&amp;$D98,"~","~~"),③1일작업량DB!$J$6:$J$169,0)),""),$I98)</f>
        <v>8</v>
      </c>
      <c r="K98" s="235">
        <v>1</v>
      </c>
      <c r="L98" s="139">
        <f t="shared" si="12"/>
        <v>3.5</v>
      </c>
      <c r="M98" s="231">
        <v>0</v>
      </c>
      <c r="N98" s="231">
        <v>0</v>
      </c>
      <c r="O98" s="142">
        <f t="shared" si="13"/>
        <v>3.5</v>
      </c>
    </row>
    <row r="99" spans="2:15" ht="15">
      <c r="B99" s="63">
        <v>88</v>
      </c>
      <c r="C99" s="114" t="s">
        <v>921</v>
      </c>
      <c r="D99" s="117" t="s">
        <v>1145</v>
      </c>
      <c r="E99" s="140" t="s">
        <v>1146</v>
      </c>
      <c r="F99" s="118" t="s">
        <v>1120</v>
      </c>
      <c r="G99" s="227">
        <v>1</v>
      </c>
      <c r="H99" s="9" t="s">
        <v>880</v>
      </c>
      <c r="I99" s="227">
        <v>1</v>
      </c>
      <c r="J99" s="229">
        <f>IF($F99="부록4",IFERROR(INDEX(③1일작업량DB!$G$6:$G$169,MATCH(SUBSTITUTE($C99&amp;"|"&amp;$D99,"~","~~"),③1일작업량DB!$J$6:$J$169,0)),""),$I99)</f>
        <v>1</v>
      </c>
      <c r="K99" s="235">
        <v>1</v>
      </c>
      <c r="L99" s="139">
        <f t="shared" si="12"/>
        <v>1</v>
      </c>
      <c r="M99" s="231">
        <v>0</v>
      </c>
      <c r="N99" s="231">
        <v>0</v>
      </c>
      <c r="O99" s="142">
        <f t="shared" si="13"/>
        <v>1</v>
      </c>
    </row>
    <row r="100" spans="2:15" ht="15">
      <c r="B100" s="63">
        <v>89</v>
      </c>
      <c r="C100" s="114" t="s">
        <v>921</v>
      </c>
      <c r="D100" s="117" t="s">
        <v>1147</v>
      </c>
      <c r="E100" s="140" t="s">
        <v>1148</v>
      </c>
      <c r="F100" s="118" t="s">
        <v>1120</v>
      </c>
      <c r="G100" s="227">
        <v>2</v>
      </c>
      <c r="H100" s="9" t="s">
        <v>880</v>
      </c>
      <c r="I100" s="227">
        <v>1</v>
      </c>
      <c r="J100" s="229">
        <f>IF($F100="부록4",IFERROR(INDEX(③1일작업량DB!$G$6:$G$169,MATCH(SUBSTITUTE($C100&amp;"|"&amp;$D100,"~","~~"),③1일작업량DB!$J$6:$J$169,0)),""),$I100)</f>
        <v>1</v>
      </c>
      <c r="K100" s="235">
        <v>1</v>
      </c>
      <c r="L100" s="139">
        <f t="shared" si="12"/>
        <v>2</v>
      </c>
      <c r="M100" s="231">
        <v>0</v>
      </c>
      <c r="N100" s="231">
        <v>0</v>
      </c>
      <c r="O100" s="142">
        <f t="shared" si="13"/>
        <v>2</v>
      </c>
    </row>
    <row r="101" spans="2:15" ht="15">
      <c r="B101" s="145">
        <v>90</v>
      </c>
      <c r="C101" s="158" t="s">
        <v>921</v>
      </c>
      <c r="D101" s="166" t="s">
        <v>1149</v>
      </c>
      <c r="E101" s="167" t="s">
        <v>1150</v>
      </c>
      <c r="F101" s="159" t="s">
        <v>1120</v>
      </c>
      <c r="G101" s="228">
        <v>100</v>
      </c>
      <c r="H101" s="145" t="s">
        <v>841</v>
      </c>
      <c r="I101" s="228">
        <v>50</v>
      </c>
      <c r="J101" s="230">
        <f>IF($F101="부록4",IFERROR(INDEX(③1일작업량DB!$G$6:$G$169,MATCH(SUBSTITUTE($C101&amp;"|"&amp;$D101,"~","~~"),③1일작업량DB!$J$6:$J$169,0)),""),$I101)</f>
        <v>50</v>
      </c>
      <c r="K101" s="236">
        <v>1</v>
      </c>
      <c r="L101" s="164">
        <f t="shared" si="12"/>
        <v>2</v>
      </c>
      <c r="M101" s="232">
        <v>0</v>
      </c>
      <c r="N101" s="232">
        <v>0</v>
      </c>
      <c r="O101" s="165">
        <f t="shared" si="13"/>
        <v>2</v>
      </c>
    </row>
    <row r="102" spans="2:15" ht="30">
      <c r="B102" s="63">
        <v>91</v>
      </c>
      <c r="C102" s="114" t="s">
        <v>921</v>
      </c>
      <c r="D102" s="117" t="s">
        <v>936</v>
      </c>
      <c r="E102" s="140" t="s">
        <v>1151</v>
      </c>
      <c r="F102" s="118" t="s">
        <v>755</v>
      </c>
      <c r="G102" s="227">
        <v>6</v>
      </c>
      <c r="H102" s="9" t="str">
        <f>IF($F102="부록4",IFERROR(INDEX(③1일작업량DB!$H$6:$H$169,MATCH(SUBSTITUTE($C102&amp;"|"&amp;$D102,"~","~~"),③1일작업량DB!$J$6:$J$169,0)),"-"),"")</f>
        <v>개소/일</v>
      </c>
      <c r="I102" s="227"/>
      <c r="J102" s="229">
        <f>IF($F102="부록4",IFERROR(INDEX(③1일작업량DB!$G$6:$G$169,MATCH(SUBSTITUTE($C102&amp;"|"&amp;$D102,"~","~~"),③1일작업량DB!$J$6:$J$169,0)),""),$I102)</f>
        <v>2</v>
      </c>
      <c r="K102" s="235">
        <v>1</v>
      </c>
      <c r="L102" s="139">
        <f t="shared" si="12"/>
        <v>3</v>
      </c>
      <c r="M102" s="231">
        <v>0</v>
      </c>
      <c r="N102" s="231">
        <v>0</v>
      </c>
      <c r="O102" s="142">
        <f t="shared" si="13"/>
        <v>3</v>
      </c>
    </row>
    <row r="103" spans="2:15" ht="15">
      <c r="B103" s="63">
        <v>92</v>
      </c>
      <c r="C103" s="114" t="s">
        <v>921</v>
      </c>
      <c r="D103" s="117" t="s">
        <v>1152</v>
      </c>
      <c r="E103" s="140" t="s">
        <v>1153</v>
      </c>
      <c r="F103" s="118" t="s">
        <v>1120</v>
      </c>
      <c r="G103" s="227">
        <v>10</v>
      </c>
      <c r="H103" s="9" t="s">
        <v>841</v>
      </c>
      <c r="I103" s="227">
        <v>20</v>
      </c>
      <c r="J103" s="229">
        <f>IF($F103="부록4",IFERROR(INDEX(③1일작업량DB!$G$6:$G$169,MATCH(SUBSTITUTE($C103&amp;"|"&amp;$D103,"~","~~"),③1일작업량DB!$J$6:$J$169,0)),""),$I103)</f>
        <v>20</v>
      </c>
      <c r="K103" s="235">
        <v>1</v>
      </c>
      <c r="L103" s="139">
        <f t="shared" si="12"/>
        <v>0.5</v>
      </c>
      <c r="M103" s="231">
        <v>0</v>
      </c>
      <c r="N103" s="231">
        <v>0</v>
      </c>
      <c r="O103" s="142">
        <f t="shared" si="13"/>
        <v>0.5</v>
      </c>
    </row>
    <row r="104" spans="2:15" ht="15">
      <c r="B104" s="63">
        <v>93</v>
      </c>
      <c r="C104" s="114" t="s">
        <v>921</v>
      </c>
      <c r="D104" s="117" t="s">
        <v>1154</v>
      </c>
      <c r="E104" s="140" t="s">
        <v>1155</v>
      </c>
      <c r="F104" s="118" t="s">
        <v>1120</v>
      </c>
      <c r="G104" s="227">
        <v>109.4</v>
      </c>
      <c r="H104" s="9" t="s">
        <v>841</v>
      </c>
      <c r="I104" s="227">
        <v>50</v>
      </c>
      <c r="J104" s="229">
        <f>IF($F104="부록4",IFERROR(INDEX(③1일작업량DB!$G$6:$G$169,MATCH(SUBSTITUTE($C104&amp;"|"&amp;$D104,"~","~~"),③1일작업량DB!$J$6:$J$169,0)),""),$I104)</f>
        <v>50</v>
      </c>
      <c r="K104" s="235">
        <v>1</v>
      </c>
      <c r="L104" s="139">
        <f t="shared" si="12"/>
        <v>2.2000000000000002</v>
      </c>
      <c r="M104" s="231">
        <v>0</v>
      </c>
      <c r="N104" s="231">
        <v>0</v>
      </c>
      <c r="O104" s="142">
        <f t="shared" si="13"/>
        <v>2.2000000000000002</v>
      </c>
    </row>
    <row r="105" spans="2:15" ht="15">
      <c r="B105" s="63">
        <v>94</v>
      </c>
      <c r="C105" s="114" t="s">
        <v>921</v>
      </c>
      <c r="D105" s="117" t="s">
        <v>1156</v>
      </c>
      <c r="E105" s="140" t="s">
        <v>1157</v>
      </c>
      <c r="F105" s="118" t="s">
        <v>1120</v>
      </c>
      <c r="G105" s="227">
        <v>109.4</v>
      </c>
      <c r="H105" s="9" t="s">
        <v>841</v>
      </c>
      <c r="I105" s="227">
        <v>200</v>
      </c>
      <c r="J105" s="229">
        <f>IF($F105="부록4",IFERROR(INDEX(③1일작업량DB!$G$6:$G$169,MATCH(SUBSTITUTE($C105&amp;"|"&amp;$D105,"~","~~"),③1일작업량DB!$J$6:$J$169,0)),""),$I105)</f>
        <v>200</v>
      </c>
      <c r="K105" s="235">
        <v>1</v>
      </c>
      <c r="L105" s="139">
        <f t="shared" si="12"/>
        <v>0.6</v>
      </c>
      <c r="M105" s="231">
        <v>0</v>
      </c>
      <c r="N105" s="231">
        <v>0</v>
      </c>
      <c r="O105" s="142">
        <f t="shared" si="13"/>
        <v>0.6</v>
      </c>
    </row>
    <row r="106" spans="2:15" ht="15">
      <c r="B106" s="63">
        <v>95</v>
      </c>
      <c r="C106" s="114" t="s">
        <v>921</v>
      </c>
      <c r="D106" s="117" t="s">
        <v>946</v>
      </c>
      <c r="E106" s="140" t="s">
        <v>1158</v>
      </c>
      <c r="F106" s="118" t="s">
        <v>755</v>
      </c>
      <c r="G106" s="227">
        <v>6</v>
      </c>
      <c r="H106" s="9" t="str">
        <f>IF($F106="부록4",IFERROR(INDEX(③1일작업량DB!$H$6:$H$169,MATCH(SUBSTITUTE($C106&amp;"|"&amp;$D106,"~","~~"),③1일작업량DB!$J$6:$J$169,0)),"-"),"")</f>
        <v>개소/일</v>
      </c>
      <c r="I106" s="227"/>
      <c r="J106" s="229">
        <f>IF($F106="부록4",IFERROR(INDEX(③1일작업량DB!$G$6:$G$169,MATCH(SUBSTITUTE($C106&amp;"|"&amp;$D106,"~","~~"),③1일작업량DB!$J$6:$J$169,0)),""),$I106)</f>
        <v>3</v>
      </c>
      <c r="K106" s="235">
        <v>1</v>
      </c>
      <c r="L106" s="139">
        <f t="shared" si="12"/>
        <v>2</v>
      </c>
      <c r="M106" s="231">
        <v>0</v>
      </c>
      <c r="N106" s="231">
        <v>0</v>
      </c>
      <c r="O106" s="142">
        <f t="shared" si="13"/>
        <v>2</v>
      </c>
    </row>
    <row r="107" spans="2:15" ht="15">
      <c r="B107" s="145"/>
      <c r="C107" s="443" t="s">
        <v>1168</v>
      </c>
      <c r="D107" s="166"/>
      <c r="E107" s="167"/>
      <c r="F107" s="159"/>
      <c r="G107" s="160"/>
      <c r="H107" s="145"/>
      <c r="I107" s="161"/>
      <c r="J107" s="162"/>
      <c r="K107" s="163"/>
      <c r="L107" s="164"/>
      <c r="M107" s="163"/>
      <c r="N107" s="163"/>
      <c r="O107" s="165">
        <f>SUM(O108:O115)</f>
        <v>35.899999999999991</v>
      </c>
    </row>
    <row r="108" spans="2:15" ht="15">
      <c r="B108" s="63">
        <v>96</v>
      </c>
      <c r="C108" s="114" t="s">
        <v>231</v>
      </c>
      <c r="D108" s="117" t="s">
        <v>950</v>
      </c>
      <c r="E108" s="140" t="s">
        <v>1169</v>
      </c>
      <c r="F108" s="118" t="s">
        <v>755</v>
      </c>
      <c r="G108" s="227">
        <v>1458.8</v>
      </c>
      <c r="H108" s="9" t="str">
        <f>IF($F108="부록4",IFERROR(INDEX(③1일작업량DB!$H$6:$H$169,MATCH(SUBSTITUTE($C108&amp;"|"&amp;$D108,"~","~~"),③1일작업량DB!$J$6:$J$169,0)),"-"),"")</f>
        <v>㎥/일</v>
      </c>
      <c r="I108" s="227"/>
      <c r="J108" s="229">
        <f>IF($F108="부록4",IFERROR(INDEX(③1일작업량DB!$G$6:$G$169,MATCH(SUBSTITUTE($C108&amp;"|"&amp;$D108,"~","~~"),③1일작업량DB!$J$6:$J$169,0)),""),$I108)</f>
        <v>349</v>
      </c>
      <c r="K108" s="235">
        <v>1</v>
      </c>
      <c r="L108" s="139">
        <f t="shared" ref="L108:L115" si="14">IFERROR(IF(AND($G108&gt;0,$J108&gt;0,$K108&gt;0),ROUNDUP($G108/($J108*$K108),1),0),0)</f>
        <v>4.1999999999999993</v>
      </c>
      <c r="M108" s="231">
        <v>0</v>
      </c>
      <c r="N108" s="231">
        <v>0</v>
      </c>
      <c r="O108" s="142">
        <f t="shared" ref="O108:O115" si="15">$L108+$M108+$N108</f>
        <v>4.1999999999999993</v>
      </c>
    </row>
    <row r="109" spans="2:15" ht="15">
      <c r="B109" s="63">
        <v>97</v>
      </c>
      <c r="C109" s="114" t="s">
        <v>231</v>
      </c>
      <c r="D109" s="117" t="s">
        <v>950</v>
      </c>
      <c r="E109" s="140" t="s">
        <v>1170</v>
      </c>
      <c r="F109" s="118" t="s">
        <v>755</v>
      </c>
      <c r="G109" s="227">
        <v>1099.5</v>
      </c>
      <c r="H109" s="9" t="str">
        <f>IF($F109="부록4",IFERROR(INDEX(③1일작업량DB!$H$6:$H$169,MATCH(SUBSTITUTE($C109&amp;"|"&amp;$D109,"~","~~"),③1일작업량DB!$J$6:$J$169,0)),"-"),"")</f>
        <v>㎥/일</v>
      </c>
      <c r="I109" s="227"/>
      <c r="J109" s="229">
        <f>IF($F109="부록4",IFERROR(INDEX(③1일작업량DB!$G$6:$G$169,MATCH(SUBSTITUTE($C109&amp;"|"&amp;$D109,"~","~~"),③1일작업량DB!$J$6:$J$169,0)),""),$I109)</f>
        <v>349</v>
      </c>
      <c r="K109" s="235">
        <v>1</v>
      </c>
      <c r="L109" s="139">
        <f t="shared" si="14"/>
        <v>3.2</v>
      </c>
      <c r="M109" s="231">
        <v>0</v>
      </c>
      <c r="N109" s="231">
        <v>0</v>
      </c>
      <c r="O109" s="142">
        <f t="shared" si="15"/>
        <v>3.2</v>
      </c>
    </row>
    <row r="110" spans="2:15" ht="15">
      <c r="B110" s="63">
        <v>98</v>
      </c>
      <c r="C110" s="114" t="s">
        <v>231</v>
      </c>
      <c r="D110" s="117" t="s">
        <v>950</v>
      </c>
      <c r="E110" s="140" t="s">
        <v>1171</v>
      </c>
      <c r="F110" s="118" t="s">
        <v>755</v>
      </c>
      <c r="G110" s="227">
        <v>518.04999999999995</v>
      </c>
      <c r="H110" s="9" t="str">
        <f>IF($F110="부록4",IFERROR(INDEX(③1일작업량DB!$H$6:$H$169,MATCH(SUBSTITUTE($C110&amp;"|"&amp;$D110,"~","~~"),③1일작업량DB!$J$6:$J$169,0)),"-"),"")</f>
        <v>㎥/일</v>
      </c>
      <c r="I110" s="227"/>
      <c r="J110" s="229">
        <f>IF($F110="부록4",IFERROR(INDEX(③1일작업량DB!$G$6:$G$169,MATCH(SUBSTITUTE($C110&amp;"|"&amp;$D110,"~","~~"),③1일작업량DB!$J$6:$J$169,0)),""),$I110)</f>
        <v>349</v>
      </c>
      <c r="K110" s="235">
        <v>1</v>
      </c>
      <c r="L110" s="139">
        <f t="shared" si="14"/>
        <v>1.5</v>
      </c>
      <c r="M110" s="231">
        <v>0</v>
      </c>
      <c r="N110" s="231">
        <v>0</v>
      </c>
      <c r="O110" s="142">
        <f t="shared" si="15"/>
        <v>1.5</v>
      </c>
    </row>
    <row r="111" spans="2:15" ht="15">
      <c r="B111" s="63">
        <v>99</v>
      </c>
      <c r="C111" s="114" t="s">
        <v>231</v>
      </c>
      <c r="D111" s="117" t="s">
        <v>257</v>
      </c>
      <c r="E111" s="140" t="s">
        <v>1172</v>
      </c>
      <c r="F111" s="118" t="s">
        <v>755</v>
      </c>
      <c r="G111" s="227">
        <v>501.97</v>
      </c>
      <c r="H111" s="9" t="str">
        <f>IF($F111="부록4",IFERROR(INDEX(③1일작업량DB!$H$6:$H$169,MATCH(SUBSTITUTE($C111&amp;"|"&amp;$D111,"~","~~"),③1일작업량DB!$J$6:$J$169,0)),"-"),"")</f>
        <v>㎥/일</v>
      </c>
      <c r="I111" s="227"/>
      <c r="J111" s="229">
        <f>IF($F111="부록4",IFERROR(INDEX(③1일작업량DB!$G$6:$G$169,MATCH(SUBSTITUTE($C111&amp;"|"&amp;$D111,"~","~~"),③1일작업량DB!$J$6:$J$169,0)),""),$I111)</f>
        <v>42</v>
      </c>
      <c r="K111" s="235">
        <v>2</v>
      </c>
      <c r="L111" s="139">
        <f t="shared" si="14"/>
        <v>6</v>
      </c>
      <c r="M111" s="231">
        <v>0</v>
      </c>
      <c r="N111" s="231">
        <v>0</v>
      </c>
      <c r="O111" s="142">
        <f t="shared" si="15"/>
        <v>6</v>
      </c>
    </row>
    <row r="112" spans="2:15" ht="15">
      <c r="B112" s="63">
        <v>100</v>
      </c>
      <c r="C112" s="114" t="s">
        <v>231</v>
      </c>
      <c r="D112" s="117" t="s">
        <v>257</v>
      </c>
      <c r="E112" s="140" t="s">
        <v>1173</v>
      </c>
      <c r="F112" s="118" t="s">
        <v>755</v>
      </c>
      <c r="G112" s="227">
        <v>689.27</v>
      </c>
      <c r="H112" s="9" t="str">
        <f>IF($F112="부록4",IFERROR(INDEX(③1일작업량DB!$H$6:$H$169,MATCH(SUBSTITUTE($C112&amp;"|"&amp;$D112,"~","~~"),③1일작업량DB!$J$6:$J$169,0)),"-"),"")</f>
        <v>㎥/일</v>
      </c>
      <c r="I112" s="227"/>
      <c r="J112" s="229">
        <f>IF($F112="부록4",IFERROR(INDEX(③1일작업량DB!$G$6:$G$169,MATCH(SUBSTITUTE($C112&amp;"|"&amp;$D112,"~","~~"),③1일작업량DB!$J$6:$J$169,0)),""),$I112)</f>
        <v>42</v>
      </c>
      <c r="K112" s="235">
        <v>2</v>
      </c>
      <c r="L112" s="139">
        <f t="shared" si="14"/>
        <v>8.2999999999999989</v>
      </c>
      <c r="M112" s="231">
        <v>0</v>
      </c>
      <c r="N112" s="231">
        <v>0</v>
      </c>
      <c r="O112" s="142">
        <f t="shared" si="15"/>
        <v>8.2999999999999989</v>
      </c>
    </row>
    <row r="113" spans="2:15" ht="15">
      <c r="B113" s="63">
        <v>101</v>
      </c>
      <c r="C113" s="114" t="s">
        <v>231</v>
      </c>
      <c r="D113" s="117" t="s">
        <v>257</v>
      </c>
      <c r="E113" s="140" t="s">
        <v>1174</v>
      </c>
      <c r="F113" s="118" t="s">
        <v>755</v>
      </c>
      <c r="G113" s="227">
        <v>293.98</v>
      </c>
      <c r="H113" s="9" t="str">
        <f>IF($F113="부록4",IFERROR(INDEX(③1일작업량DB!$H$6:$H$169,MATCH(SUBSTITUTE($C113&amp;"|"&amp;$D113,"~","~~"),③1일작업량DB!$J$6:$J$169,0)),"-"),"")</f>
        <v>㎥/일</v>
      </c>
      <c r="I113" s="227"/>
      <c r="J113" s="229">
        <f>IF($F113="부록4",IFERROR(INDEX(③1일작업량DB!$G$6:$G$169,MATCH(SUBSTITUTE($C113&amp;"|"&amp;$D113,"~","~~"),③1일작업량DB!$J$6:$J$169,0)),""),$I113)</f>
        <v>42</v>
      </c>
      <c r="K113" s="235">
        <v>2</v>
      </c>
      <c r="L113" s="139">
        <f t="shared" si="14"/>
        <v>3.5</v>
      </c>
      <c r="M113" s="231">
        <v>0</v>
      </c>
      <c r="N113" s="231">
        <v>0</v>
      </c>
      <c r="O113" s="142">
        <f t="shared" si="15"/>
        <v>3.5</v>
      </c>
    </row>
    <row r="114" spans="2:15" ht="30">
      <c r="B114" s="63">
        <v>102</v>
      </c>
      <c r="C114" s="114" t="s">
        <v>231</v>
      </c>
      <c r="D114" s="117" t="s">
        <v>827</v>
      </c>
      <c r="E114" s="140" t="s">
        <v>1175</v>
      </c>
      <c r="F114" s="118" t="s">
        <v>755</v>
      </c>
      <c r="G114" s="227">
        <v>749.35</v>
      </c>
      <c r="H114" s="9" t="str">
        <f>IF($F114="부록4",IFERROR(INDEX(③1일작업량DB!$H$6:$H$169,MATCH(SUBSTITUTE($C114&amp;"|"&amp;$D114,"~","~~"),③1일작업량DB!$J$6:$J$169,0)),"-"),"")</f>
        <v>㎥/일</v>
      </c>
      <c r="I114" s="227"/>
      <c r="J114" s="229">
        <f>IF($F114="부록4",IFERROR(INDEX(③1일작업량DB!$G$6:$G$169,MATCH(SUBSTITUTE($C114&amp;"|"&amp;$D114,"~","~~"),③1일작업량DB!$J$6:$J$169,0)),""),$I114)</f>
        <v>60</v>
      </c>
      <c r="K114" s="235">
        <v>2</v>
      </c>
      <c r="L114" s="139">
        <f t="shared" si="14"/>
        <v>6.3</v>
      </c>
      <c r="M114" s="231">
        <v>0</v>
      </c>
      <c r="N114" s="231">
        <v>0</v>
      </c>
      <c r="O114" s="142">
        <f t="shared" si="15"/>
        <v>6.3</v>
      </c>
    </row>
    <row r="115" spans="2:15" ht="30">
      <c r="B115" s="63">
        <v>103</v>
      </c>
      <c r="C115" s="114" t="s">
        <v>231</v>
      </c>
      <c r="D115" s="117" t="s">
        <v>829</v>
      </c>
      <c r="E115" s="140" t="s">
        <v>1176</v>
      </c>
      <c r="F115" s="118" t="s">
        <v>755</v>
      </c>
      <c r="G115" s="227">
        <v>1439.269</v>
      </c>
      <c r="H115" s="9" t="str">
        <f>IF($F115="부록4",IFERROR(INDEX(③1일작업량DB!$H$6:$H$169,MATCH(SUBSTITUTE($C115&amp;"|"&amp;$D115,"~","~~"),③1일작업량DB!$J$6:$J$169,0)),"-"),"")</f>
        <v>㎥/일</v>
      </c>
      <c r="I115" s="227"/>
      <c r="J115" s="229">
        <f>IF($F115="부록4",IFERROR(INDEX(③1일작업량DB!$G$6:$G$169,MATCH(SUBSTITUTE($C115&amp;"|"&amp;$D115,"~","~~"),③1일작업량DB!$J$6:$J$169,0)),""),$I115)</f>
        <v>500</v>
      </c>
      <c r="K115" s="235">
        <v>1</v>
      </c>
      <c r="L115" s="139">
        <f t="shared" si="14"/>
        <v>2.9</v>
      </c>
      <c r="M115" s="231">
        <v>0</v>
      </c>
      <c r="N115" s="231">
        <v>0</v>
      </c>
      <c r="O115" s="142">
        <f t="shared" si="15"/>
        <v>2.9</v>
      </c>
    </row>
    <row r="116" spans="2:15" ht="15">
      <c r="B116" s="145"/>
      <c r="C116" s="443" t="s">
        <v>1177</v>
      </c>
      <c r="D116" s="166"/>
      <c r="E116" s="167"/>
      <c r="F116" s="159"/>
      <c r="G116" s="160"/>
      <c r="H116" s="145"/>
      <c r="I116" s="161"/>
      <c r="J116" s="162"/>
      <c r="K116" s="163"/>
      <c r="L116" s="164"/>
      <c r="M116" s="163"/>
      <c r="N116" s="163"/>
      <c r="O116" s="165">
        <f>SUM(O117:O125)</f>
        <v>56.599999999999994</v>
      </c>
    </row>
    <row r="117" spans="2:15" ht="30">
      <c r="B117" s="63">
        <v>104</v>
      </c>
      <c r="C117" s="114" t="s">
        <v>269</v>
      </c>
      <c r="D117" s="117" t="s">
        <v>760</v>
      </c>
      <c r="E117" s="140" t="s">
        <v>1178</v>
      </c>
      <c r="F117" s="118" t="s">
        <v>755</v>
      </c>
      <c r="G117" s="227">
        <v>1230.3499999999999</v>
      </c>
      <c r="H117" s="9" t="str">
        <f>IF($F117="부록4",IFERROR(INDEX(③1일작업량DB!$H$6:$H$169,MATCH(SUBSTITUTE($C117&amp;"|"&amp;$D117,"~","~~"),③1일작업량DB!$J$6:$J$169,0)),"-"),"")</f>
        <v>m/일</v>
      </c>
      <c r="I117" s="227"/>
      <c r="J117" s="229">
        <f>IF($F117="부록4",IFERROR(INDEX(③1일작업량DB!$G$6:$G$169,MATCH(SUBSTITUTE($C117&amp;"|"&amp;$D117,"~","~~"),③1일작업량DB!$J$6:$J$169,0)),""),$I117)</f>
        <v>43</v>
      </c>
      <c r="K117" s="235">
        <v>2</v>
      </c>
      <c r="L117" s="139">
        <f t="shared" ref="L117:L125" si="16">IFERROR(IF(AND($G117&gt;0,$J117&gt;0,$K117&gt;0),ROUNDUP($G117/($J117*$K117),1),0),0)</f>
        <v>14.4</v>
      </c>
      <c r="M117" s="231">
        <v>0</v>
      </c>
      <c r="N117" s="231">
        <v>0</v>
      </c>
      <c r="O117" s="142">
        <f t="shared" ref="O117:O125" si="17">$L117+$M117+$N117</f>
        <v>14.4</v>
      </c>
    </row>
    <row r="118" spans="2:15" ht="15">
      <c r="B118" s="63">
        <v>105</v>
      </c>
      <c r="C118" s="114" t="s">
        <v>403</v>
      </c>
      <c r="D118" s="117" t="s">
        <v>915</v>
      </c>
      <c r="E118" s="140" t="s">
        <v>1179</v>
      </c>
      <c r="F118" s="118" t="s">
        <v>755</v>
      </c>
      <c r="G118" s="227">
        <v>39</v>
      </c>
      <c r="H118" s="9" t="str">
        <f>IF($F118="부록4",IFERROR(INDEX(③1일작업량DB!$H$6:$H$169,MATCH(SUBSTITUTE($C118&amp;"|"&amp;$D118,"~","~~"),③1일작업량DB!$J$6:$J$169,0)),"-"),"")</f>
        <v>개소/일</v>
      </c>
      <c r="I118" s="227"/>
      <c r="J118" s="229">
        <f>IF($F118="부록4",IFERROR(INDEX(③1일작업량DB!$G$6:$G$169,MATCH(SUBSTITUTE($C118&amp;"|"&amp;$D118,"~","~~"),③1일작업량DB!$J$6:$J$169,0)),""),$I118)</f>
        <v>12</v>
      </c>
      <c r="K118" s="235">
        <v>1</v>
      </c>
      <c r="L118" s="139">
        <f t="shared" si="16"/>
        <v>3.3000000000000003</v>
      </c>
      <c r="M118" s="231">
        <v>0</v>
      </c>
      <c r="N118" s="231">
        <v>0</v>
      </c>
      <c r="O118" s="142">
        <f t="shared" si="17"/>
        <v>3.3000000000000003</v>
      </c>
    </row>
    <row r="119" spans="2:15" ht="15">
      <c r="B119" s="63">
        <v>106</v>
      </c>
      <c r="C119" s="114" t="s">
        <v>403</v>
      </c>
      <c r="D119" s="117" t="s">
        <v>913</v>
      </c>
      <c r="E119" s="140" t="s">
        <v>1180</v>
      </c>
      <c r="F119" s="118" t="s">
        <v>755</v>
      </c>
      <c r="G119" s="227">
        <v>117</v>
      </c>
      <c r="H119" s="9" t="str">
        <f>IF($F119="부록4",IFERROR(INDEX(③1일작업량DB!$H$6:$H$169,MATCH(SUBSTITUTE($C119&amp;"|"&amp;$D119,"~","~~"),③1일작업량DB!$J$6:$J$169,0)),"-"),"")</f>
        <v>개소/일</v>
      </c>
      <c r="I119" s="227"/>
      <c r="J119" s="229">
        <f>IF($F119="부록4",IFERROR(INDEX(③1일작업량DB!$G$6:$G$169,MATCH(SUBSTITUTE($C119&amp;"|"&amp;$D119,"~","~~"),③1일작업량DB!$J$6:$J$169,0)),""),$I119)</f>
        <v>15</v>
      </c>
      <c r="K119" s="235">
        <v>1</v>
      </c>
      <c r="L119" s="139">
        <f t="shared" si="16"/>
        <v>7.8</v>
      </c>
      <c r="M119" s="231">
        <v>0</v>
      </c>
      <c r="N119" s="231">
        <v>0</v>
      </c>
      <c r="O119" s="142">
        <f t="shared" si="17"/>
        <v>7.8</v>
      </c>
    </row>
    <row r="120" spans="2:15" ht="15">
      <c r="B120" s="63">
        <v>107</v>
      </c>
      <c r="C120" s="114" t="s">
        <v>403</v>
      </c>
      <c r="D120" s="117" t="s">
        <v>911</v>
      </c>
      <c r="E120" s="140" t="s">
        <v>1181</v>
      </c>
      <c r="F120" s="118" t="s">
        <v>755</v>
      </c>
      <c r="G120" s="227">
        <v>28</v>
      </c>
      <c r="H120" s="9" t="str">
        <f>IF($F120="부록4",IFERROR(INDEX(③1일작업량DB!$H$6:$H$169,MATCH(SUBSTITUTE($C120&amp;"|"&amp;$D120,"~","~~"),③1일작업량DB!$J$6:$J$169,0)),"-"),"")</f>
        <v>개소/일</v>
      </c>
      <c r="I120" s="227"/>
      <c r="J120" s="229">
        <f>IF($F120="부록4",IFERROR(INDEX(③1일작업량DB!$G$6:$G$169,MATCH(SUBSTITUTE($C120&amp;"|"&amp;$D120,"~","~~"),③1일작업량DB!$J$6:$J$169,0)),""),$I120)</f>
        <v>8</v>
      </c>
      <c r="K120" s="235">
        <v>1</v>
      </c>
      <c r="L120" s="139">
        <f t="shared" si="16"/>
        <v>3.5</v>
      </c>
      <c r="M120" s="231">
        <v>0</v>
      </c>
      <c r="N120" s="231">
        <v>0</v>
      </c>
      <c r="O120" s="142">
        <f t="shared" si="17"/>
        <v>3.5</v>
      </c>
    </row>
    <row r="121" spans="2:15" ht="15">
      <c r="B121" s="63">
        <v>108</v>
      </c>
      <c r="C121" s="114" t="s">
        <v>403</v>
      </c>
      <c r="D121" s="117" t="s">
        <v>915</v>
      </c>
      <c r="E121" s="140" t="s">
        <v>1182</v>
      </c>
      <c r="F121" s="118" t="s">
        <v>755</v>
      </c>
      <c r="G121" s="227">
        <v>58</v>
      </c>
      <c r="H121" s="9" t="str">
        <f>IF($F121="부록4",IFERROR(INDEX(③1일작업량DB!$H$6:$H$169,MATCH(SUBSTITUTE($C121&amp;"|"&amp;$D121,"~","~~"),③1일작업량DB!$J$6:$J$169,0)),"-"),"")</f>
        <v>개소/일</v>
      </c>
      <c r="I121" s="227"/>
      <c r="J121" s="229">
        <f>IF($F121="부록4",IFERROR(INDEX(③1일작업량DB!$G$6:$G$169,MATCH(SUBSTITUTE($C121&amp;"|"&amp;$D121,"~","~~"),③1일작업량DB!$J$6:$J$169,0)),""),$I121)</f>
        <v>12</v>
      </c>
      <c r="K121" s="235">
        <v>1</v>
      </c>
      <c r="L121" s="139">
        <f t="shared" si="16"/>
        <v>4.8999999999999995</v>
      </c>
      <c r="M121" s="231">
        <v>0</v>
      </c>
      <c r="N121" s="231">
        <v>0</v>
      </c>
      <c r="O121" s="142">
        <f t="shared" si="17"/>
        <v>4.8999999999999995</v>
      </c>
    </row>
    <row r="122" spans="2:15" ht="15">
      <c r="B122" s="63">
        <v>109</v>
      </c>
      <c r="C122" s="114" t="s">
        <v>403</v>
      </c>
      <c r="D122" s="117" t="s">
        <v>919</v>
      </c>
      <c r="E122" s="140" t="s">
        <v>1183</v>
      </c>
      <c r="F122" s="118" t="s">
        <v>755</v>
      </c>
      <c r="G122" s="227">
        <v>1835.45</v>
      </c>
      <c r="H122" s="9" t="str">
        <f>IF($F122="부록4",IFERROR(INDEX(③1일작업량DB!$H$6:$H$169,MATCH(SUBSTITUTE($C122&amp;"|"&amp;$D122,"~","~~"),③1일작업량DB!$J$6:$J$169,0)),"-"),"")</f>
        <v>m/일</v>
      </c>
      <c r="I122" s="227"/>
      <c r="J122" s="229">
        <f>IF($F122="부록4",IFERROR(INDEX(③1일작업량DB!$G$6:$G$169,MATCH(SUBSTITUTE($C122&amp;"|"&amp;$D122,"~","~~"),③1일작업량DB!$J$6:$J$169,0)),""),$I122)</f>
        <v>300</v>
      </c>
      <c r="K122" s="235">
        <v>1</v>
      </c>
      <c r="L122" s="139">
        <f t="shared" si="16"/>
        <v>6.1999999999999993</v>
      </c>
      <c r="M122" s="231">
        <v>0</v>
      </c>
      <c r="N122" s="231">
        <v>0</v>
      </c>
      <c r="O122" s="142">
        <f t="shared" si="17"/>
        <v>6.1999999999999993</v>
      </c>
    </row>
    <row r="123" spans="2:15" ht="15">
      <c r="B123" s="63">
        <v>110</v>
      </c>
      <c r="C123" s="114" t="s">
        <v>269</v>
      </c>
      <c r="D123" s="117" t="s">
        <v>891</v>
      </c>
      <c r="E123" s="140" t="s">
        <v>1184</v>
      </c>
      <c r="F123" s="118" t="s">
        <v>755</v>
      </c>
      <c r="G123" s="227">
        <v>31</v>
      </c>
      <c r="H123" s="9" t="str">
        <f>IF($F123="부록4",IFERROR(INDEX(③1일작업량DB!$H$6:$H$169,MATCH(SUBSTITUTE($C123&amp;"|"&amp;$D123,"~","~~"),③1일작업량DB!$J$6:$J$169,0)),"-"),"")</f>
        <v>개소/일</v>
      </c>
      <c r="I123" s="227"/>
      <c r="J123" s="229">
        <f>IF($F123="부록4",IFERROR(INDEX(③1일작업량DB!$G$6:$G$169,MATCH(SUBSTITUTE($C123&amp;"|"&amp;$D123,"~","~~"),③1일작업량DB!$J$6:$J$169,0)),""),$I123)</f>
        <v>10</v>
      </c>
      <c r="K123" s="235">
        <v>1</v>
      </c>
      <c r="L123" s="139">
        <f t="shared" si="16"/>
        <v>3.1</v>
      </c>
      <c r="M123" s="231">
        <v>0</v>
      </c>
      <c r="N123" s="231">
        <v>0</v>
      </c>
      <c r="O123" s="142">
        <f t="shared" si="17"/>
        <v>3.1</v>
      </c>
    </row>
    <row r="124" spans="2:15" ht="15">
      <c r="B124" s="63">
        <v>111</v>
      </c>
      <c r="C124" s="114" t="s">
        <v>921</v>
      </c>
      <c r="D124" s="117" t="s">
        <v>946</v>
      </c>
      <c r="E124" s="140" t="s">
        <v>1185</v>
      </c>
      <c r="F124" s="118" t="s">
        <v>755</v>
      </c>
      <c r="G124" s="227">
        <v>43</v>
      </c>
      <c r="H124" s="9" t="str">
        <f>IF($F124="부록4",IFERROR(INDEX(③1일작업량DB!$H$6:$H$169,MATCH(SUBSTITUTE($C124&amp;"|"&amp;$D124,"~","~~"),③1일작업량DB!$J$6:$J$169,0)),"-"),"")</f>
        <v>개소/일</v>
      </c>
      <c r="I124" s="227"/>
      <c r="J124" s="229">
        <f>IF($F124="부록4",IFERROR(INDEX(③1일작업량DB!$G$6:$G$169,MATCH(SUBSTITUTE($C124&amp;"|"&amp;$D124,"~","~~"),③1일작업량DB!$J$6:$J$169,0)),""),$I124)</f>
        <v>3</v>
      </c>
      <c r="K124" s="235">
        <v>2</v>
      </c>
      <c r="L124" s="139">
        <f t="shared" si="16"/>
        <v>7.1999999999999993</v>
      </c>
      <c r="M124" s="231">
        <v>0</v>
      </c>
      <c r="N124" s="231">
        <v>0</v>
      </c>
      <c r="O124" s="142">
        <f t="shared" si="17"/>
        <v>7.1999999999999993</v>
      </c>
    </row>
    <row r="125" spans="2:15" ht="15">
      <c r="B125" s="63">
        <v>112</v>
      </c>
      <c r="C125" s="114" t="s">
        <v>921</v>
      </c>
      <c r="D125" s="117" t="s">
        <v>1156</v>
      </c>
      <c r="E125" s="140" t="s">
        <v>1186</v>
      </c>
      <c r="F125" s="118" t="s">
        <v>1120</v>
      </c>
      <c r="G125" s="227">
        <v>1230.3499999999999</v>
      </c>
      <c r="H125" s="9" t="s">
        <v>841</v>
      </c>
      <c r="I125" s="227">
        <v>200</v>
      </c>
      <c r="J125" s="229">
        <f>IF($F125="부록4",IFERROR(INDEX(③1일작업량DB!$G$6:$G$169,MATCH(SUBSTITUTE($C125&amp;"|"&amp;$D125,"~","~~"),③1일작업량DB!$J$6:$J$169,0)),""),$I125)</f>
        <v>200</v>
      </c>
      <c r="K125" s="235">
        <v>1</v>
      </c>
      <c r="L125" s="139">
        <f t="shared" si="16"/>
        <v>6.1999999999999993</v>
      </c>
      <c r="M125" s="231">
        <v>0</v>
      </c>
      <c r="N125" s="231">
        <v>0</v>
      </c>
      <c r="O125" s="142">
        <f t="shared" si="17"/>
        <v>6.1999999999999993</v>
      </c>
    </row>
    <row r="126" spans="2:15" ht="15">
      <c r="B126" s="145"/>
      <c r="C126" s="443" t="s">
        <v>1187</v>
      </c>
      <c r="D126" s="166"/>
      <c r="E126" s="167"/>
      <c r="F126" s="159"/>
      <c r="G126" s="160"/>
      <c r="H126" s="145"/>
      <c r="I126" s="161"/>
      <c r="J126" s="162"/>
      <c r="K126" s="163"/>
      <c r="L126" s="164"/>
      <c r="M126" s="163"/>
      <c r="N126" s="163"/>
      <c r="O126" s="165">
        <f>SUM(O127:O134)</f>
        <v>36.700000000000003</v>
      </c>
    </row>
    <row r="127" spans="2:15" ht="30">
      <c r="B127" s="63">
        <v>113</v>
      </c>
      <c r="C127" s="114" t="s">
        <v>269</v>
      </c>
      <c r="D127" s="117" t="s">
        <v>885</v>
      </c>
      <c r="E127" s="140" t="s">
        <v>1188</v>
      </c>
      <c r="F127" s="118" t="s">
        <v>755</v>
      </c>
      <c r="G127" s="227">
        <v>40</v>
      </c>
      <c r="H127" s="9" t="str">
        <f>IF($F127="부록4",IFERROR(INDEX(③1일작업량DB!$H$6:$H$169,MATCH(SUBSTITUTE($C127&amp;"|"&amp;$D127,"~","~~"),③1일작업량DB!$J$6:$J$169,0)),"-"),"")</f>
        <v>개소/일</v>
      </c>
      <c r="I127" s="227"/>
      <c r="J127" s="229">
        <f>IF($F127="부록4",IFERROR(INDEX(③1일작업량DB!$G$6:$G$169,MATCH(SUBSTITUTE($C127&amp;"|"&amp;$D127,"~","~~"),③1일작업량DB!$J$6:$J$169,0)),""),$I127)</f>
        <v>1.5</v>
      </c>
      <c r="K127" s="235">
        <v>2</v>
      </c>
      <c r="L127" s="139">
        <f t="shared" ref="L127:L134" si="18">IFERROR(IF(AND($G127&gt;0,$J127&gt;0,$K127&gt;0),ROUNDUP($G127/($J127*$K127),1),0),0)</f>
        <v>13.4</v>
      </c>
      <c r="M127" s="231">
        <v>0</v>
      </c>
      <c r="N127" s="231">
        <v>0</v>
      </c>
      <c r="O127" s="142">
        <f t="shared" ref="O127:O134" si="19">$L127+$M127+$N127</f>
        <v>13.4</v>
      </c>
    </row>
    <row r="128" spans="2:15" ht="15">
      <c r="B128" s="63">
        <v>114</v>
      </c>
      <c r="C128" s="114" t="s">
        <v>269</v>
      </c>
      <c r="D128" s="117" t="s">
        <v>891</v>
      </c>
      <c r="E128" s="140" t="s">
        <v>1189</v>
      </c>
      <c r="F128" s="118" t="s">
        <v>755</v>
      </c>
      <c r="G128" s="227">
        <v>32</v>
      </c>
      <c r="H128" s="9" t="str">
        <f>IF($F128="부록4",IFERROR(INDEX(③1일작업량DB!$H$6:$H$169,MATCH(SUBSTITUTE($C128&amp;"|"&amp;$D128,"~","~~"),③1일작업량DB!$J$6:$J$169,0)),"-"),"")</f>
        <v>개소/일</v>
      </c>
      <c r="I128" s="227"/>
      <c r="J128" s="229">
        <f>IF($F128="부록4",IFERROR(INDEX(③1일작업량DB!$G$6:$G$169,MATCH(SUBSTITUTE($C128&amp;"|"&amp;$D128,"~","~~"),③1일작업량DB!$J$6:$J$169,0)),""),$I128)</f>
        <v>10</v>
      </c>
      <c r="K128" s="235">
        <v>2</v>
      </c>
      <c r="L128" s="139">
        <f t="shared" si="18"/>
        <v>1.6</v>
      </c>
      <c r="M128" s="231">
        <v>0</v>
      </c>
      <c r="N128" s="231">
        <v>0</v>
      </c>
      <c r="O128" s="142">
        <f t="shared" si="19"/>
        <v>1.6</v>
      </c>
    </row>
    <row r="129" spans="2:15" ht="15">
      <c r="B129" s="63">
        <v>115</v>
      </c>
      <c r="C129" s="114" t="s">
        <v>269</v>
      </c>
      <c r="D129" s="117" t="s">
        <v>889</v>
      </c>
      <c r="E129" s="140" t="s">
        <v>1190</v>
      </c>
      <c r="F129" s="118" t="s">
        <v>755</v>
      </c>
      <c r="G129" s="227">
        <v>40</v>
      </c>
      <c r="H129" s="9" t="str">
        <f>IF($F129="부록4",IFERROR(INDEX(③1일작업량DB!$H$6:$H$169,MATCH(SUBSTITUTE($C129&amp;"|"&amp;$D129,"~","~~"),③1일작업량DB!$J$6:$J$169,0)),"-"),"")</f>
        <v>개소/일</v>
      </c>
      <c r="I129" s="227"/>
      <c r="J129" s="229">
        <f>IF($F129="부록4",IFERROR(INDEX(③1일작업량DB!$G$6:$G$169,MATCH(SUBSTITUTE($C129&amp;"|"&amp;$D129,"~","~~"),③1일작업량DB!$J$6:$J$169,0)),""),$I129)</f>
        <v>8</v>
      </c>
      <c r="K129" s="235">
        <v>1</v>
      </c>
      <c r="L129" s="139">
        <f t="shared" si="18"/>
        <v>5</v>
      </c>
      <c r="M129" s="231">
        <v>0</v>
      </c>
      <c r="N129" s="231">
        <v>0</v>
      </c>
      <c r="O129" s="142">
        <f t="shared" si="19"/>
        <v>5</v>
      </c>
    </row>
    <row r="130" spans="2:15" ht="15">
      <c r="B130" s="63">
        <v>116</v>
      </c>
      <c r="C130" s="114" t="s">
        <v>269</v>
      </c>
      <c r="D130" s="117" t="s">
        <v>891</v>
      </c>
      <c r="E130" s="140" t="s">
        <v>1191</v>
      </c>
      <c r="F130" s="118" t="s">
        <v>755</v>
      </c>
      <c r="G130" s="227">
        <v>183</v>
      </c>
      <c r="H130" s="9" t="str">
        <f>IF($F130="부록4",IFERROR(INDEX(③1일작업량DB!$H$6:$H$169,MATCH(SUBSTITUTE($C130&amp;"|"&amp;$D130,"~","~~"),③1일작업량DB!$J$6:$J$169,0)),"-"),"")</f>
        <v>개소/일</v>
      </c>
      <c r="I130" s="227"/>
      <c r="J130" s="229">
        <f>IF($F130="부록4",IFERROR(INDEX(③1일작업량DB!$G$6:$G$169,MATCH(SUBSTITUTE($C130&amp;"|"&amp;$D130,"~","~~"),③1일작업량DB!$J$6:$J$169,0)),""),$I130)</f>
        <v>10</v>
      </c>
      <c r="K130" s="235">
        <v>2</v>
      </c>
      <c r="L130" s="139">
        <f t="shared" si="18"/>
        <v>9.1999999999999993</v>
      </c>
      <c r="M130" s="231">
        <v>0</v>
      </c>
      <c r="N130" s="231">
        <v>0</v>
      </c>
      <c r="O130" s="142">
        <f t="shared" si="19"/>
        <v>9.1999999999999993</v>
      </c>
    </row>
    <row r="131" spans="2:15" ht="15">
      <c r="B131" s="63">
        <v>117</v>
      </c>
      <c r="C131" s="114" t="s">
        <v>361</v>
      </c>
      <c r="D131" s="117" t="s">
        <v>756</v>
      </c>
      <c r="E131" s="140" t="s">
        <v>1192</v>
      </c>
      <c r="F131" s="118" t="s">
        <v>755</v>
      </c>
      <c r="G131" s="227">
        <v>2.4</v>
      </c>
      <c r="H131" s="9" t="str">
        <f>IF($F131="부록4",IFERROR(INDEX(③1일작업량DB!$H$6:$H$169,MATCH(SUBSTITUTE($C131&amp;"|"&amp;$D131,"~","~~"),③1일작업량DB!$J$6:$J$169,0)),"-"),"")</f>
        <v>㎥/일</v>
      </c>
      <c r="I131" s="227"/>
      <c r="J131" s="229">
        <f>IF($F131="부록4",IFERROR(INDEX(③1일작업량DB!$G$6:$G$169,MATCH(SUBSTITUTE($C131&amp;"|"&amp;$D131,"~","~~"),③1일작업량DB!$J$6:$J$169,0)),""),$I131)</f>
        <v>189</v>
      </c>
      <c r="K131" s="235">
        <v>1</v>
      </c>
      <c r="L131" s="139">
        <f t="shared" si="18"/>
        <v>0.1</v>
      </c>
      <c r="M131" s="231">
        <v>0</v>
      </c>
      <c r="N131" s="231">
        <v>0</v>
      </c>
      <c r="O131" s="142">
        <f t="shared" si="19"/>
        <v>0.1</v>
      </c>
    </row>
    <row r="132" spans="2:15" ht="15">
      <c r="B132" s="63">
        <v>118</v>
      </c>
      <c r="C132" s="114" t="s">
        <v>361</v>
      </c>
      <c r="D132" s="117" t="s">
        <v>758</v>
      </c>
      <c r="E132" s="140" t="s">
        <v>1193</v>
      </c>
      <c r="F132" s="118" t="s">
        <v>755</v>
      </c>
      <c r="G132" s="227">
        <v>15.6</v>
      </c>
      <c r="H132" s="9" t="str">
        <f>IF($F132="부록4",IFERROR(INDEX(③1일작업량DB!$H$6:$H$169,MATCH(SUBSTITUTE($C132&amp;"|"&amp;$D132,"~","~~"),③1일작업량DB!$J$6:$J$169,0)),"-"),"")</f>
        <v>㎡/일</v>
      </c>
      <c r="I132" s="227"/>
      <c r="J132" s="229">
        <f>IF($F132="부록4",IFERROR(INDEX(③1일작업량DB!$G$6:$G$169,MATCH(SUBSTITUTE($C132&amp;"|"&amp;$D132,"~","~~"),③1일작업량DB!$J$6:$J$169,0)),""),$I132)</f>
        <v>60</v>
      </c>
      <c r="K132" s="235">
        <v>1</v>
      </c>
      <c r="L132" s="139">
        <f t="shared" si="18"/>
        <v>0.30000000000000004</v>
      </c>
      <c r="M132" s="231">
        <v>0</v>
      </c>
      <c r="N132" s="231">
        <v>0</v>
      </c>
      <c r="O132" s="142">
        <f t="shared" si="19"/>
        <v>0.30000000000000004</v>
      </c>
    </row>
    <row r="133" spans="2:15" ht="15">
      <c r="B133" s="63">
        <v>119</v>
      </c>
      <c r="C133" s="114" t="s">
        <v>231</v>
      </c>
      <c r="D133" s="117" t="s">
        <v>348</v>
      </c>
      <c r="E133" s="140" t="s">
        <v>1194</v>
      </c>
      <c r="F133" s="118" t="s">
        <v>755</v>
      </c>
      <c r="G133" s="227">
        <v>21.2</v>
      </c>
      <c r="H133" s="9" t="str">
        <f>IF($F133="부록4",IFERROR(INDEX(③1일작업량DB!$H$6:$H$169,MATCH(SUBSTITUTE($C133&amp;"|"&amp;$D133,"~","~~"),③1일작업량DB!$J$6:$J$169,0)),"-"),"")</f>
        <v>㎥/일</v>
      </c>
      <c r="I133" s="227"/>
      <c r="J133" s="229">
        <f>IF($F133="부록4",IFERROR(INDEX(③1일작업량DB!$G$6:$G$169,MATCH(SUBSTITUTE($C133&amp;"|"&amp;$D133,"~","~~"),③1일작업량DB!$J$6:$J$169,0)),""),$I133)</f>
        <v>65</v>
      </c>
      <c r="K133" s="235">
        <v>1</v>
      </c>
      <c r="L133" s="139">
        <f t="shared" si="18"/>
        <v>0.4</v>
      </c>
      <c r="M133" s="231">
        <v>0</v>
      </c>
      <c r="N133" s="231">
        <v>0</v>
      </c>
      <c r="O133" s="142">
        <f t="shared" si="19"/>
        <v>0.4</v>
      </c>
    </row>
    <row r="134" spans="2:15" ht="30">
      <c r="B134" s="63">
        <v>120</v>
      </c>
      <c r="C134" s="114" t="s">
        <v>921</v>
      </c>
      <c r="D134" s="117" t="s">
        <v>946</v>
      </c>
      <c r="E134" s="140" t="s">
        <v>1195</v>
      </c>
      <c r="F134" s="118" t="s">
        <v>755</v>
      </c>
      <c r="G134" s="227">
        <v>40</v>
      </c>
      <c r="H134" s="9" t="str">
        <f>IF($F134="부록4",IFERROR(INDEX(③1일작업량DB!$H$6:$H$169,MATCH(SUBSTITUTE($C134&amp;"|"&amp;$D134,"~","~~"),③1일작업량DB!$J$6:$J$169,0)),"-"),"")</f>
        <v>개소/일</v>
      </c>
      <c r="I134" s="227"/>
      <c r="J134" s="229">
        <f>IF($F134="부록4",IFERROR(INDEX(③1일작업량DB!$G$6:$G$169,MATCH(SUBSTITUTE($C134&amp;"|"&amp;$D134,"~","~~"),③1일작업량DB!$J$6:$J$169,0)),""),$I134)</f>
        <v>3</v>
      </c>
      <c r="K134" s="235">
        <v>2</v>
      </c>
      <c r="L134" s="139">
        <f t="shared" si="18"/>
        <v>6.6999999999999993</v>
      </c>
      <c r="M134" s="231">
        <v>0</v>
      </c>
      <c r="N134" s="231">
        <v>0</v>
      </c>
      <c r="O134" s="142">
        <f t="shared" si="19"/>
        <v>6.6999999999999993</v>
      </c>
    </row>
    <row r="135" spans="2:15" ht="15">
      <c r="B135" s="145"/>
      <c r="C135" s="443" t="s">
        <v>1196</v>
      </c>
      <c r="D135" s="166"/>
      <c r="E135" s="167"/>
      <c r="F135" s="159"/>
      <c r="G135" s="160"/>
      <c r="H135" s="145"/>
      <c r="I135" s="161"/>
      <c r="J135" s="162"/>
      <c r="K135" s="163"/>
      <c r="L135" s="164"/>
      <c r="M135" s="163"/>
      <c r="N135" s="163"/>
      <c r="O135" s="165">
        <f>SUM(O136:O136)</f>
        <v>7.3999999999999995</v>
      </c>
    </row>
    <row r="136" spans="2:15" ht="30">
      <c r="B136" s="63">
        <v>121</v>
      </c>
      <c r="C136" s="114" t="s">
        <v>849</v>
      </c>
      <c r="D136" s="117" t="s">
        <v>883</v>
      </c>
      <c r="E136" s="140" t="s">
        <v>1197</v>
      </c>
      <c r="F136" s="118" t="s">
        <v>755</v>
      </c>
      <c r="G136" s="227">
        <v>367.2</v>
      </c>
      <c r="H136" s="9" t="str">
        <f>IF($F136="부록4",IFERROR(INDEX(③1일작업량DB!$H$6:$H$169,MATCH(SUBSTITUTE($C136&amp;"|"&amp;$D136,"~","~~"),③1일작업량DB!$J$6:$J$169,0)),"-"),"")</f>
        <v>m/일</v>
      </c>
      <c r="I136" s="227"/>
      <c r="J136" s="229">
        <f>IF($F136="부록4",IFERROR(INDEX(③1일작업량DB!$G$6:$G$169,MATCH(SUBSTITUTE($C136&amp;"|"&amp;$D136,"~","~~"),③1일작업량DB!$J$6:$J$169,0)),""),$I136)</f>
        <v>25</v>
      </c>
      <c r="K136" s="235">
        <v>2</v>
      </c>
      <c r="L136" s="139">
        <f>IFERROR(IF(AND($G136&gt;0,$J136&gt;0,$K136&gt;0),ROUNDUP($G136/($J136*$K136),1),0),0)</f>
        <v>7.3999999999999995</v>
      </c>
      <c r="M136" s="231">
        <v>0</v>
      </c>
      <c r="N136" s="231">
        <v>0</v>
      </c>
      <c r="O136" s="142">
        <f>$L136+$M136+$N136</f>
        <v>7.3999999999999995</v>
      </c>
    </row>
    <row r="137" spans="2:15" ht="15">
      <c r="B137" s="145"/>
      <c r="C137" s="443" t="s">
        <v>1198</v>
      </c>
      <c r="D137" s="166"/>
      <c r="E137" s="167"/>
      <c r="F137" s="159"/>
      <c r="G137" s="160"/>
      <c r="H137" s="145"/>
      <c r="I137" s="161"/>
      <c r="J137" s="162"/>
      <c r="K137" s="163"/>
      <c r="L137" s="164"/>
      <c r="M137" s="163"/>
      <c r="N137" s="163"/>
      <c r="O137" s="165">
        <f>SUM(O138:O151)</f>
        <v>26.800000000000004</v>
      </c>
    </row>
    <row r="138" spans="2:15" ht="15">
      <c r="B138" s="63">
        <v>122</v>
      </c>
      <c r="C138" s="114" t="s">
        <v>291</v>
      </c>
      <c r="D138" s="117" t="s">
        <v>893</v>
      </c>
      <c r="E138" s="140" t="s">
        <v>1199</v>
      </c>
      <c r="F138" s="118" t="s">
        <v>755</v>
      </c>
      <c r="G138" s="227">
        <v>1351.06</v>
      </c>
      <c r="H138" s="9" t="str">
        <f>IF($F138="부록4",IFERROR(INDEX(③1일작업량DB!$H$6:$H$169,MATCH(SUBSTITUTE($C138&amp;"|"&amp;$D138,"~","~~"),③1일작업량DB!$J$6:$J$169,0)),"-"),"")</f>
        <v>m/일</v>
      </c>
      <c r="I138" s="227"/>
      <c r="J138" s="229">
        <f>IF($F138="부록4",IFERROR(INDEX(③1일작업량DB!$G$6:$G$169,MATCH(SUBSTITUTE($C138&amp;"|"&amp;$D138,"~","~~"),③1일작업량DB!$J$6:$J$169,0)),""),$I138)</f>
        <v>120</v>
      </c>
      <c r="K138" s="235">
        <v>2</v>
      </c>
      <c r="L138" s="139">
        <f t="shared" ref="L138:L151" si="20">IFERROR(IF(AND($G138&gt;0,$J138&gt;0,$K138&gt;0),ROUNDUP($G138/($J138*$K138),1),0),0)</f>
        <v>5.6999999999999993</v>
      </c>
      <c r="M138" s="231">
        <v>0</v>
      </c>
      <c r="N138" s="231">
        <v>0</v>
      </c>
      <c r="O138" s="142">
        <f t="shared" ref="O138:O151" si="21">$L138+$M138+$N138</f>
        <v>5.6999999999999993</v>
      </c>
    </row>
    <row r="139" spans="2:15" ht="15">
      <c r="B139" s="63">
        <v>123</v>
      </c>
      <c r="C139" s="114" t="s">
        <v>291</v>
      </c>
      <c r="D139" s="117" t="s">
        <v>895</v>
      </c>
      <c r="E139" s="140" t="s">
        <v>1200</v>
      </c>
      <c r="F139" s="118" t="s">
        <v>755</v>
      </c>
      <c r="G139" s="227">
        <v>257.82</v>
      </c>
      <c r="H139" s="9" t="str">
        <f>IF($F139="부록4",IFERROR(INDEX(③1일작업량DB!$H$6:$H$169,MATCH(SUBSTITUTE($C139&amp;"|"&amp;$D139,"~","~~"),③1일작업량DB!$J$6:$J$169,0)),"-"),"")</f>
        <v>㎥/일</v>
      </c>
      <c r="I139" s="227"/>
      <c r="J139" s="229">
        <f>IF($F139="부록4",IFERROR(INDEX(③1일작업량DB!$G$6:$G$169,MATCH(SUBSTITUTE($C139&amp;"|"&amp;$D139,"~","~~"),③1일작업량DB!$J$6:$J$169,0)),""),$I139)</f>
        <v>60</v>
      </c>
      <c r="K139" s="235">
        <v>2</v>
      </c>
      <c r="L139" s="139">
        <f t="shared" si="20"/>
        <v>2.2000000000000002</v>
      </c>
      <c r="M139" s="231">
        <v>0</v>
      </c>
      <c r="N139" s="231">
        <v>0</v>
      </c>
      <c r="O139" s="142">
        <f t="shared" si="21"/>
        <v>2.2000000000000002</v>
      </c>
    </row>
    <row r="140" spans="2:15" ht="15">
      <c r="B140" s="63">
        <v>124</v>
      </c>
      <c r="C140" s="114" t="s">
        <v>291</v>
      </c>
      <c r="D140" s="117" t="s">
        <v>292</v>
      </c>
      <c r="E140" s="140" t="s">
        <v>1201</v>
      </c>
      <c r="F140" s="118" t="s">
        <v>755</v>
      </c>
      <c r="G140" s="227">
        <v>321.18</v>
      </c>
      <c r="H140" s="9" t="str">
        <f>IF($F140="부록4",IFERROR(INDEX(③1일작업량DB!$H$6:$H$169,MATCH(SUBSTITUTE($C140&amp;"|"&amp;$D140,"~","~~"),③1일작업량DB!$J$6:$J$169,0)),"-"),"")</f>
        <v>㎥/일</v>
      </c>
      <c r="I140" s="227"/>
      <c r="J140" s="229">
        <f>IF($F140="부록4",IFERROR(INDEX(③1일작업량DB!$G$6:$G$169,MATCH(SUBSTITUTE($C140&amp;"|"&amp;$D140,"~","~~"),③1일작업량DB!$J$6:$J$169,0)),""),$I140)</f>
        <v>550</v>
      </c>
      <c r="K140" s="235">
        <v>1</v>
      </c>
      <c r="L140" s="139">
        <f t="shared" si="20"/>
        <v>0.6</v>
      </c>
      <c r="M140" s="231">
        <v>0</v>
      </c>
      <c r="N140" s="231">
        <v>0</v>
      </c>
      <c r="O140" s="142">
        <f t="shared" si="21"/>
        <v>0.6</v>
      </c>
    </row>
    <row r="141" spans="2:15" ht="15">
      <c r="B141" s="63">
        <v>125</v>
      </c>
      <c r="C141" s="114" t="s">
        <v>291</v>
      </c>
      <c r="D141" s="117" t="s">
        <v>292</v>
      </c>
      <c r="E141" s="140" t="s">
        <v>1202</v>
      </c>
      <c r="F141" s="118" t="s">
        <v>755</v>
      </c>
      <c r="G141" s="227">
        <v>315.83</v>
      </c>
      <c r="H141" s="9" t="str">
        <f>IF($F141="부록4",IFERROR(INDEX(③1일작업량DB!$H$6:$H$169,MATCH(SUBSTITUTE($C141&amp;"|"&amp;$D141,"~","~~"),③1일작업량DB!$J$6:$J$169,0)),"-"),"")</f>
        <v>㎥/일</v>
      </c>
      <c r="I141" s="227"/>
      <c r="J141" s="229">
        <f>IF($F141="부록4",IFERROR(INDEX(③1일작업량DB!$G$6:$G$169,MATCH(SUBSTITUTE($C141&amp;"|"&amp;$D141,"~","~~"),③1일작업량DB!$J$6:$J$169,0)),""),$I141)</f>
        <v>550</v>
      </c>
      <c r="K141" s="235">
        <v>1</v>
      </c>
      <c r="L141" s="139">
        <f t="shared" si="20"/>
        <v>0.6</v>
      </c>
      <c r="M141" s="231">
        <v>0</v>
      </c>
      <c r="N141" s="231">
        <v>0</v>
      </c>
      <c r="O141" s="142">
        <f t="shared" si="21"/>
        <v>0.6</v>
      </c>
    </row>
    <row r="142" spans="2:15" ht="15">
      <c r="B142" s="63">
        <v>126</v>
      </c>
      <c r="C142" s="114" t="s">
        <v>291</v>
      </c>
      <c r="D142" s="117" t="s">
        <v>897</v>
      </c>
      <c r="E142" s="140" t="s">
        <v>1203</v>
      </c>
      <c r="F142" s="118" t="s">
        <v>755</v>
      </c>
      <c r="G142" s="227">
        <v>1029.6510000000001</v>
      </c>
      <c r="H142" s="9" t="str">
        <f>IF($F142="부록4",IFERROR(INDEX(③1일작업량DB!$H$6:$H$169,MATCH(SUBSTITUTE($C142&amp;"|"&amp;$D142,"~","~~"),③1일작업량DB!$J$6:$J$169,0)),"-"),"")</f>
        <v>㎡/일</v>
      </c>
      <c r="I142" s="227"/>
      <c r="J142" s="229">
        <f>IF($F142="부록4",IFERROR(INDEX(③1일작업량DB!$G$6:$G$169,MATCH(SUBSTITUTE($C142&amp;"|"&amp;$D142,"~","~~"),③1일작업량DB!$J$6:$J$169,0)),""),$I142)</f>
        <v>3000</v>
      </c>
      <c r="K142" s="235">
        <v>1</v>
      </c>
      <c r="L142" s="139">
        <f t="shared" si="20"/>
        <v>0.4</v>
      </c>
      <c r="M142" s="231">
        <v>0</v>
      </c>
      <c r="N142" s="231">
        <v>0</v>
      </c>
      <c r="O142" s="142">
        <f t="shared" si="21"/>
        <v>0.4</v>
      </c>
    </row>
    <row r="143" spans="2:15" ht="30">
      <c r="B143" s="63">
        <v>127</v>
      </c>
      <c r="C143" s="114" t="s">
        <v>291</v>
      </c>
      <c r="D143" s="117" t="s">
        <v>761</v>
      </c>
      <c r="E143" s="140" t="s">
        <v>1204</v>
      </c>
      <c r="F143" s="118" t="s">
        <v>755</v>
      </c>
      <c r="G143" s="227">
        <v>1029.6510000000001</v>
      </c>
      <c r="H143" s="9" t="str">
        <f>IF($F143="부록4",IFERROR(INDEX(③1일작업량DB!$H$6:$H$169,MATCH(SUBSTITUTE($C143&amp;"|"&amp;$D143,"~","~~"),③1일작업량DB!$J$6:$J$169,0)),"-"),"")</f>
        <v>㎡/일</v>
      </c>
      <c r="I143" s="227"/>
      <c r="J143" s="229">
        <f>IF($F143="부록4",IFERROR(INDEX(③1일작업량DB!$G$6:$G$169,MATCH(SUBSTITUTE($C143&amp;"|"&amp;$D143,"~","~~"),③1일작업량DB!$J$6:$J$169,0)),""),$I143)</f>
        <v>4500</v>
      </c>
      <c r="K143" s="235">
        <v>1</v>
      </c>
      <c r="L143" s="139">
        <f t="shared" si="20"/>
        <v>0.30000000000000004</v>
      </c>
      <c r="M143" s="231">
        <v>0</v>
      </c>
      <c r="N143" s="231">
        <v>0</v>
      </c>
      <c r="O143" s="142">
        <f t="shared" si="21"/>
        <v>0.30000000000000004</v>
      </c>
    </row>
    <row r="144" spans="2:15" ht="30">
      <c r="B144" s="63">
        <v>128</v>
      </c>
      <c r="C144" s="114" t="s">
        <v>291</v>
      </c>
      <c r="D144" s="117" t="s">
        <v>893</v>
      </c>
      <c r="E144" s="140" t="s">
        <v>1205</v>
      </c>
      <c r="F144" s="118" t="s">
        <v>755</v>
      </c>
      <c r="G144" s="227">
        <v>1860.44</v>
      </c>
      <c r="H144" s="9" t="str">
        <f>IF($F144="부록4",IFERROR(INDEX(③1일작업량DB!$H$6:$H$169,MATCH(SUBSTITUTE($C144&amp;"|"&amp;$D144,"~","~~"),③1일작업량DB!$J$6:$J$169,0)),"-"),"")</f>
        <v>m/일</v>
      </c>
      <c r="I144" s="227"/>
      <c r="J144" s="229">
        <f>IF($F144="부록4",IFERROR(INDEX(③1일작업량DB!$G$6:$G$169,MATCH(SUBSTITUTE($C144&amp;"|"&amp;$D144,"~","~~"),③1일작업량DB!$J$6:$J$169,0)),""),$I144)</f>
        <v>120</v>
      </c>
      <c r="K144" s="235">
        <v>2</v>
      </c>
      <c r="L144" s="139">
        <f t="shared" si="20"/>
        <v>7.8</v>
      </c>
      <c r="M144" s="231">
        <v>0</v>
      </c>
      <c r="N144" s="231">
        <v>0</v>
      </c>
      <c r="O144" s="142">
        <f t="shared" si="21"/>
        <v>7.8</v>
      </c>
    </row>
    <row r="145" spans="2:15" ht="30">
      <c r="B145" s="63">
        <v>129</v>
      </c>
      <c r="C145" s="114" t="s">
        <v>291</v>
      </c>
      <c r="D145" s="117" t="s">
        <v>895</v>
      </c>
      <c r="E145" s="140" t="s">
        <v>1206</v>
      </c>
      <c r="F145" s="118" t="s">
        <v>755</v>
      </c>
      <c r="G145" s="227">
        <v>291.77800000000002</v>
      </c>
      <c r="H145" s="9" t="str">
        <f>IF($F145="부록4",IFERROR(INDEX(③1일작업량DB!$H$6:$H$169,MATCH(SUBSTITUTE($C145&amp;"|"&amp;$D145,"~","~~"),③1일작업량DB!$J$6:$J$169,0)),"-"),"")</f>
        <v>㎥/일</v>
      </c>
      <c r="I145" s="227"/>
      <c r="J145" s="229">
        <f>IF($F145="부록4",IFERROR(INDEX(③1일작업량DB!$G$6:$G$169,MATCH(SUBSTITUTE($C145&amp;"|"&amp;$D145,"~","~~"),③1일작업량DB!$J$6:$J$169,0)),""),$I145)</f>
        <v>60</v>
      </c>
      <c r="K145" s="235">
        <v>2</v>
      </c>
      <c r="L145" s="139">
        <f t="shared" si="20"/>
        <v>2.5</v>
      </c>
      <c r="M145" s="231">
        <v>0</v>
      </c>
      <c r="N145" s="231">
        <v>0</v>
      </c>
      <c r="O145" s="142">
        <f t="shared" si="21"/>
        <v>2.5</v>
      </c>
    </row>
    <row r="146" spans="2:15" ht="15">
      <c r="B146" s="63">
        <v>130</v>
      </c>
      <c r="C146" s="114" t="s">
        <v>291</v>
      </c>
      <c r="D146" s="117" t="s">
        <v>292</v>
      </c>
      <c r="E146" s="140" t="s">
        <v>1207</v>
      </c>
      <c r="F146" s="118" t="s">
        <v>755</v>
      </c>
      <c r="G146" s="227">
        <v>212.94</v>
      </c>
      <c r="H146" s="9" t="str">
        <f>IF($F146="부록4",IFERROR(INDEX(③1일작업량DB!$H$6:$H$169,MATCH(SUBSTITUTE($C146&amp;"|"&amp;$D146,"~","~~"),③1일작업량DB!$J$6:$J$169,0)),"-"),"")</f>
        <v>㎥/일</v>
      </c>
      <c r="I146" s="227"/>
      <c r="J146" s="229">
        <f>IF($F146="부록4",IFERROR(INDEX(③1일작업량DB!$G$6:$G$169,MATCH(SUBSTITUTE($C146&amp;"|"&amp;$D146,"~","~~"),③1일작업량DB!$J$6:$J$169,0)),""),$I146)</f>
        <v>550</v>
      </c>
      <c r="K146" s="235">
        <v>1</v>
      </c>
      <c r="L146" s="139">
        <f t="shared" si="20"/>
        <v>0.4</v>
      </c>
      <c r="M146" s="231">
        <v>0</v>
      </c>
      <c r="N146" s="231">
        <v>0</v>
      </c>
      <c r="O146" s="142">
        <f t="shared" si="21"/>
        <v>0.4</v>
      </c>
    </row>
    <row r="147" spans="2:15" ht="15">
      <c r="B147" s="63">
        <v>131</v>
      </c>
      <c r="C147" s="114" t="s">
        <v>291</v>
      </c>
      <c r="D147" s="117" t="s">
        <v>897</v>
      </c>
      <c r="E147" s="140" t="s">
        <v>1208</v>
      </c>
      <c r="F147" s="118" t="s">
        <v>755</v>
      </c>
      <c r="G147" s="227">
        <v>1448.0450000000001</v>
      </c>
      <c r="H147" s="9" t="str">
        <f>IF($F147="부록4",IFERROR(INDEX(③1일작업량DB!$H$6:$H$169,MATCH(SUBSTITUTE($C147&amp;"|"&amp;$D147,"~","~~"),③1일작업량DB!$J$6:$J$169,0)),"-"),"")</f>
        <v>㎡/일</v>
      </c>
      <c r="I147" s="227"/>
      <c r="J147" s="229">
        <f>IF($F147="부록4",IFERROR(INDEX(③1일작업량DB!$G$6:$G$169,MATCH(SUBSTITUTE($C147&amp;"|"&amp;$D147,"~","~~"),③1일작업량DB!$J$6:$J$169,0)),""),$I147)</f>
        <v>3000</v>
      </c>
      <c r="K147" s="235">
        <v>1</v>
      </c>
      <c r="L147" s="139">
        <f t="shared" si="20"/>
        <v>0.5</v>
      </c>
      <c r="M147" s="231">
        <v>0</v>
      </c>
      <c r="N147" s="231">
        <v>0</v>
      </c>
      <c r="O147" s="142">
        <f t="shared" si="21"/>
        <v>0.5</v>
      </c>
    </row>
    <row r="148" spans="2:15" ht="30">
      <c r="B148" s="63">
        <v>132</v>
      </c>
      <c r="C148" s="114" t="s">
        <v>291</v>
      </c>
      <c r="D148" s="117" t="s">
        <v>787</v>
      </c>
      <c r="E148" s="140" t="s">
        <v>1209</v>
      </c>
      <c r="F148" s="118" t="s">
        <v>755</v>
      </c>
      <c r="G148" s="227">
        <v>1448.0450000000001</v>
      </c>
      <c r="H148" s="9" t="str">
        <f>IF($F148="부록4",IFERROR(INDEX(③1일작업량DB!$H$6:$H$169,MATCH(SUBSTITUTE($C148&amp;"|"&amp;$D148,"~","~~"),③1일작업량DB!$J$6:$J$169,0)),"-"),"")</f>
        <v>㎡/일</v>
      </c>
      <c r="I148" s="227"/>
      <c r="J148" s="229">
        <f>IF($F148="부록4",IFERROR(INDEX(③1일작업량DB!$G$6:$G$169,MATCH(SUBSTITUTE($C148&amp;"|"&amp;$D148,"~","~~"),③1일작업량DB!$J$6:$J$169,0)),""),$I148)</f>
        <v>4900</v>
      </c>
      <c r="K148" s="235">
        <v>1</v>
      </c>
      <c r="L148" s="139">
        <f t="shared" si="20"/>
        <v>0.30000000000000004</v>
      </c>
      <c r="M148" s="231">
        <v>0</v>
      </c>
      <c r="N148" s="231">
        <v>0</v>
      </c>
      <c r="O148" s="142">
        <f t="shared" si="21"/>
        <v>0.30000000000000004</v>
      </c>
    </row>
    <row r="149" spans="2:15" ht="15">
      <c r="B149" s="63">
        <v>133</v>
      </c>
      <c r="C149" s="114" t="s">
        <v>291</v>
      </c>
      <c r="D149" s="117" t="s">
        <v>1210</v>
      </c>
      <c r="E149" s="140" t="s">
        <v>1211</v>
      </c>
      <c r="F149" s="118" t="s">
        <v>1120</v>
      </c>
      <c r="G149" s="227">
        <v>6017.55</v>
      </c>
      <c r="H149" s="9" t="s">
        <v>833</v>
      </c>
      <c r="I149" s="227">
        <v>3000</v>
      </c>
      <c r="J149" s="229">
        <f>IF($F149="부록4",IFERROR(INDEX(③1일작업량DB!$G$6:$G$169,MATCH(SUBSTITUTE($C149&amp;"|"&amp;$D149,"~","~~"),③1일작업량DB!$J$6:$J$169,0)),""),$I149)</f>
        <v>3000</v>
      </c>
      <c r="K149" s="235">
        <v>1</v>
      </c>
      <c r="L149" s="139">
        <f t="shared" si="20"/>
        <v>2.1</v>
      </c>
      <c r="M149" s="231">
        <v>0</v>
      </c>
      <c r="N149" s="231">
        <v>0</v>
      </c>
      <c r="O149" s="142">
        <f t="shared" si="21"/>
        <v>2.1</v>
      </c>
    </row>
    <row r="150" spans="2:15" ht="15">
      <c r="B150" s="63">
        <v>134</v>
      </c>
      <c r="C150" s="114" t="s">
        <v>291</v>
      </c>
      <c r="D150" s="117" t="s">
        <v>1036</v>
      </c>
      <c r="E150" s="140" t="s">
        <v>1212</v>
      </c>
      <c r="F150" s="118" t="s">
        <v>755</v>
      </c>
      <c r="G150" s="227">
        <v>6017.55</v>
      </c>
      <c r="H150" s="9" t="str">
        <f>IF($F150="부록4",IFERROR(INDEX(③1일작업량DB!$H$6:$H$169,MATCH(SUBSTITUTE($C150&amp;"|"&amp;$D150,"~","~~"),③1일작업량DB!$J$6:$J$169,0)),"-"),"")</f>
        <v>㎡/일</v>
      </c>
      <c r="I150" s="227"/>
      <c r="J150" s="229">
        <f>IF($F150="부록4",IFERROR(INDEX(③1일작업량DB!$G$6:$G$169,MATCH(SUBSTITUTE($C150&amp;"|"&amp;$D150,"~","~~"),③1일작업량DB!$J$6:$J$169,0)),""),$I150)</f>
        <v>4800</v>
      </c>
      <c r="K150" s="235">
        <v>1</v>
      </c>
      <c r="L150" s="139">
        <f t="shared" si="20"/>
        <v>1.3</v>
      </c>
      <c r="M150" s="231">
        <v>0</v>
      </c>
      <c r="N150" s="231">
        <v>0</v>
      </c>
      <c r="O150" s="142">
        <f t="shared" si="21"/>
        <v>1.3</v>
      </c>
    </row>
    <row r="151" spans="2:15" ht="15">
      <c r="B151" s="63">
        <v>135</v>
      </c>
      <c r="C151" s="114" t="s">
        <v>291</v>
      </c>
      <c r="D151" s="117" t="s">
        <v>899</v>
      </c>
      <c r="E151" s="140" t="s">
        <v>1213</v>
      </c>
      <c r="F151" s="118" t="s">
        <v>755</v>
      </c>
      <c r="G151" s="227">
        <v>6017.55</v>
      </c>
      <c r="H151" s="9" t="str">
        <f>IF($F151="부록4",IFERROR(INDEX(③1일작업량DB!$H$6:$H$169,MATCH(SUBSTITUTE($C151&amp;"|"&amp;$D151,"~","~~"),③1일작업량DB!$J$6:$J$169,0)),"-"),"")</f>
        <v>㎡/일</v>
      </c>
      <c r="I151" s="227"/>
      <c r="J151" s="229">
        <f>IF($F151="부록4",IFERROR(INDEX(③1일작업량DB!$G$6:$G$169,MATCH(SUBSTITUTE($C151&amp;"|"&amp;$D151,"~","~~"),③1일작업량DB!$J$6:$J$169,0)),""),$I151)</f>
        <v>3000</v>
      </c>
      <c r="K151" s="235">
        <v>1</v>
      </c>
      <c r="L151" s="139">
        <f t="shared" si="20"/>
        <v>2.1</v>
      </c>
      <c r="M151" s="231">
        <v>0</v>
      </c>
      <c r="N151" s="231">
        <v>0</v>
      </c>
      <c r="O151" s="142">
        <f t="shared" si="21"/>
        <v>2.1</v>
      </c>
    </row>
    <row r="152" spans="2:15" ht="15">
      <c r="B152" s="145"/>
      <c r="C152" s="443" t="s">
        <v>1214</v>
      </c>
      <c r="D152" s="166"/>
      <c r="E152" s="167"/>
      <c r="F152" s="159"/>
      <c r="G152" s="160"/>
      <c r="H152" s="145"/>
      <c r="I152" s="161"/>
      <c r="J152" s="162"/>
      <c r="K152" s="163"/>
      <c r="L152" s="164"/>
      <c r="M152" s="163"/>
      <c r="N152" s="163"/>
      <c r="O152" s="165">
        <f>SUM(O153:O164)</f>
        <v>35.1</v>
      </c>
    </row>
    <row r="153" spans="2:15" ht="30">
      <c r="B153" s="63">
        <v>136</v>
      </c>
      <c r="C153" s="114" t="s">
        <v>921</v>
      </c>
      <c r="D153" s="117" t="s">
        <v>1215</v>
      </c>
      <c r="E153" s="140" t="s">
        <v>1216</v>
      </c>
      <c r="F153" s="118" t="s">
        <v>1120</v>
      </c>
      <c r="G153" s="227">
        <v>10</v>
      </c>
      <c r="H153" s="9" t="s">
        <v>880</v>
      </c>
      <c r="I153" s="227">
        <v>2</v>
      </c>
      <c r="J153" s="229">
        <f>IF($F153="부록4",IFERROR(INDEX(③1일작업량DB!$G$6:$G$169,MATCH(SUBSTITUTE($C153&amp;"|"&amp;$D153,"~","~~"),③1일작업량DB!$J$6:$J$169,0)),""),$I153)</f>
        <v>2</v>
      </c>
      <c r="K153" s="235">
        <v>1</v>
      </c>
      <c r="L153" s="139">
        <f t="shared" ref="L153:L164" si="22">IFERROR(IF(AND($G153&gt;0,$J153&gt;0,$K153&gt;0),ROUNDUP($G153/($J153*$K153),1),0),0)</f>
        <v>5</v>
      </c>
      <c r="M153" s="231">
        <v>0</v>
      </c>
      <c r="N153" s="231">
        <v>0</v>
      </c>
      <c r="O153" s="142">
        <f t="shared" ref="O153:O164" si="23">$L153+$M153+$N153</f>
        <v>5</v>
      </c>
    </row>
    <row r="154" spans="2:15" ht="15">
      <c r="B154" s="63">
        <v>137</v>
      </c>
      <c r="C154" s="114" t="s">
        <v>361</v>
      </c>
      <c r="D154" s="117" t="s">
        <v>756</v>
      </c>
      <c r="E154" s="140" t="s">
        <v>1217</v>
      </c>
      <c r="F154" s="118" t="s">
        <v>755</v>
      </c>
      <c r="G154" s="227">
        <v>16.96</v>
      </c>
      <c r="H154" s="9" t="str">
        <f>IF($F154="부록4",IFERROR(INDEX(③1일작업량DB!$H$6:$H$169,MATCH(SUBSTITUTE($C154&amp;"|"&amp;$D154,"~","~~"),③1일작업량DB!$J$6:$J$169,0)),"-"),"")</f>
        <v>㎥/일</v>
      </c>
      <c r="I154" s="227"/>
      <c r="J154" s="229">
        <f>IF($F154="부록4",IFERROR(INDEX(③1일작업량DB!$G$6:$G$169,MATCH(SUBSTITUTE($C154&amp;"|"&amp;$D154,"~","~~"),③1일작업량DB!$J$6:$J$169,0)),""),$I154)</f>
        <v>189</v>
      </c>
      <c r="K154" s="235">
        <v>1</v>
      </c>
      <c r="L154" s="139">
        <f t="shared" si="22"/>
        <v>0.1</v>
      </c>
      <c r="M154" s="231">
        <v>0</v>
      </c>
      <c r="N154" s="231">
        <v>0</v>
      </c>
      <c r="O154" s="142">
        <f t="shared" si="23"/>
        <v>0.1</v>
      </c>
    </row>
    <row r="155" spans="2:15" ht="15">
      <c r="B155" s="63">
        <v>138</v>
      </c>
      <c r="C155" s="114" t="s">
        <v>361</v>
      </c>
      <c r="D155" s="117" t="s">
        <v>757</v>
      </c>
      <c r="E155" s="140" t="s">
        <v>1218</v>
      </c>
      <c r="F155" s="118" t="s">
        <v>755</v>
      </c>
      <c r="G155" s="227">
        <v>12.01</v>
      </c>
      <c r="H155" s="9" t="str">
        <f>IF($F155="부록4",IFERROR(INDEX(③1일작업량DB!$H$6:$H$169,MATCH(SUBSTITUTE($C155&amp;"|"&amp;$D155,"~","~~"),③1일작업량DB!$J$6:$J$169,0)),"-"),"")</f>
        <v>㎥/일</v>
      </c>
      <c r="I155" s="227"/>
      <c r="J155" s="229">
        <f>IF($F155="부록4",IFERROR(INDEX(③1일작업량DB!$G$6:$G$169,MATCH(SUBSTITUTE($C155&amp;"|"&amp;$D155,"~","~~"),③1일작업량DB!$J$6:$J$169,0)),""),$I155)</f>
        <v>130</v>
      </c>
      <c r="K155" s="235">
        <v>1</v>
      </c>
      <c r="L155" s="139">
        <f t="shared" si="22"/>
        <v>0.1</v>
      </c>
      <c r="M155" s="231">
        <v>0</v>
      </c>
      <c r="N155" s="231">
        <v>0</v>
      </c>
      <c r="O155" s="142">
        <f t="shared" si="23"/>
        <v>0.1</v>
      </c>
    </row>
    <row r="156" spans="2:15" ht="15">
      <c r="B156" s="63">
        <v>139</v>
      </c>
      <c r="C156" s="114" t="s">
        <v>361</v>
      </c>
      <c r="D156" s="117" t="s">
        <v>362</v>
      </c>
      <c r="E156" s="140" t="s">
        <v>1219</v>
      </c>
      <c r="F156" s="118" t="s">
        <v>755</v>
      </c>
      <c r="G156" s="227">
        <v>0.68</v>
      </c>
      <c r="H156" s="9" t="str">
        <f>IF($F156="부록4",IFERROR(INDEX(③1일작업량DB!$H$6:$H$169,MATCH(SUBSTITUTE($C156&amp;"|"&amp;$D156,"~","~~"),③1일작업량DB!$J$6:$J$169,0)),"-"),"")</f>
        <v>ton/일</v>
      </c>
      <c r="I156" s="227"/>
      <c r="J156" s="229">
        <f>IF($F156="부록4",IFERROR(INDEX(③1일작업량DB!$G$6:$G$169,MATCH(SUBSTITUTE($C156&amp;"|"&amp;$D156,"~","~~"),③1일작업량DB!$J$6:$J$169,0)),""),$I156)</f>
        <v>4</v>
      </c>
      <c r="K156" s="235">
        <v>1</v>
      </c>
      <c r="L156" s="139">
        <f t="shared" si="22"/>
        <v>0.2</v>
      </c>
      <c r="M156" s="231">
        <v>0</v>
      </c>
      <c r="N156" s="231">
        <v>0</v>
      </c>
      <c r="O156" s="142">
        <f t="shared" si="23"/>
        <v>0.2</v>
      </c>
    </row>
    <row r="157" spans="2:15" ht="15">
      <c r="B157" s="63">
        <v>140</v>
      </c>
      <c r="C157" s="114" t="s">
        <v>361</v>
      </c>
      <c r="D157" s="117" t="s">
        <v>758</v>
      </c>
      <c r="E157" s="140" t="s">
        <v>1143</v>
      </c>
      <c r="F157" s="118" t="s">
        <v>755</v>
      </c>
      <c r="G157" s="227">
        <v>105.36</v>
      </c>
      <c r="H157" s="9" t="str">
        <f>IF($F157="부록4",IFERROR(INDEX(③1일작업량DB!$H$6:$H$169,MATCH(SUBSTITUTE($C157&amp;"|"&amp;$D157,"~","~~"),③1일작업량DB!$J$6:$J$169,0)),"-"),"")</f>
        <v>㎡/일</v>
      </c>
      <c r="I157" s="227"/>
      <c r="J157" s="229">
        <f>IF($F157="부록4",IFERROR(INDEX(③1일작업량DB!$G$6:$G$169,MATCH(SUBSTITUTE($C157&amp;"|"&amp;$D157,"~","~~"),③1일작업량DB!$J$6:$J$169,0)),""),$I157)</f>
        <v>60</v>
      </c>
      <c r="K157" s="235">
        <v>1</v>
      </c>
      <c r="L157" s="139">
        <f t="shared" si="22"/>
        <v>1.8</v>
      </c>
      <c r="M157" s="231">
        <v>0</v>
      </c>
      <c r="N157" s="231">
        <v>0</v>
      </c>
      <c r="O157" s="142">
        <f t="shared" si="23"/>
        <v>1.8</v>
      </c>
    </row>
    <row r="158" spans="2:15" ht="15">
      <c r="B158" s="63">
        <v>141</v>
      </c>
      <c r="C158" s="114" t="s">
        <v>291</v>
      </c>
      <c r="D158" s="117" t="s">
        <v>905</v>
      </c>
      <c r="E158" s="140" t="s">
        <v>1220</v>
      </c>
      <c r="F158" s="118" t="s">
        <v>755</v>
      </c>
      <c r="G158" s="227">
        <v>432.78</v>
      </c>
      <c r="H158" s="9" t="str">
        <f>IF($F158="부록4",IFERROR(INDEX(③1일작업량DB!$H$6:$H$169,MATCH(SUBSTITUTE($C158&amp;"|"&amp;$D158,"~","~~"),③1일작업량DB!$J$6:$J$169,0)),"-"),"")</f>
        <v>㎡/일</v>
      </c>
      <c r="I158" s="227"/>
      <c r="J158" s="229">
        <f>IF($F158="부록4",IFERROR(INDEX(③1일작업량DB!$G$6:$G$169,MATCH(SUBSTITUTE($C158&amp;"|"&amp;$D158,"~","~~"),③1일작업량DB!$J$6:$J$169,0)),""),$I158)</f>
        <v>300</v>
      </c>
      <c r="K158" s="235">
        <v>1</v>
      </c>
      <c r="L158" s="139">
        <f t="shared" si="22"/>
        <v>1.5</v>
      </c>
      <c r="M158" s="231">
        <v>0</v>
      </c>
      <c r="N158" s="231">
        <v>0</v>
      </c>
      <c r="O158" s="142">
        <f t="shared" si="23"/>
        <v>1.5</v>
      </c>
    </row>
    <row r="159" spans="2:15" ht="15">
      <c r="B159" s="63">
        <v>142</v>
      </c>
      <c r="C159" s="114" t="s">
        <v>291</v>
      </c>
      <c r="D159" s="117" t="s">
        <v>1036</v>
      </c>
      <c r="E159" s="140" t="s">
        <v>1221</v>
      </c>
      <c r="F159" s="118" t="s">
        <v>755</v>
      </c>
      <c r="G159" s="227">
        <v>32.4</v>
      </c>
      <c r="H159" s="9" t="str">
        <f>IF($F159="부록4",IFERROR(INDEX(③1일작업량DB!$H$6:$H$169,MATCH(SUBSTITUTE($C159&amp;"|"&amp;$D159,"~","~~"),③1일작업량DB!$J$6:$J$169,0)),"-"),"")</f>
        <v>㎡/일</v>
      </c>
      <c r="I159" s="227"/>
      <c r="J159" s="229">
        <f>IF($F159="부록4",IFERROR(INDEX(③1일작업량DB!$G$6:$G$169,MATCH(SUBSTITUTE($C159&amp;"|"&amp;$D159,"~","~~"),③1일작업량DB!$J$6:$J$169,0)),""),$I159)</f>
        <v>4800</v>
      </c>
      <c r="K159" s="235">
        <v>1</v>
      </c>
      <c r="L159" s="139">
        <f t="shared" si="22"/>
        <v>0.1</v>
      </c>
      <c r="M159" s="231">
        <v>0</v>
      </c>
      <c r="N159" s="231">
        <v>0</v>
      </c>
      <c r="O159" s="142">
        <f t="shared" si="23"/>
        <v>0.1</v>
      </c>
    </row>
    <row r="160" spans="2:15" ht="15">
      <c r="B160" s="63">
        <v>143</v>
      </c>
      <c r="C160" s="114" t="s">
        <v>921</v>
      </c>
      <c r="D160" s="117" t="s">
        <v>1222</v>
      </c>
      <c r="E160" s="140" t="s">
        <v>1223</v>
      </c>
      <c r="F160" s="118" t="s">
        <v>1120</v>
      </c>
      <c r="G160" s="227">
        <v>606.66700000000003</v>
      </c>
      <c r="H160" s="9" t="s">
        <v>1224</v>
      </c>
      <c r="I160" s="227">
        <v>100</v>
      </c>
      <c r="J160" s="229">
        <f>IF($F160="부록4",IFERROR(INDEX(③1일작업량DB!$G$6:$G$169,MATCH(SUBSTITUTE($C160&amp;"|"&amp;$D160,"~","~~"),③1일작업량DB!$J$6:$J$169,0)),""),$I160)</f>
        <v>100</v>
      </c>
      <c r="K160" s="235">
        <v>1</v>
      </c>
      <c r="L160" s="139">
        <f t="shared" si="22"/>
        <v>6.1</v>
      </c>
      <c r="M160" s="231">
        <v>0</v>
      </c>
      <c r="N160" s="231">
        <v>0</v>
      </c>
      <c r="O160" s="142">
        <f t="shared" si="23"/>
        <v>6.1</v>
      </c>
    </row>
    <row r="161" spans="2:15" ht="15">
      <c r="B161" s="63">
        <v>144</v>
      </c>
      <c r="C161" s="114" t="s">
        <v>921</v>
      </c>
      <c r="D161" s="117" t="s">
        <v>1225</v>
      </c>
      <c r="E161" s="140" t="s">
        <v>1226</v>
      </c>
      <c r="F161" s="118" t="s">
        <v>1120</v>
      </c>
      <c r="G161" s="227">
        <v>910</v>
      </c>
      <c r="H161" s="9" t="s">
        <v>841</v>
      </c>
      <c r="I161" s="227">
        <v>200</v>
      </c>
      <c r="J161" s="229">
        <f>IF($F161="부록4",IFERROR(INDEX(③1일작업량DB!$G$6:$G$169,MATCH(SUBSTITUTE($C161&amp;"|"&amp;$D161,"~","~~"),③1일작업량DB!$J$6:$J$169,0)),""),$I161)</f>
        <v>200</v>
      </c>
      <c r="K161" s="235">
        <v>1</v>
      </c>
      <c r="L161" s="139">
        <f t="shared" si="22"/>
        <v>4.5999999999999996</v>
      </c>
      <c r="M161" s="231">
        <v>0</v>
      </c>
      <c r="N161" s="231">
        <v>0</v>
      </c>
      <c r="O161" s="142">
        <f t="shared" si="23"/>
        <v>4.5999999999999996</v>
      </c>
    </row>
    <row r="162" spans="2:15" ht="15">
      <c r="B162" s="63">
        <v>145</v>
      </c>
      <c r="C162" s="114" t="s">
        <v>921</v>
      </c>
      <c r="D162" s="117" t="s">
        <v>936</v>
      </c>
      <c r="E162" s="140" t="s">
        <v>1227</v>
      </c>
      <c r="F162" s="118" t="s">
        <v>755</v>
      </c>
      <c r="G162" s="227">
        <v>6</v>
      </c>
      <c r="H162" s="9" t="str">
        <f>IF($F162="부록4",IFERROR(INDEX(③1일작업량DB!$H$6:$H$169,MATCH(SUBSTITUTE($C162&amp;"|"&amp;$D162,"~","~~"),③1일작업량DB!$J$6:$J$169,0)),"-"),"")</f>
        <v>개소/일</v>
      </c>
      <c r="I162" s="227"/>
      <c r="J162" s="229">
        <f>IF($F162="부록4",IFERROR(INDEX(③1일작업량DB!$G$6:$G$169,MATCH(SUBSTITUTE($C162&amp;"|"&amp;$D162,"~","~~"),③1일작업량DB!$J$6:$J$169,0)),""),$I162)</f>
        <v>2</v>
      </c>
      <c r="K162" s="235">
        <v>1</v>
      </c>
      <c r="L162" s="139">
        <f t="shared" si="22"/>
        <v>3</v>
      </c>
      <c r="M162" s="231">
        <v>0</v>
      </c>
      <c r="N162" s="231">
        <v>0</v>
      </c>
      <c r="O162" s="142">
        <f t="shared" si="23"/>
        <v>3</v>
      </c>
    </row>
    <row r="163" spans="2:15" ht="15">
      <c r="B163" s="63">
        <v>146</v>
      </c>
      <c r="C163" s="114" t="s">
        <v>921</v>
      </c>
      <c r="D163" s="117" t="s">
        <v>1228</v>
      </c>
      <c r="E163" s="140" t="s">
        <v>1229</v>
      </c>
      <c r="F163" s="118" t="s">
        <v>1120</v>
      </c>
      <c r="G163" s="227">
        <v>19</v>
      </c>
      <c r="H163" s="9" t="s">
        <v>880</v>
      </c>
      <c r="I163" s="227">
        <v>2</v>
      </c>
      <c r="J163" s="229">
        <f>IF($F163="부록4",IFERROR(INDEX(③1일작업량DB!$G$6:$G$169,MATCH(SUBSTITUTE($C163&amp;"|"&amp;$D163,"~","~~"),③1일작업량DB!$J$6:$J$169,0)),""),$I163)</f>
        <v>2</v>
      </c>
      <c r="K163" s="235">
        <v>1</v>
      </c>
      <c r="L163" s="139">
        <f t="shared" si="22"/>
        <v>9.5</v>
      </c>
      <c r="M163" s="231">
        <v>0</v>
      </c>
      <c r="N163" s="231">
        <v>0</v>
      </c>
      <c r="O163" s="142">
        <f t="shared" si="23"/>
        <v>9.5</v>
      </c>
    </row>
    <row r="164" spans="2:15" ht="15">
      <c r="B164" s="63">
        <v>147</v>
      </c>
      <c r="C164" s="114" t="s">
        <v>921</v>
      </c>
      <c r="D164" s="117" t="s">
        <v>1230</v>
      </c>
      <c r="E164" s="140" t="s">
        <v>1231</v>
      </c>
      <c r="F164" s="118" t="s">
        <v>1120</v>
      </c>
      <c r="G164" s="227">
        <v>910</v>
      </c>
      <c r="H164" s="9" t="s">
        <v>841</v>
      </c>
      <c r="I164" s="227">
        <v>300</v>
      </c>
      <c r="J164" s="229">
        <f>IF($F164="부록4",IFERROR(INDEX(③1일작업량DB!$G$6:$G$169,MATCH(SUBSTITUTE($C164&amp;"|"&amp;$D164,"~","~~"),③1일작업량DB!$J$6:$J$169,0)),""),$I164)</f>
        <v>300</v>
      </c>
      <c r="K164" s="235">
        <v>1</v>
      </c>
      <c r="L164" s="139">
        <f t="shared" si="22"/>
        <v>3.1</v>
      </c>
      <c r="M164" s="231">
        <v>0</v>
      </c>
      <c r="N164" s="231">
        <v>0</v>
      </c>
      <c r="O164" s="142">
        <f t="shared" si="23"/>
        <v>3.1</v>
      </c>
    </row>
    <row r="165" spans="2:15" ht="15">
      <c r="B165" s="145"/>
      <c r="C165" s="443" t="s">
        <v>1235</v>
      </c>
      <c r="D165" s="166"/>
      <c r="E165" s="167"/>
      <c r="F165" s="159"/>
      <c r="G165" s="160"/>
      <c r="H165" s="145"/>
      <c r="I165" s="161"/>
      <c r="J165" s="162"/>
      <c r="K165" s="163"/>
      <c r="L165" s="164"/>
      <c r="M165" s="163"/>
      <c r="N165" s="163"/>
      <c r="O165" s="165">
        <f>SUM(O166:O170)</f>
        <v>3.0000000000000004</v>
      </c>
    </row>
    <row r="166" spans="2:15" ht="15">
      <c r="B166" s="63">
        <v>148</v>
      </c>
      <c r="C166" s="114" t="s">
        <v>231</v>
      </c>
      <c r="D166" s="117" t="s">
        <v>950</v>
      </c>
      <c r="E166" s="140" t="s">
        <v>1236</v>
      </c>
      <c r="F166" s="118" t="s">
        <v>755</v>
      </c>
      <c r="G166" s="227">
        <v>63.2</v>
      </c>
      <c r="H166" s="9" t="str">
        <f>IF($F166="부록4",IFERROR(INDEX(③1일작업량DB!$H$6:$H$169,MATCH(SUBSTITUTE($C166&amp;"|"&amp;$D166,"~","~~"),③1일작업량DB!$J$6:$J$169,0)),"-"),"")</f>
        <v>㎥/일</v>
      </c>
      <c r="I166" s="227"/>
      <c r="J166" s="229">
        <f>IF($F166="부록4",IFERROR(INDEX(③1일작업량DB!$G$6:$G$169,MATCH(SUBSTITUTE($C166&amp;"|"&amp;$D166,"~","~~"),③1일작업량DB!$J$6:$J$169,0)),""),$I166)</f>
        <v>349</v>
      </c>
      <c r="K166" s="235">
        <v>1</v>
      </c>
      <c r="L166" s="139">
        <f>IFERROR(IF(AND($G166&gt;0,$J166&gt;0,$K166&gt;0),ROUNDUP($G166/($J166*$K166),1),0),0)</f>
        <v>0.2</v>
      </c>
      <c r="M166" s="231">
        <v>0</v>
      </c>
      <c r="N166" s="231">
        <v>0</v>
      </c>
      <c r="O166" s="142">
        <f>$L166+$M166+$N166</f>
        <v>0.2</v>
      </c>
    </row>
    <row r="167" spans="2:15" ht="15">
      <c r="B167" s="63">
        <v>149</v>
      </c>
      <c r="C167" s="114" t="s">
        <v>231</v>
      </c>
      <c r="D167" s="117" t="s">
        <v>950</v>
      </c>
      <c r="E167" s="140" t="s">
        <v>1237</v>
      </c>
      <c r="F167" s="118" t="s">
        <v>755</v>
      </c>
      <c r="G167" s="227">
        <v>55.2</v>
      </c>
      <c r="H167" s="9" t="str">
        <f>IF($F167="부록4",IFERROR(INDEX(③1일작업량DB!$H$6:$H$169,MATCH(SUBSTITUTE($C167&amp;"|"&amp;$D167,"~","~~"),③1일작업량DB!$J$6:$J$169,0)),"-"),"")</f>
        <v>㎥/일</v>
      </c>
      <c r="I167" s="227"/>
      <c r="J167" s="229">
        <f>IF($F167="부록4",IFERROR(INDEX(③1일작업량DB!$G$6:$G$169,MATCH(SUBSTITUTE($C167&amp;"|"&amp;$D167,"~","~~"),③1일작업량DB!$J$6:$J$169,0)),""),$I167)</f>
        <v>349</v>
      </c>
      <c r="K167" s="235">
        <v>1</v>
      </c>
      <c r="L167" s="139">
        <f>IFERROR(IF(AND($G167&gt;0,$J167&gt;0,$K167&gt;0),ROUNDUP($G167/($J167*$K167),1),0),0)</f>
        <v>0.2</v>
      </c>
      <c r="M167" s="231">
        <v>0</v>
      </c>
      <c r="N167" s="231">
        <v>0</v>
      </c>
      <c r="O167" s="142">
        <f>$L167+$M167+$N167</f>
        <v>0.2</v>
      </c>
    </row>
    <row r="168" spans="2:15" ht="15">
      <c r="B168" s="63">
        <v>150</v>
      </c>
      <c r="C168" s="114" t="s">
        <v>231</v>
      </c>
      <c r="D168" s="117" t="s">
        <v>257</v>
      </c>
      <c r="E168" s="140" t="s">
        <v>1238</v>
      </c>
      <c r="F168" s="118" t="s">
        <v>755</v>
      </c>
      <c r="G168" s="227">
        <v>53.83</v>
      </c>
      <c r="H168" s="9" t="str">
        <f>IF($F168="부록4",IFERROR(INDEX(③1일작업량DB!$H$6:$H$169,MATCH(SUBSTITUTE($C168&amp;"|"&amp;$D168,"~","~~"),③1일작업량DB!$J$6:$J$169,0)),"-"),"")</f>
        <v>㎥/일</v>
      </c>
      <c r="I168" s="227"/>
      <c r="J168" s="229">
        <f>IF($F168="부록4",IFERROR(INDEX(③1일작업량DB!$G$6:$G$169,MATCH(SUBSTITUTE($C168&amp;"|"&amp;$D168,"~","~~"),③1일작업량DB!$J$6:$J$169,0)),""),$I168)</f>
        <v>42</v>
      </c>
      <c r="K168" s="235">
        <v>1</v>
      </c>
      <c r="L168" s="139">
        <f>IFERROR(IF(AND($G168&gt;0,$J168&gt;0,$K168&gt;0),ROUNDUP($G168/($J168*$K168),1),0),0)</f>
        <v>1.3</v>
      </c>
      <c r="M168" s="231">
        <v>0</v>
      </c>
      <c r="N168" s="231">
        <v>0</v>
      </c>
      <c r="O168" s="142">
        <f>$L168+$M168+$N168</f>
        <v>1.3</v>
      </c>
    </row>
    <row r="169" spans="2:15" ht="15">
      <c r="B169" s="63">
        <v>151</v>
      </c>
      <c r="C169" s="114" t="s">
        <v>231</v>
      </c>
      <c r="D169" s="117" t="s">
        <v>257</v>
      </c>
      <c r="E169" s="140" t="s">
        <v>1239</v>
      </c>
      <c r="F169" s="118" t="s">
        <v>755</v>
      </c>
      <c r="G169" s="227">
        <v>46.34</v>
      </c>
      <c r="H169" s="9" t="str">
        <f>IF($F169="부록4",IFERROR(INDEX(③1일작업량DB!$H$6:$H$169,MATCH(SUBSTITUTE($C169&amp;"|"&amp;$D169,"~","~~"),③1일작업량DB!$J$6:$J$169,0)),"-"),"")</f>
        <v>㎥/일</v>
      </c>
      <c r="I169" s="227"/>
      <c r="J169" s="229">
        <f>IF($F169="부록4",IFERROR(INDEX(③1일작업량DB!$G$6:$G$169,MATCH(SUBSTITUTE($C169&amp;"|"&amp;$D169,"~","~~"),③1일작업량DB!$J$6:$J$169,0)),""),$I169)</f>
        <v>42</v>
      </c>
      <c r="K169" s="235">
        <v>1</v>
      </c>
      <c r="L169" s="139">
        <f>IFERROR(IF(AND($G169&gt;0,$J169&gt;0,$K169&gt;0),ROUNDUP($G169/($J169*$K169),1),0),0)</f>
        <v>1.2000000000000002</v>
      </c>
      <c r="M169" s="231">
        <v>0</v>
      </c>
      <c r="N169" s="231">
        <v>0</v>
      </c>
      <c r="O169" s="142">
        <f>$L169+$M169+$N169</f>
        <v>1.2000000000000002</v>
      </c>
    </row>
    <row r="170" spans="2:15" ht="15">
      <c r="B170" s="63">
        <v>152</v>
      </c>
      <c r="C170" s="114" t="s">
        <v>231</v>
      </c>
      <c r="D170" s="117" t="s">
        <v>348</v>
      </c>
      <c r="E170" s="140" t="s">
        <v>1240</v>
      </c>
      <c r="F170" s="118" t="s">
        <v>755</v>
      </c>
      <c r="G170" s="227">
        <v>2.72</v>
      </c>
      <c r="H170" s="9" t="str">
        <f>IF($F170="부록4",IFERROR(INDEX(③1일작업량DB!$H$6:$H$169,MATCH(SUBSTITUTE($C170&amp;"|"&amp;$D170,"~","~~"),③1일작업량DB!$J$6:$J$169,0)),"-"),"")</f>
        <v>㎥/일</v>
      </c>
      <c r="I170" s="227"/>
      <c r="J170" s="229">
        <f>IF($F170="부록4",IFERROR(INDEX(③1일작업량DB!$G$6:$G$169,MATCH(SUBSTITUTE($C170&amp;"|"&amp;$D170,"~","~~"),③1일작업량DB!$J$6:$J$169,0)),""),$I170)</f>
        <v>65</v>
      </c>
      <c r="K170" s="235">
        <v>1</v>
      </c>
      <c r="L170" s="139">
        <f>IFERROR(IF(AND($G170&gt;0,$J170&gt;0,$K170&gt;0),ROUNDUP($G170/($J170*$K170),1),0),0)</f>
        <v>0.1</v>
      </c>
      <c r="M170" s="231">
        <v>0</v>
      </c>
      <c r="N170" s="231">
        <v>0</v>
      </c>
      <c r="O170" s="142">
        <f>$L170+$M170+$N170</f>
        <v>0.1</v>
      </c>
    </row>
    <row r="171" spans="2:15" ht="15">
      <c r="B171" s="145"/>
      <c r="C171" s="443" t="s">
        <v>1241</v>
      </c>
      <c r="D171" s="166"/>
      <c r="E171" s="167"/>
      <c r="F171" s="159"/>
      <c r="G171" s="160"/>
      <c r="H171" s="145"/>
      <c r="I171" s="161"/>
      <c r="J171" s="162"/>
      <c r="K171" s="163"/>
      <c r="L171" s="164"/>
      <c r="M171" s="163"/>
      <c r="N171" s="163"/>
      <c r="O171" s="165">
        <f>SUM(O172:O178)</f>
        <v>5.8999999999999995</v>
      </c>
    </row>
    <row r="172" spans="2:15" ht="30">
      <c r="B172" s="63">
        <v>153</v>
      </c>
      <c r="C172" s="114" t="s">
        <v>269</v>
      </c>
      <c r="D172" s="117" t="s">
        <v>885</v>
      </c>
      <c r="E172" s="140" t="s">
        <v>1242</v>
      </c>
      <c r="F172" s="118" t="s">
        <v>755</v>
      </c>
      <c r="G172" s="227">
        <v>2</v>
      </c>
      <c r="H172" s="9" t="str">
        <f>IF($F172="부록4",IFERROR(INDEX(③1일작업량DB!$H$6:$H$169,MATCH(SUBSTITUTE($C172&amp;"|"&amp;$D172,"~","~~"),③1일작업량DB!$J$6:$J$169,0)),"-"),"")</f>
        <v>개소/일</v>
      </c>
      <c r="I172" s="227"/>
      <c r="J172" s="229">
        <f>IF($F172="부록4",IFERROR(INDEX(③1일작업량DB!$G$6:$G$169,MATCH(SUBSTITUTE($C172&amp;"|"&amp;$D172,"~","~~"),③1일작업량DB!$J$6:$J$169,0)),""),$I172)</f>
        <v>1.5</v>
      </c>
      <c r="K172" s="235">
        <v>1</v>
      </c>
      <c r="L172" s="139">
        <f t="shared" ref="L172:L178" si="24">IFERROR(IF(AND($G172&gt;0,$J172&gt;0,$K172&gt;0),ROUNDUP($G172/($J172*$K172),1),0),0)</f>
        <v>1.4000000000000001</v>
      </c>
      <c r="M172" s="231">
        <v>0</v>
      </c>
      <c r="N172" s="231">
        <v>0</v>
      </c>
      <c r="O172" s="142">
        <f t="shared" ref="O172:O178" si="25">$L172+$M172+$N172</f>
        <v>1.4000000000000001</v>
      </c>
    </row>
    <row r="173" spans="2:15" ht="15">
      <c r="B173" s="63">
        <v>154</v>
      </c>
      <c r="C173" s="114" t="s">
        <v>269</v>
      </c>
      <c r="D173" s="117" t="s">
        <v>891</v>
      </c>
      <c r="E173" s="140" t="s">
        <v>1243</v>
      </c>
      <c r="F173" s="118" t="s">
        <v>755</v>
      </c>
      <c r="G173" s="227">
        <v>7</v>
      </c>
      <c r="H173" s="9" t="str">
        <f>IF($F173="부록4",IFERROR(INDEX(③1일작업량DB!$H$6:$H$169,MATCH(SUBSTITUTE($C173&amp;"|"&amp;$D173,"~","~~"),③1일작업량DB!$J$6:$J$169,0)),"-"),"")</f>
        <v>개소/일</v>
      </c>
      <c r="I173" s="227"/>
      <c r="J173" s="229">
        <f>IF($F173="부록4",IFERROR(INDEX(③1일작업량DB!$G$6:$G$169,MATCH(SUBSTITUTE($C173&amp;"|"&amp;$D173,"~","~~"),③1일작업량DB!$J$6:$J$169,0)),""),$I173)</f>
        <v>10</v>
      </c>
      <c r="K173" s="235">
        <v>1</v>
      </c>
      <c r="L173" s="139">
        <f t="shared" si="24"/>
        <v>0.7</v>
      </c>
      <c r="M173" s="231">
        <v>0</v>
      </c>
      <c r="N173" s="231">
        <v>0</v>
      </c>
      <c r="O173" s="142">
        <f t="shared" si="25"/>
        <v>0.7</v>
      </c>
    </row>
    <row r="174" spans="2:15" ht="15">
      <c r="B174" s="63">
        <v>155</v>
      </c>
      <c r="C174" s="114" t="s">
        <v>269</v>
      </c>
      <c r="D174" s="117" t="s">
        <v>889</v>
      </c>
      <c r="E174" s="140" t="s">
        <v>1244</v>
      </c>
      <c r="F174" s="118" t="s">
        <v>755</v>
      </c>
      <c r="G174" s="227">
        <v>6</v>
      </c>
      <c r="H174" s="9" t="str">
        <f>IF($F174="부록4",IFERROR(INDEX(③1일작업량DB!$H$6:$H$169,MATCH(SUBSTITUTE($C174&amp;"|"&amp;$D174,"~","~~"),③1일작업량DB!$J$6:$J$169,0)),"-"),"")</f>
        <v>개소/일</v>
      </c>
      <c r="I174" s="227"/>
      <c r="J174" s="229">
        <f>IF($F174="부록4",IFERROR(INDEX(③1일작업량DB!$G$6:$G$169,MATCH(SUBSTITUTE($C174&amp;"|"&amp;$D174,"~","~~"),③1일작업량DB!$J$6:$J$169,0)),""),$I174)</f>
        <v>8</v>
      </c>
      <c r="K174" s="235">
        <v>1</v>
      </c>
      <c r="L174" s="139">
        <f t="shared" si="24"/>
        <v>0.79999999999999993</v>
      </c>
      <c r="M174" s="231">
        <v>0</v>
      </c>
      <c r="N174" s="231">
        <v>0</v>
      </c>
      <c r="O174" s="142">
        <f t="shared" si="25"/>
        <v>0.79999999999999993</v>
      </c>
    </row>
    <row r="175" spans="2:15" ht="15">
      <c r="B175" s="63">
        <v>156</v>
      </c>
      <c r="C175" s="114" t="s">
        <v>269</v>
      </c>
      <c r="D175" s="117" t="s">
        <v>891</v>
      </c>
      <c r="E175" s="140" t="s">
        <v>1245</v>
      </c>
      <c r="F175" s="118" t="s">
        <v>755</v>
      </c>
      <c r="G175" s="227">
        <v>21</v>
      </c>
      <c r="H175" s="9" t="str">
        <f>IF($F175="부록4",IFERROR(INDEX(③1일작업량DB!$H$6:$H$169,MATCH(SUBSTITUTE($C175&amp;"|"&amp;$D175,"~","~~"),③1일작업량DB!$J$6:$J$169,0)),"-"),"")</f>
        <v>개소/일</v>
      </c>
      <c r="I175" s="227"/>
      <c r="J175" s="229">
        <f>IF($F175="부록4",IFERROR(INDEX(③1일작업량DB!$G$6:$G$169,MATCH(SUBSTITUTE($C175&amp;"|"&amp;$D175,"~","~~"),③1일작업량DB!$J$6:$J$169,0)),""),$I175)</f>
        <v>10</v>
      </c>
      <c r="K175" s="235">
        <v>1</v>
      </c>
      <c r="L175" s="139">
        <f t="shared" si="24"/>
        <v>2.1</v>
      </c>
      <c r="M175" s="231">
        <v>0</v>
      </c>
      <c r="N175" s="231">
        <v>0</v>
      </c>
      <c r="O175" s="142">
        <f t="shared" si="25"/>
        <v>2.1</v>
      </c>
    </row>
    <row r="176" spans="2:15" ht="15">
      <c r="B176" s="63">
        <v>157</v>
      </c>
      <c r="C176" s="114" t="s">
        <v>361</v>
      </c>
      <c r="D176" s="117" t="s">
        <v>756</v>
      </c>
      <c r="E176" s="140" t="s">
        <v>1246</v>
      </c>
      <c r="F176" s="118" t="s">
        <v>755</v>
      </c>
      <c r="G176" s="227">
        <v>0.52</v>
      </c>
      <c r="H176" s="9" t="str">
        <f>IF($F176="부록4",IFERROR(INDEX(③1일작업량DB!$H$6:$H$169,MATCH(SUBSTITUTE($C176&amp;"|"&amp;$D176,"~","~~"),③1일작업량DB!$J$6:$J$169,0)),"-"),"")</f>
        <v>㎥/일</v>
      </c>
      <c r="I176" s="227"/>
      <c r="J176" s="229">
        <f>IF($F176="부록4",IFERROR(INDEX(③1일작업량DB!$G$6:$G$169,MATCH(SUBSTITUTE($C176&amp;"|"&amp;$D176,"~","~~"),③1일작업량DB!$J$6:$J$169,0)),""),$I176)</f>
        <v>189</v>
      </c>
      <c r="K176" s="235">
        <v>1</v>
      </c>
      <c r="L176" s="139">
        <f t="shared" si="24"/>
        <v>0.1</v>
      </c>
      <c r="M176" s="231">
        <v>0</v>
      </c>
      <c r="N176" s="231">
        <v>0</v>
      </c>
      <c r="O176" s="142">
        <f t="shared" si="25"/>
        <v>0.1</v>
      </c>
    </row>
    <row r="177" spans="2:15" ht="15">
      <c r="B177" s="63">
        <v>158</v>
      </c>
      <c r="C177" s="114" t="s">
        <v>361</v>
      </c>
      <c r="D177" s="117" t="s">
        <v>758</v>
      </c>
      <c r="E177" s="140" t="s">
        <v>1193</v>
      </c>
      <c r="F177" s="118" t="s">
        <v>755</v>
      </c>
      <c r="G177" s="227">
        <v>3.78</v>
      </c>
      <c r="H177" s="9" t="str">
        <f>IF($F177="부록4",IFERROR(INDEX(③1일작업량DB!$H$6:$H$169,MATCH(SUBSTITUTE($C177&amp;"|"&amp;$D177,"~","~~"),③1일작업량DB!$J$6:$J$169,0)),"-"),"")</f>
        <v>㎡/일</v>
      </c>
      <c r="I177" s="227"/>
      <c r="J177" s="229">
        <f>IF($F177="부록4",IFERROR(INDEX(③1일작업량DB!$G$6:$G$169,MATCH(SUBSTITUTE($C177&amp;"|"&amp;$D177,"~","~~"),③1일작업량DB!$J$6:$J$169,0)),""),$I177)</f>
        <v>60</v>
      </c>
      <c r="K177" s="235">
        <v>1</v>
      </c>
      <c r="L177" s="139">
        <f t="shared" si="24"/>
        <v>0.1</v>
      </c>
      <c r="M177" s="231">
        <v>0</v>
      </c>
      <c r="N177" s="231">
        <v>0</v>
      </c>
      <c r="O177" s="142">
        <f t="shared" si="25"/>
        <v>0.1</v>
      </c>
    </row>
    <row r="178" spans="2:15" ht="15">
      <c r="B178" s="63">
        <v>159</v>
      </c>
      <c r="C178" s="114" t="s">
        <v>921</v>
      </c>
      <c r="D178" s="117" t="s">
        <v>946</v>
      </c>
      <c r="E178" s="140" t="s">
        <v>1247</v>
      </c>
      <c r="F178" s="118" t="s">
        <v>755</v>
      </c>
      <c r="G178" s="227">
        <v>2</v>
      </c>
      <c r="H178" s="9" t="str">
        <f>IF($F178="부록4",IFERROR(INDEX(③1일작업량DB!$H$6:$H$169,MATCH(SUBSTITUTE($C178&amp;"|"&amp;$D178,"~","~~"),③1일작업량DB!$J$6:$J$169,0)),"-"),"")</f>
        <v>개소/일</v>
      </c>
      <c r="I178" s="227"/>
      <c r="J178" s="229">
        <f>IF($F178="부록4",IFERROR(INDEX(③1일작업량DB!$G$6:$G$169,MATCH(SUBSTITUTE($C178&amp;"|"&amp;$D178,"~","~~"),③1일작업량DB!$J$6:$J$169,0)),""),$I178)</f>
        <v>3</v>
      </c>
      <c r="K178" s="235">
        <v>1</v>
      </c>
      <c r="L178" s="139">
        <f t="shared" si="24"/>
        <v>0.7</v>
      </c>
      <c r="M178" s="231">
        <v>0</v>
      </c>
      <c r="N178" s="231">
        <v>0</v>
      </c>
      <c r="O178" s="142">
        <f t="shared" si="25"/>
        <v>0.7</v>
      </c>
    </row>
    <row r="179" spans="2:15" ht="15">
      <c r="B179" s="145"/>
      <c r="C179" s="443" t="s">
        <v>1248</v>
      </c>
      <c r="D179" s="166"/>
      <c r="E179" s="167"/>
      <c r="F179" s="159"/>
      <c r="G179" s="160"/>
      <c r="H179" s="145"/>
      <c r="I179" s="161"/>
      <c r="J179" s="162"/>
      <c r="K179" s="163"/>
      <c r="L179" s="164"/>
      <c r="M179" s="163"/>
      <c r="N179" s="163"/>
      <c r="O179" s="165">
        <f>SUM(O180:O186)</f>
        <v>1.8000000000000005</v>
      </c>
    </row>
    <row r="180" spans="2:15" ht="30">
      <c r="B180" s="63">
        <v>160</v>
      </c>
      <c r="C180" s="114" t="s">
        <v>849</v>
      </c>
      <c r="D180" s="117" t="s">
        <v>883</v>
      </c>
      <c r="E180" s="140" t="s">
        <v>1249</v>
      </c>
      <c r="F180" s="118" t="s">
        <v>755</v>
      </c>
      <c r="G180" s="227">
        <v>25.92</v>
      </c>
      <c r="H180" s="9" t="str">
        <f>IF($F180="부록4",IFERROR(INDEX(③1일작업량DB!$H$6:$H$169,MATCH(SUBSTITUTE($C180&amp;"|"&amp;$D180,"~","~~"),③1일작업량DB!$J$6:$J$169,0)),"-"),"")</f>
        <v>m/일</v>
      </c>
      <c r="I180" s="227"/>
      <c r="J180" s="229">
        <f>IF($F180="부록4",IFERROR(INDEX(③1일작업량DB!$G$6:$G$169,MATCH(SUBSTITUTE($C180&amp;"|"&amp;$D180,"~","~~"),③1일작업량DB!$J$6:$J$169,0)),""),$I180)</f>
        <v>25</v>
      </c>
      <c r="K180" s="235">
        <v>1</v>
      </c>
      <c r="L180" s="139">
        <f t="shared" ref="L180:L186" si="26">IFERROR(IF(AND($G180&gt;0,$J180&gt;0,$K180&gt;0),ROUNDUP($G180/($J180*$K180),1),0),0)</f>
        <v>1.1000000000000001</v>
      </c>
      <c r="M180" s="231">
        <v>0</v>
      </c>
      <c r="N180" s="231">
        <v>0</v>
      </c>
      <c r="O180" s="142">
        <f t="shared" ref="O180:O186" si="27">$L180+$M180+$N180</f>
        <v>1.1000000000000001</v>
      </c>
    </row>
    <row r="181" spans="2:15" ht="15">
      <c r="B181" s="63">
        <v>161</v>
      </c>
      <c r="C181" s="114" t="s">
        <v>291</v>
      </c>
      <c r="D181" s="117" t="s">
        <v>893</v>
      </c>
      <c r="E181" s="140" t="s">
        <v>1250</v>
      </c>
      <c r="F181" s="118" t="s">
        <v>755</v>
      </c>
      <c r="G181" s="227">
        <v>16</v>
      </c>
      <c r="H181" s="9" t="str">
        <f>IF($F181="부록4",IFERROR(INDEX(③1일작업량DB!$H$6:$H$169,MATCH(SUBSTITUTE($C181&amp;"|"&amp;$D181,"~","~~"),③1일작업량DB!$J$6:$J$169,0)),"-"),"")</f>
        <v>m/일</v>
      </c>
      <c r="I181" s="227"/>
      <c r="J181" s="229">
        <f>IF($F181="부록4",IFERROR(INDEX(③1일작업량DB!$G$6:$G$169,MATCH(SUBSTITUTE($C181&amp;"|"&amp;$D181,"~","~~"),③1일작업량DB!$J$6:$J$169,0)),""),$I181)</f>
        <v>120</v>
      </c>
      <c r="K181" s="235">
        <v>1</v>
      </c>
      <c r="L181" s="139">
        <f t="shared" si="26"/>
        <v>0.2</v>
      </c>
      <c r="M181" s="231">
        <v>0</v>
      </c>
      <c r="N181" s="231">
        <v>0</v>
      </c>
      <c r="O181" s="142">
        <f t="shared" si="27"/>
        <v>0.2</v>
      </c>
    </row>
    <row r="182" spans="2:15" ht="15">
      <c r="B182" s="63">
        <v>162</v>
      </c>
      <c r="C182" s="114" t="s">
        <v>291</v>
      </c>
      <c r="D182" s="117" t="s">
        <v>895</v>
      </c>
      <c r="E182" s="140" t="s">
        <v>1251</v>
      </c>
      <c r="F182" s="118" t="s">
        <v>755</v>
      </c>
      <c r="G182" s="227">
        <v>4</v>
      </c>
      <c r="H182" s="9" t="str">
        <f>IF($F182="부록4",IFERROR(INDEX(③1일작업량DB!$H$6:$H$169,MATCH(SUBSTITUTE($C182&amp;"|"&amp;$D182,"~","~~"),③1일작업량DB!$J$6:$J$169,0)),"-"),"")</f>
        <v>㎥/일</v>
      </c>
      <c r="I182" s="227"/>
      <c r="J182" s="229">
        <f>IF($F182="부록4",IFERROR(INDEX(③1일작업량DB!$G$6:$G$169,MATCH(SUBSTITUTE($C182&amp;"|"&amp;$D182,"~","~~"),③1일작업량DB!$J$6:$J$169,0)),""),$I182)</f>
        <v>60</v>
      </c>
      <c r="K182" s="235">
        <v>1</v>
      </c>
      <c r="L182" s="139">
        <f t="shared" si="26"/>
        <v>0.1</v>
      </c>
      <c r="M182" s="231">
        <v>0</v>
      </c>
      <c r="N182" s="231">
        <v>0</v>
      </c>
      <c r="O182" s="142">
        <f t="shared" si="27"/>
        <v>0.1</v>
      </c>
    </row>
    <row r="183" spans="2:15" ht="15">
      <c r="B183" s="63">
        <v>163</v>
      </c>
      <c r="C183" s="114" t="s">
        <v>291</v>
      </c>
      <c r="D183" s="117" t="s">
        <v>292</v>
      </c>
      <c r="E183" s="140" t="s">
        <v>1252</v>
      </c>
      <c r="F183" s="118" t="s">
        <v>755</v>
      </c>
      <c r="G183" s="227">
        <v>4.4660000000000002</v>
      </c>
      <c r="H183" s="9" t="str">
        <f>IF($F183="부록4",IFERROR(INDEX(③1일작업량DB!$H$6:$H$169,MATCH(SUBSTITUTE($C183&amp;"|"&amp;$D183,"~","~~"),③1일작업량DB!$J$6:$J$169,0)),"-"),"")</f>
        <v>㎥/일</v>
      </c>
      <c r="I183" s="227"/>
      <c r="J183" s="229">
        <f>IF($F183="부록4",IFERROR(INDEX(③1일작업량DB!$G$6:$G$169,MATCH(SUBSTITUTE($C183&amp;"|"&amp;$D183,"~","~~"),③1일작업량DB!$J$6:$J$169,0)),""),$I183)</f>
        <v>550</v>
      </c>
      <c r="K183" s="235">
        <v>1</v>
      </c>
      <c r="L183" s="139">
        <f t="shared" si="26"/>
        <v>0.1</v>
      </c>
      <c r="M183" s="231">
        <v>0</v>
      </c>
      <c r="N183" s="231">
        <v>0</v>
      </c>
      <c r="O183" s="142">
        <f t="shared" si="27"/>
        <v>0.1</v>
      </c>
    </row>
    <row r="184" spans="2:15" ht="15">
      <c r="B184" s="63">
        <v>164</v>
      </c>
      <c r="C184" s="114" t="s">
        <v>291</v>
      </c>
      <c r="D184" s="117" t="s">
        <v>292</v>
      </c>
      <c r="E184" s="140" t="s">
        <v>1253</v>
      </c>
      <c r="F184" s="118" t="s">
        <v>755</v>
      </c>
      <c r="G184" s="227">
        <v>3.8279999999999998</v>
      </c>
      <c r="H184" s="9" t="str">
        <f>IF($F184="부록4",IFERROR(INDEX(③1일작업량DB!$H$6:$H$169,MATCH(SUBSTITUTE($C184&amp;"|"&amp;$D184,"~","~~"),③1일작업량DB!$J$6:$J$169,0)),"-"),"")</f>
        <v>㎥/일</v>
      </c>
      <c r="I184" s="227"/>
      <c r="J184" s="229">
        <f>IF($F184="부록4",IFERROR(INDEX(③1일작업량DB!$G$6:$G$169,MATCH(SUBSTITUTE($C184&amp;"|"&amp;$D184,"~","~~"),③1일작업량DB!$J$6:$J$169,0)),""),$I184)</f>
        <v>550</v>
      </c>
      <c r="K184" s="235">
        <v>1</v>
      </c>
      <c r="L184" s="139">
        <f t="shared" si="26"/>
        <v>0.1</v>
      </c>
      <c r="M184" s="231">
        <v>0</v>
      </c>
      <c r="N184" s="231">
        <v>0</v>
      </c>
      <c r="O184" s="142">
        <f t="shared" si="27"/>
        <v>0.1</v>
      </c>
    </row>
    <row r="185" spans="2:15" ht="15">
      <c r="B185" s="63">
        <v>165</v>
      </c>
      <c r="C185" s="114" t="s">
        <v>291</v>
      </c>
      <c r="D185" s="117" t="s">
        <v>897</v>
      </c>
      <c r="E185" s="140" t="s">
        <v>898</v>
      </c>
      <c r="F185" s="118" t="s">
        <v>755</v>
      </c>
      <c r="G185" s="227">
        <v>16</v>
      </c>
      <c r="H185" s="9" t="str">
        <f>IF($F185="부록4",IFERROR(INDEX(③1일작업량DB!$H$6:$H$169,MATCH(SUBSTITUTE($C185&amp;"|"&amp;$D185,"~","~~"),③1일작업량DB!$J$6:$J$169,0)),"-"),"")</f>
        <v>㎡/일</v>
      </c>
      <c r="I185" s="227"/>
      <c r="J185" s="229">
        <f>IF($F185="부록4",IFERROR(INDEX(③1일작업량DB!$G$6:$G$169,MATCH(SUBSTITUTE($C185&amp;"|"&amp;$D185,"~","~~"),③1일작업량DB!$J$6:$J$169,0)),""),$I185)</f>
        <v>3000</v>
      </c>
      <c r="K185" s="235">
        <v>1</v>
      </c>
      <c r="L185" s="139">
        <f t="shared" si="26"/>
        <v>0.1</v>
      </c>
      <c r="M185" s="231">
        <v>0</v>
      </c>
      <c r="N185" s="231">
        <v>0</v>
      </c>
      <c r="O185" s="142">
        <f t="shared" si="27"/>
        <v>0.1</v>
      </c>
    </row>
    <row r="186" spans="2:15" ht="15">
      <c r="B186" s="63">
        <v>166</v>
      </c>
      <c r="C186" s="114" t="s">
        <v>291</v>
      </c>
      <c r="D186" s="117" t="s">
        <v>761</v>
      </c>
      <c r="E186" s="140" t="s">
        <v>1254</v>
      </c>
      <c r="F186" s="118" t="s">
        <v>755</v>
      </c>
      <c r="G186" s="227">
        <v>16</v>
      </c>
      <c r="H186" s="9" t="str">
        <f>IF($F186="부록4",IFERROR(INDEX(③1일작업량DB!$H$6:$H$169,MATCH(SUBSTITUTE($C186&amp;"|"&amp;$D186,"~","~~"),③1일작업량DB!$J$6:$J$169,0)),"-"),"")</f>
        <v>㎡/일</v>
      </c>
      <c r="I186" s="227"/>
      <c r="J186" s="229">
        <f>IF($F186="부록4",IFERROR(INDEX(③1일작업량DB!$G$6:$G$169,MATCH(SUBSTITUTE($C186&amp;"|"&amp;$D186,"~","~~"),③1일작업량DB!$J$6:$J$169,0)),""),$I186)</f>
        <v>4500</v>
      </c>
      <c r="K186" s="235">
        <v>1</v>
      </c>
      <c r="L186" s="139">
        <f t="shared" si="26"/>
        <v>0.1</v>
      </c>
      <c r="M186" s="231">
        <v>0</v>
      </c>
      <c r="N186" s="231">
        <v>0</v>
      </c>
      <c r="O186" s="142">
        <f t="shared" si="27"/>
        <v>0.1</v>
      </c>
    </row>
    <row r="187" spans="2:15" ht="15">
      <c r="B187" s="145"/>
      <c r="C187" s="443" t="s">
        <v>1255</v>
      </c>
      <c r="D187" s="166"/>
      <c r="E187" s="167"/>
      <c r="F187" s="159"/>
      <c r="G187" s="160"/>
      <c r="H187" s="145"/>
      <c r="I187" s="161"/>
      <c r="J187" s="162"/>
      <c r="K187" s="163"/>
      <c r="L187" s="164"/>
      <c r="M187" s="163"/>
      <c r="N187" s="163"/>
      <c r="O187" s="165">
        <f>SUM(O188:O195)</f>
        <v>26</v>
      </c>
    </row>
    <row r="188" spans="2:15" ht="30">
      <c r="B188" s="63">
        <v>167</v>
      </c>
      <c r="C188" s="114" t="s">
        <v>231</v>
      </c>
      <c r="D188" s="117" t="s">
        <v>950</v>
      </c>
      <c r="E188" s="140" t="s">
        <v>1256</v>
      </c>
      <c r="F188" s="118" t="s">
        <v>755</v>
      </c>
      <c r="G188" s="227">
        <v>638.45399999999995</v>
      </c>
      <c r="H188" s="9" t="str">
        <f>IF($F188="부록4",IFERROR(INDEX(③1일작업량DB!$H$6:$H$169,MATCH(SUBSTITUTE($C188&amp;"|"&amp;$D188,"~","~~"),③1일작업량DB!$J$6:$J$169,0)),"-"),"")</f>
        <v>㎥/일</v>
      </c>
      <c r="I188" s="227"/>
      <c r="J188" s="229">
        <f>IF($F188="부록4",IFERROR(INDEX(③1일작업량DB!$G$6:$G$169,MATCH(SUBSTITUTE($C188&amp;"|"&amp;$D188,"~","~~"),③1일작업량DB!$J$6:$J$169,0)),""),$I188)</f>
        <v>349</v>
      </c>
      <c r="K188" s="235">
        <v>2</v>
      </c>
      <c r="L188" s="139">
        <f t="shared" ref="L188:L195" si="28">IFERROR(IF(AND($G188&gt;0,$J188&gt;0,$K188&gt;0),ROUNDUP($G188/($J188*$K188),1),0),0)</f>
        <v>1</v>
      </c>
      <c r="M188" s="231">
        <v>0</v>
      </c>
      <c r="N188" s="231">
        <v>0</v>
      </c>
      <c r="O188" s="142">
        <f t="shared" ref="O188:O195" si="29">$L188+$M188+$N188</f>
        <v>1</v>
      </c>
    </row>
    <row r="189" spans="2:15" ht="30">
      <c r="B189" s="63">
        <v>168</v>
      </c>
      <c r="C189" s="114" t="s">
        <v>231</v>
      </c>
      <c r="D189" s="117" t="s">
        <v>950</v>
      </c>
      <c r="E189" s="140" t="s">
        <v>1257</v>
      </c>
      <c r="F189" s="118" t="s">
        <v>755</v>
      </c>
      <c r="G189" s="227">
        <v>1142.768</v>
      </c>
      <c r="H189" s="9" t="str">
        <f>IF($F189="부록4",IFERROR(INDEX(③1일작업량DB!$H$6:$H$169,MATCH(SUBSTITUTE($C189&amp;"|"&amp;$D189,"~","~~"),③1일작업량DB!$J$6:$J$169,0)),"-"),"")</f>
        <v>㎥/일</v>
      </c>
      <c r="I189" s="227"/>
      <c r="J189" s="229">
        <f>IF($F189="부록4",IFERROR(INDEX(③1일작업량DB!$G$6:$G$169,MATCH(SUBSTITUTE($C189&amp;"|"&amp;$D189,"~","~~"),③1일작업량DB!$J$6:$J$169,0)),""),$I189)</f>
        <v>349</v>
      </c>
      <c r="K189" s="235">
        <v>2</v>
      </c>
      <c r="L189" s="139">
        <f t="shared" si="28"/>
        <v>1.7000000000000002</v>
      </c>
      <c r="M189" s="231">
        <v>0</v>
      </c>
      <c r="N189" s="231">
        <v>0</v>
      </c>
      <c r="O189" s="142">
        <f t="shared" si="29"/>
        <v>1.7000000000000002</v>
      </c>
    </row>
    <row r="190" spans="2:15" ht="15">
      <c r="B190" s="63">
        <v>169</v>
      </c>
      <c r="C190" s="114" t="s">
        <v>231</v>
      </c>
      <c r="D190" s="117" t="s">
        <v>257</v>
      </c>
      <c r="E190" s="140" t="s">
        <v>1258</v>
      </c>
      <c r="F190" s="118" t="s">
        <v>755</v>
      </c>
      <c r="G190" s="227">
        <v>341.50299999999999</v>
      </c>
      <c r="H190" s="9" t="str">
        <f>IF($F190="부록4",IFERROR(INDEX(③1일작업량DB!$H$6:$H$169,MATCH(SUBSTITUTE($C190&amp;"|"&amp;$D190,"~","~~"),③1일작업량DB!$J$6:$J$169,0)),"-"),"")</f>
        <v>㎥/일</v>
      </c>
      <c r="I190" s="227"/>
      <c r="J190" s="229">
        <f>IF($F190="부록4",IFERROR(INDEX(③1일작업량DB!$G$6:$G$169,MATCH(SUBSTITUTE($C190&amp;"|"&amp;$D190,"~","~~"),③1일작업량DB!$J$6:$J$169,0)),""),$I190)</f>
        <v>42</v>
      </c>
      <c r="K190" s="235">
        <v>2</v>
      </c>
      <c r="L190" s="139">
        <f t="shared" si="28"/>
        <v>4.0999999999999996</v>
      </c>
      <c r="M190" s="231">
        <v>0</v>
      </c>
      <c r="N190" s="231">
        <v>0</v>
      </c>
      <c r="O190" s="142">
        <f t="shared" si="29"/>
        <v>4.0999999999999996</v>
      </c>
    </row>
    <row r="191" spans="2:15" ht="15">
      <c r="B191" s="63">
        <v>170</v>
      </c>
      <c r="C191" s="114" t="s">
        <v>231</v>
      </c>
      <c r="D191" s="117" t="s">
        <v>257</v>
      </c>
      <c r="E191" s="140" t="s">
        <v>1259</v>
      </c>
      <c r="F191" s="118" t="s">
        <v>755</v>
      </c>
      <c r="G191" s="227">
        <v>152.48599999999999</v>
      </c>
      <c r="H191" s="9" t="str">
        <f>IF($F191="부록4",IFERROR(INDEX(③1일작업량DB!$H$6:$H$169,MATCH(SUBSTITUTE($C191&amp;"|"&amp;$D191,"~","~~"),③1일작업량DB!$J$6:$J$169,0)),"-"),"")</f>
        <v>㎥/일</v>
      </c>
      <c r="I191" s="227"/>
      <c r="J191" s="229">
        <f>IF($F191="부록4",IFERROR(INDEX(③1일작업량DB!$G$6:$G$169,MATCH(SUBSTITUTE($C191&amp;"|"&amp;$D191,"~","~~"),③1일작업량DB!$J$6:$J$169,0)),""),$I191)</f>
        <v>42</v>
      </c>
      <c r="K191" s="235">
        <v>2</v>
      </c>
      <c r="L191" s="139">
        <f t="shared" si="28"/>
        <v>1.9000000000000001</v>
      </c>
      <c r="M191" s="231">
        <v>0</v>
      </c>
      <c r="N191" s="231">
        <v>0</v>
      </c>
      <c r="O191" s="142">
        <f t="shared" si="29"/>
        <v>1.9000000000000001</v>
      </c>
    </row>
    <row r="192" spans="2:15" ht="15">
      <c r="B192" s="63">
        <v>171</v>
      </c>
      <c r="C192" s="114" t="s">
        <v>231</v>
      </c>
      <c r="D192" s="117" t="s">
        <v>257</v>
      </c>
      <c r="E192" s="140" t="s">
        <v>1260</v>
      </c>
      <c r="F192" s="118" t="s">
        <v>755</v>
      </c>
      <c r="G192" s="227">
        <v>927.93499999999995</v>
      </c>
      <c r="H192" s="9" t="str">
        <f>IF($F192="부록4",IFERROR(INDEX(③1일작업량DB!$H$6:$H$169,MATCH(SUBSTITUTE($C192&amp;"|"&amp;$D192,"~","~~"),③1일작업량DB!$J$6:$J$169,0)),"-"),"")</f>
        <v>㎥/일</v>
      </c>
      <c r="I192" s="227"/>
      <c r="J192" s="229">
        <f>IF($F192="부록4",IFERROR(INDEX(③1일작업량DB!$G$6:$G$169,MATCH(SUBSTITUTE($C192&amp;"|"&amp;$D192,"~","~~"),③1일작업량DB!$J$6:$J$169,0)),""),$I192)</f>
        <v>42</v>
      </c>
      <c r="K192" s="235">
        <v>2</v>
      </c>
      <c r="L192" s="139">
        <f t="shared" si="28"/>
        <v>11.1</v>
      </c>
      <c r="M192" s="231">
        <v>0</v>
      </c>
      <c r="N192" s="231">
        <v>0</v>
      </c>
      <c r="O192" s="142">
        <f t="shared" si="29"/>
        <v>11.1</v>
      </c>
    </row>
    <row r="193" spans="2:15" ht="30">
      <c r="B193" s="63">
        <v>172</v>
      </c>
      <c r="C193" s="114" t="s">
        <v>231</v>
      </c>
      <c r="D193" s="117" t="s">
        <v>257</v>
      </c>
      <c r="E193" s="140" t="s">
        <v>1261</v>
      </c>
      <c r="F193" s="118" t="s">
        <v>755</v>
      </c>
      <c r="G193" s="227">
        <v>383.28199999999998</v>
      </c>
      <c r="H193" s="9" t="str">
        <f>IF($F193="부록4",IFERROR(INDEX(③1일작업량DB!$H$6:$H$169,MATCH(SUBSTITUTE($C193&amp;"|"&amp;$D193,"~","~~"),③1일작업량DB!$J$6:$J$169,0)),"-"),"")</f>
        <v>㎥/일</v>
      </c>
      <c r="I193" s="227"/>
      <c r="J193" s="229">
        <f>IF($F193="부록4",IFERROR(INDEX(③1일작업량DB!$G$6:$G$169,MATCH(SUBSTITUTE($C193&amp;"|"&amp;$D193,"~","~~"),③1일작업량DB!$J$6:$J$169,0)),""),$I193)</f>
        <v>42</v>
      </c>
      <c r="K193" s="235">
        <v>2</v>
      </c>
      <c r="L193" s="139">
        <f t="shared" si="28"/>
        <v>4.5999999999999996</v>
      </c>
      <c r="M193" s="231">
        <v>0</v>
      </c>
      <c r="N193" s="231">
        <v>0</v>
      </c>
      <c r="O193" s="142">
        <f t="shared" si="29"/>
        <v>4.5999999999999996</v>
      </c>
    </row>
    <row r="194" spans="2:15" ht="15">
      <c r="B194" s="63">
        <v>173</v>
      </c>
      <c r="C194" s="114" t="s">
        <v>231</v>
      </c>
      <c r="D194" s="117" t="s">
        <v>827</v>
      </c>
      <c r="E194" s="140" t="s">
        <v>1262</v>
      </c>
      <c r="F194" s="118" t="s">
        <v>755</v>
      </c>
      <c r="G194" s="227">
        <v>73.83</v>
      </c>
      <c r="H194" s="9" t="str">
        <f>IF($F194="부록4",IFERROR(INDEX(③1일작업량DB!$H$6:$H$169,MATCH(SUBSTITUTE($C194&amp;"|"&amp;$D194,"~","~~"),③1일작업량DB!$J$6:$J$169,0)),"-"),"")</f>
        <v>㎥/일</v>
      </c>
      <c r="I194" s="227"/>
      <c r="J194" s="229">
        <f>IF($F194="부록4",IFERROR(INDEX(③1일작업량DB!$G$6:$G$169,MATCH(SUBSTITUTE($C194&amp;"|"&amp;$D194,"~","~~"),③1일작업량DB!$J$6:$J$169,0)),""),$I194)</f>
        <v>60</v>
      </c>
      <c r="K194" s="235">
        <v>1</v>
      </c>
      <c r="L194" s="139">
        <f t="shared" si="28"/>
        <v>1.3</v>
      </c>
      <c r="M194" s="231">
        <v>0</v>
      </c>
      <c r="N194" s="231">
        <v>0</v>
      </c>
      <c r="O194" s="142">
        <f t="shared" si="29"/>
        <v>1.3</v>
      </c>
    </row>
    <row r="195" spans="2:15" ht="15">
      <c r="B195" s="63">
        <v>174</v>
      </c>
      <c r="C195" s="114" t="s">
        <v>231</v>
      </c>
      <c r="D195" s="117" t="s">
        <v>829</v>
      </c>
      <c r="E195" s="140" t="s">
        <v>1263</v>
      </c>
      <c r="F195" s="118" t="s">
        <v>755</v>
      </c>
      <c r="G195" s="227">
        <v>144.46600000000001</v>
      </c>
      <c r="H195" s="9" t="str">
        <f>IF($F195="부록4",IFERROR(INDEX(③1일작업량DB!$H$6:$H$169,MATCH(SUBSTITUTE($C195&amp;"|"&amp;$D195,"~","~~"),③1일작업량DB!$J$6:$J$169,0)),"-"),"")</f>
        <v>㎥/일</v>
      </c>
      <c r="I195" s="227"/>
      <c r="J195" s="229">
        <f>IF($F195="부록4",IFERROR(INDEX(③1일작업량DB!$G$6:$G$169,MATCH(SUBSTITUTE($C195&amp;"|"&amp;$D195,"~","~~"),③1일작업량DB!$J$6:$J$169,0)),""),$I195)</f>
        <v>500</v>
      </c>
      <c r="K195" s="235">
        <v>1</v>
      </c>
      <c r="L195" s="139">
        <f t="shared" si="28"/>
        <v>0.30000000000000004</v>
      </c>
      <c r="M195" s="231">
        <v>0</v>
      </c>
      <c r="N195" s="231">
        <v>0</v>
      </c>
      <c r="O195" s="142">
        <f t="shared" si="29"/>
        <v>0.30000000000000004</v>
      </c>
    </row>
    <row r="196" spans="2:15" ht="15">
      <c r="B196" s="145"/>
      <c r="C196" s="443" t="s">
        <v>1264</v>
      </c>
      <c r="D196" s="166"/>
      <c r="E196" s="167"/>
      <c r="F196" s="159"/>
      <c r="G196" s="160"/>
      <c r="H196" s="145"/>
      <c r="I196" s="161"/>
      <c r="J196" s="162"/>
      <c r="K196" s="163"/>
      <c r="L196" s="164"/>
      <c r="M196" s="163"/>
      <c r="N196" s="163"/>
      <c r="O196" s="165">
        <f>SUM(O197:O204)</f>
        <v>27.900000000000002</v>
      </c>
    </row>
    <row r="197" spans="2:15" ht="15">
      <c r="B197" s="63">
        <v>175</v>
      </c>
      <c r="C197" s="114" t="s">
        <v>269</v>
      </c>
      <c r="D197" s="117" t="s">
        <v>760</v>
      </c>
      <c r="E197" s="140" t="s">
        <v>1265</v>
      </c>
      <c r="F197" s="118" t="s">
        <v>755</v>
      </c>
      <c r="G197" s="227">
        <v>687.84</v>
      </c>
      <c r="H197" s="9" t="str">
        <f>IF($F197="부록4",IFERROR(INDEX(③1일작업량DB!$H$6:$H$169,MATCH(SUBSTITUTE($C197&amp;"|"&amp;$D197,"~","~~"),③1일작업량DB!$J$6:$J$169,0)),"-"),"")</f>
        <v>m/일</v>
      </c>
      <c r="I197" s="227"/>
      <c r="J197" s="229">
        <f>IF($F197="부록4",IFERROR(INDEX(③1일작업량DB!$G$6:$G$169,MATCH(SUBSTITUTE($C197&amp;"|"&amp;$D197,"~","~~"),③1일작업량DB!$J$6:$J$169,0)),""),$I197)</f>
        <v>43</v>
      </c>
      <c r="K197" s="235">
        <v>2</v>
      </c>
      <c r="L197" s="139">
        <f t="shared" ref="L197:L204" si="30">IFERROR(IF(AND($G197&gt;0,$J197&gt;0,$K197&gt;0),ROUNDUP($G197/($J197*$K197),1),0),0)</f>
        <v>8</v>
      </c>
      <c r="M197" s="231">
        <v>0</v>
      </c>
      <c r="N197" s="231">
        <v>0</v>
      </c>
      <c r="O197" s="142">
        <f t="shared" ref="O197:O204" si="31">$L197+$M197+$N197</f>
        <v>8</v>
      </c>
    </row>
    <row r="198" spans="2:15" ht="30">
      <c r="B198" s="63">
        <v>176</v>
      </c>
      <c r="C198" s="114" t="s">
        <v>403</v>
      </c>
      <c r="D198" s="117" t="s">
        <v>911</v>
      </c>
      <c r="E198" s="140" t="s">
        <v>1266</v>
      </c>
      <c r="F198" s="118" t="s">
        <v>755</v>
      </c>
      <c r="G198" s="227">
        <v>50</v>
      </c>
      <c r="H198" s="9" t="str">
        <f>IF($F198="부록4",IFERROR(INDEX(③1일작업량DB!$H$6:$H$169,MATCH(SUBSTITUTE($C198&amp;"|"&amp;$D198,"~","~~"),③1일작업량DB!$J$6:$J$169,0)),"-"),"")</f>
        <v>개소/일</v>
      </c>
      <c r="I198" s="227"/>
      <c r="J198" s="229">
        <f>IF($F198="부록4",IFERROR(INDEX(③1일작업량DB!$G$6:$G$169,MATCH(SUBSTITUTE($C198&amp;"|"&amp;$D198,"~","~~"),③1일작업량DB!$J$6:$J$169,0)),""),$I198)</f>
        <v>8</v>
      </c>
      <c r="K198" s="235">
        <v>1</v>
      </c>
      <c r="L198" s="139">
        <f t="shared" si="30"/>
        <v>6.3</v>
      </c>
      <c r="M198" s="231">
        <v>0</v>
      </c>
      <c r="N198" s="231">
        <v>0</v>
      </c>
      <c r="O198" s="142">
        <f t="shared" si="31"/>
        <v>6.3</v>
      </c>
    </row>
    <row r="199" spans="2:15" ht="30">
      <c r="B199" s="63">
        <v>177</v>
      </c>
      <c r="C199" s="114" t="s">
        <v>403</v>
      </c>
      <c r="D199" s="117" t="s">
        <v>915</v>
      </c>
      <c r="E199" s="140" t="s">
        <v>1267</v>
      </c>
      <c r="F199" s="118" t="s">
        <v>755</v>
      </c>
      <c r="G199" s="227">
        <v>42</v>
      </c>
      <c r="H199" s="9" t="str">
        <f>IF($F199="부록4",IFERROR(INDEX(③1일작업량DB!$H$6:$H$169,MATCH(SUBSTITUTE($C199&amp;"|"&amp;$D199,"~","~~"),③1일작업량DB!$J$6:$J$169,0)),"-"),"")</f>
        <v>개소/일</v>
      </c>
      <c r="I199" s="227"/>
      <c r="J199" s="229">
        <f>IF($F199="부록4",IFERROR(INDEX(③1일작업량DB!$G$6:$G$169,MATCH(SUBSTITUTE($C199&amp;"|"&amp;$D199,"~","~~"),③1일작업량DB!$J$6:$J$169,0)),""),$I199)</f>
        <v>12</v>
      </c>
      <c r="K199" s="235">
        <v>1</v>
      </c>
      <c r="L199" s="139">
        <f t="shared" si="30"/>
        <v>3.5</v>
      </c>
      <c r="M199" s="231">
        <v>0</v>
      </c>
      <c r="N199" s="231">
        <v>0</v>
      </c>
      <c r="O199" s="142">
        <f t="shared" si="31"/>
        <v>3.5</v>
      </c>
    </row>
    <row r="200" spans="2:15" ht="30">
      <c r="B200" s="63">
        <v>178</v>
      </c>
      <c r="C200" s="114" t="s">
        <v>403</v>
      </c>
      <c r="D200" s="117" t="s">
        <v>911</v>
      </c>
      <c r="E200" s="140" t="s">
        <v>1268</v>
      </c>
      <c r="F200" s="118" t="s">
        <v>755</v>
      </c>
      <c r="G200" s="227">
        <v>28</v>
      </c>
      <c r="H200" s="9" t="str">
        <f>IF($F200="부록4",IFERROR(INDEX(③1일작업량DB!$H$6:$H$169,MATCH(SUBSTITUTE($C200&amp;"|"&amp;$D200,"~","~~"),③1일작업량DB!$J$6:$J$169,0)),"-"),"")</f>
        <v>개소/일</v>
      </c>
      <c r="I200" s="227"/>
      <c r="J200" s="229">
        <f>IF($F200="부록4",IFERROR(INDEX(③1일작업량DB!$G$6:$G$169,MATCH(SUBSTITUTE($C200&amp;"|"&amp;$D200,"~","~~"),③1일작업량DB!$J$6:$J$169,0)),""),$I200)</f>
        <v>8</v>
      </c>
      <c r="K200" s="235">
        <v>1</v>
      </c>
      <c r="L200" s="139">
        <f t="shared" si="30"/>
        <v>3.5</v>
      </c>
      <c r="M200" s="231">
        <v>0</v>
      </c>
      <c r="N200" s="231">
        <v>0</v>
      </c>
      <c r="O200" s="142">
        <f t="shared" si="31"/>
        <v>3.5</v>
      </c>
    </row>
    <row r="201" spans="2:15" ht="15">
      <c r="B201" s="63">
        <v>179</v>
      </c>
      <c r="C201" s="114" t="s">
        <v>403</v>
      </c>
      <c r="D201" s="117" t="s">
        <v>913</v>
      </c>
      <c r="E201" s="140" t="s">
        <v>1269</v>
      </c>
      <c r="F201" s="118" t="s">
        <v>755</v>
      </c>
      <c r="G201" s="227">
        <v>41</v>
      </c>
      <c r="H201" s="9" t="str">
        <f>IF($F201="부록4",IFERROR(INDEX(③1일작업량DB!$H$6:$H$169,MATCH(SUBSTITUTE($C201&amp;"|"&amp;$D201,"~","~~"),③1일작업량DB!$J$6:$J$169,0)),"-"),"")</f>
        <v>개소/일</v>
      </c>
      <c r="I201" s="227"/>
      <c r="J201" s="229">
        <f>IF($F201="부록4",IFERROR(INDEX(③1일작업량DB!$G$6:$G$169,MATCH(SUBSTITUTE($C201&amp;"|"&amp;$D201,"~","~~"),③1일작업량DB!$J$6:$J$169,0)),""),$I201)</f>
        <v>15</v>
      </c>
      <c r="K201" s="235">
        <v>1</v>
      </c>
      <c r="L201" s="139">
        <f t="shared" si="30"/>
        <v>2.8000000000000003</v>
      </c>
      <c r="M201" s="231">
        <v>0</v>
      </c>
      <c r="N201" s="231">
        <v>0</v>
      </c>
      <c r="O201" s="142">
        <f t="shared" si="31"/>
        <v>2.8000000000000003</v>
      </c>
    </row>
    <row r="202" spans="2:15" ht="15">
      <c r="B202" s="63">
        <v>180</v>
      </c>
      <c r="C202" s="114" t="s">
        <v>403</v>
      </c>
      <c r="D202" s="117" t="s">
        <v>911</v>
      </c>
      <c r="E202" s="140" t="s">
        <v>1270</v>
      </c>
      <c r="F202" s="118" t="s">
        <v>755</v>
      </c>
      <c r="G202" s="227">
        <v>8</v>
      </c>
      <c r="H202" s="9" t="str">
        <f>IF($F202="부록4",IFERROR(INDEX(③1일작업량DB!$H$6:$H$169,MATCH(SUBSTITUTE($C202&amp;"|"&amp;$D202,"~","~~"),③1일작업량DB!$J$6:$J$169,0)),"-"),"")</f>
        <v>개소/일</v>
      </c>
      <c r="I202" s="227"/>
      <c r="J202" s="229">
        <f>IF($F202="부록4",IFERROR(INDEX(③1일작업량DB!$G$6:$G$169,MATCH(SUBSTITUTE($C202&amp;"|"&amp;$D202,"~","~~"),③1일작업량DB!$J$6:$J$169,0)),""),$I202)</f>
        <v>8</v>
      </c>
      <c r="K202" s="235">
        <v>1</v>
      </c>
      <c r="L202" s="139">
        <f t="shared" si="30"/>
        <v>1</v>
      </c>
      <c r="M202" s="231">
        <v>0</v>
      </c>
      <c r="N202" s="231">
        <v>0</v>
      </c>
      <c r="O202" s="142">
        <f t="shared" si="31"/>
        <v>1</v>
      </c>
    </row>
    <row r="203" spans="2:15" ht="15">
      <c r="B203" s="63">
        <v>181</v>
      </c>
      <c r="C203" s="114" t="s">
        <v>403</v>
      </c>
      <c r="D203" s="117" t="s">
        <v>915</v>
      </c>
      <c r="E203" s="140" t="s">
        <v>1271</v>
      </c>
      <c r="F203" s="118" t="s">
        <v>755</v>
      </c>
      <c r="G203" s="227">
        <v>6</v>
      </c>
      <c r="H203" s="9" t="str">
        <f>IF($F203="부록4",IFERROR(INDEX(③1일작업량DB!$H$6:$H$169,MATCH(SUBSTITUTE($C203&amp;"|"&amp;$D203,"~","~~"),③1일작업량DB!$J$6:$J$169,0)),"-"),"")</f>
        <v>개소/일</v>
      </c>
      <c r="I203" s="227"/>
      <c r="J203" s="229">
        <f>IF($F203="부록4",IFERROR(INDEX(③1일작업량DB!$G$6:$G$169,MATCH(SUBSTITUTE($C203&amp;"|"&amp;$D203,"~","~~"),③1일작업량DB!$J$6:$J$169,0)),""),$I203)</f>
        <v>12</v>
      </c>
      <c r="K203" s="235">
        <v>1</v>
      </c>
      <c r="L203" s="139">
        <f t="shared" si="30"/>
        <v>0.5</v>
      </c>
      <c r="M203" s="231">
        <v>0</v>
      </c>
      <c r="N203" s="231">
        <v>0</v>
      </c>
      <c r="O203" s="142">
        <f t="shared" si="31"/>
        <v>0.5</v>
      </c>
    </row>
    <row r="204" spans="2:15" ht="15">
      <c r="B204" s="63">
        <v>182</v>
      </c>
      <c r="C204" s="114" t="s">
        <v>403</v>
      </c>
      <c r="D204" s="117" t="s">
        <v>919</v>
      </c>
      <c r="E204" s="140" t="s">
        <v>920</v>
      </c>
      <c r="F204" s="118" t="s">
        <v>755</v>
      </c>
      <c r="G204" s="227">
        <v>687.84</v>
      </c>
      <c r="H204" s="9" t="str">
        <f>IF($F204="부록4",IFERROR(INDEX(③1일작업량DB!$H$6:$H$169,MATCH(SUBSTITUTE($C204&amp;"|"&amp;$D204,"~","~~"),③1일작업량DB!$J$6:$J$169,0)),"-"),"")</f>
        <v>m/일</v>
      </c>
      <c r="I204" s="227"/>
      <c r="J204" s="229">
        <f>IF($F204="부록4",IFERROR(INDEX(③1일작업량DB!$G$6:$G$169,MATCH(SUBSTITUTE($C204&amp;"|"&amp;$D204,"~","~~"),③1일작업량DB!$J$6:$J$169,0)),""),$I204)</f>
        <v>300</v>
      </c>
      <c r="K204" s="235">
        <v>1</v>
      </c>
      <c r="L204" s="139">
        <f t="shared" si="30"/>
        <v>2.3000000000000003</v>
      </c>
      <c r="M204" s="231">
        <v>0</v>
      </c>
      <c r="N204" s="231">
        <v>0</v>
      </c>
      <c r="O204" s="142">
        <f t="shared" si="31"/>
        <v>2.3000000000000003</v>
      </c>
    </row>
    <row r="205" spans="2:15" ht="15">
      <c r="B205" s="145"/>
      <c r="C205" s="443" t="s">
        <v>1272</v>
      </c>
      <c r="D205" s="166"/>
      <c r="E205" s="167"/>
      <c r="F205" s="159"/>
      <c r="G205" s="160"/>
      <c r="H205" s="145"/>
      <c r="I205" s="161"/>
      <c r="J205" s="162"/>
      <c r="K205" s="163"/>
      <c r="L205" s="164"/>
      <c r="M205" s="163"/>
      <c r="N205" s="163"/>
      <c r="O205" s="165">
        <f>SUM(O206:O209)</f>
        <v>42.400000000000006</v>
      </c>
    </row>
    <row r="206" spans="2:15" ht="15">
      <c r="B206" s="63">
        <v>183</v>
      </c>
      <c r="C206" s="114" t="s">
        <v>403</v>
      </c>
      <c r="D206" s="117" t="s">
        <v>913</v>
      </c>
      <c r="E206" s="140" t="s">
        <v>1273</v>
      </c>
      <c r="F206" s="118" t="s">
        <v>755</v>
      </c>
      <c r="G206" s="227">
        <v>295</v>
      </c>
      <c r="H206" s="9" t="str">
        <f>IF($F206="부록4",IFERROR(INDEX(③1일작업량DB!$H$6:$H$169,MATCH(SUBSTITUTE($C206&amp;"|"&amp;$D206,"~","~~"),③1일작업량DB!$J$6:$J$169,0)),"-"),"")</f>
        <v>개소/일</v>
      </c>
      <c r="I206" s="227"/>
      <c r="J206" s="229">
        <f>IF($F206="부록4",IFERROR(INDEX(③1일작업량DB!$G$6:$G$169,MATCH(SUBSTITUTE($C206&amp;"|"&amp;$D206,"~","~~"),③1일작업량DB!$J$6:$J$169,0)),""),$I206)</f>
        <v>15</v>
      </c>
      <c r="K206" s="235">
        <v>2</v>
      </c>
      <c r="L206" s="139">
        <f>IFERROR(IF(AND($G206&gt;0,$J206&gt;0,$K206&gt;0),ROUNDUP($G206/($J206*$K206),1),0),0)</f>
        <v>9.9</v>
      </c>
      <c r="M206" s="231">
        <v>0</v>
      </c>
      <c r="N206" s="231">
        <v>0</v>
      </c>
      <c r="O206" s="142">
        <f>$L206+$M206+$N206</f>
        <v>9.9</v>
      </c>
    </row>
    <row r="207" spans="2:15" ht="30">
      <c r="B207" s="63">
        <v>184</v>
      </c>
      <c r="C207" s="114" t="s">
        <v>403</v>
      </c>
      <c r="D207" s="117" t="s">
        <v>911</v>
      </c>
      <c r="E207" s="140" t="s">
        <v>1274</v>
      </c>
      <c r="F207" s="118" t="s">
        <v>755</v>
      </c>
      <c r="G207" s="227">
        <v>198</v>
      </c>
      <c r="H207" s="9" t="str">
        <f>IF($F207="부록4",IFERROR(INDEX(③1일작업량DB!$H$6:$H$169,MATCH(SUBSTITUTE($C207&amp;"|"&amp;$D207,"~","~~"),③1일작업량DB!$J$6:$J$169,0)),"-"),"")</f>
        <v>개소/일</v>
      </c>
      <c r="I207" s="227"/>
      <c r="J207" s="229">
        <f>IF($F207="부록4",IFERROR(INDEX(③1일작업량DB!$G$6:$G$169,MATCH(SUBSTITUTE($C207&amp;"|"&amp;$D207,"~","~~"),③1일작업량DB!$J$6:$J$169,0)),""),$I207)</f>
        <v>8</v>
      </c>
      <c r="K207" s="235">
        <v>2</v>
      </c>
      <c r="L207" s="139">
        <f>IFERROR(IF(AND($G207&gt;0,$J207&gt;0,$K207&gt;0),ROUNDUP($G207/($J207*$K207),1),0),0)</f>
        <v>12.4</v>
      </c>
      <c r="M207" s="231">
        <v>0</v>
      </c>
      <c r="N207" s="231">
        <v>0</v>
      </c>
      <c r="O207" s="142">
        <f>$L207+$M207+$N207</f>
        <v>12.4</v>
      </c>
    </row>
    <row r="208" spans="2:15" ht="15">
      <c r="B208" s="63">
        <v>185</v>
      </c>
      <c r="C208" s="114" t="s">
        <v>403</v>
      </c>
      <c r="D208" s="117" t="s">
        <v>915</v>
      </c>
      <c r="E208" s="140" t="s">
        <v>1275</v>
      </c>
      <c r="F208" s="118" t="s">
        <v>755</v>
      </c>
      <c r="G208" s="227">
        <v>225</v>
      </c>
      <c r="H208" s="9" t="str">
        <f>IF($F208="부록4",IFERROR(INDEX(③1일작업량DB!$H$6:$H$169,MATCH(SUBSTITUTE($C208&amp;"|"&amp;$D208,"~","~~"),③1일작업량DB!$J$6:$J$169,0)),"-"),"")</f>
        <v>개소/일</v>
      </c>
      <c r="I208" s="227"/>
      <c r="J208" s="229">
        <f>IF($F208="부록4",IFERROR(INDEX(③1일작업량DB!$G$6:$G$169,MATCH(SUBSTITUTE($C208&amp;"|"&amp;$D208,"~","~~"),③1일작업량DB!$J$6:$J$169,0)),""),$I208)</f>
        <v>12</v>
      </c>
      <c r="K208" s="235">
        <v>2</v>
      </c>
      <c r="L208" s="139">
        <f>IFERROR(IF(AND($G208&gt;0,$J208&gt;0,$K208&gt;0),ROUNDUP($G208/($J208*$K208),1),0),0)</f>
        <v>9.4</v>
      </c>
      <c r="M208" s="231">
        <v>0</v>
      </c>
      <c r="N208" s="231">
        <v>0</v>
      </c>
      <c r="O208" s="142">
        <f>$L208+$M208+$N208</f>
        <v>9.4</v>
      </c>
    </row>
    <row r="209" spans="2:15" ht="15">
      <c r="B209" s="63">
        <v>186</v>
      </c>
      <c r="C209" s="114" t="s">
        <v>921</v>
      </c>
      <c r="D209" s="117" t="s">
        <v>946</v>
      </c>
      <c r="E209" s="140" t="s">
        <v>1276</v>
      </c>
      <c r="F209" s="118" t="s">
        <v>755</v>
      </c>
      <c r="G209" s="227">
        <v>32</v>
      </c>
      <c r="H209" s="9" t="str">
        <f>IF($F209="부록4",IFERROR(INDEX(③1일작업량DB!$H$6:$H$169,MATCH(SUBSTITUTE($C209&amp;"|"&amp;$D209,"~","~~"),③1일작업량DB!$J$6:$J$169,0)),"-"),"")</f>
        <v>개소/일</v>
      </c>
      <c r="I209" s="227"/>
      <c r="J209" s="229">
        <f>IF($F209="부록4",IFERROR(INDEX(③1일작업량DB!$G$6:$G$169,MATCH(SUBSTITUTE($C209&amp;"|"&amp;$D209,"~","~~"),③1일작업량DB!$J$6:$J$169,0)),""),$I209)</f>
        <v>3</v>
      </c>
      <c r="K209" s="235">
        <v>1</v>
      </c>
      <c r="L209" s="139">
        <f>IFERROR(IF(AND($G209&gt;0,$J209&gt;0,$K209&gt;0),ROUNDUP($G209/($J209*$K209),1),0),0)</f>
        <v>10.7</v>
      </c>
      <c r="M209" s="231">
        <v>0</v>
      </c>
      <c r="N209" s="231">
        <v>0</v>
      </c>
      <c r="O209" s="142">
        <f>$L209+$M209+$N209</f>
        <v>10.7</v>
      </c>
    </row>
    <row r="210" spans="2:15" ht="15">
      <c r="B210" s="145"/>
      <c r="C210" s="443" t="s">
        <v>1277</v>
      </c>
      <c r="D210" s="166"/>
      <c r="E210" s="167"/>
      <c r="F210" s="159"/>
      <c r="G210" s="160"/>
      <c r="H210" s="145"/>
      <c r="I210" s="161"/>
      <c r="J210" s="162"/>
      <c r="K210" s="163"/>
      <c r="L210" s="164"/>
      <c r="M210" s="163"/>
      <c r="N210" s="163"/>
      <c r="O210" s="165">
        <f>SUM(O211:O222)</f>
        <v>12.999999999999998</v>
      </c>
    </row>
    <row r="211" spans="2:15" ht="30">
      <c r="B211" s="63">
        <v>187</v>
      </c>
      <c r="C211" s="114" t="s">
        <v>269</v>
      </c>
      <c r="D211" s="117" t="s">
        <v>887</v>
      </c>
      <c r="E211" s="140" t="s">
        <v>1278</v>
      </c>
      <c r="F211" s="118" t="s">
        <v>755</v>
      </c>
      <c r="G211" s="227">
        <v>32</v>
      </c>
      <c r="H211" s="9" t="str">
        <f>IF($F211="부록4",IFERROR(INDEX(③1일작업량DB!$H$6:$H$169,MATCH(SUBSTITUTE($C211&amp;"|"&amp;$D211,"~","~~"),③1일작업량DB!$J$6:$J$169,0)),"-"),"")</f>
        <v>개소/일</v>
      </c>
      <c r="I211" s="227"/>
      <c r="J211" s="229">
        <f>IF($F211="부록4",IFERROR(INDEX(③1일작업량DB!$G$6:$G$169,MATCH(SUBSTITUTE($C211&amp;"|"&amp;$D211,"~","~~"),③1일작업량DB!$J$6:$J$169,0)),""),$I211)</f>
        <v>4</v>
      </c>
      <c r="K211" s="235">
        <v>2</v>
      </c>
      <c r="L211" s="139">
        <f t="shared" ref="L211:L222" si="32">IFERROR(IF(AND($G211&gt;0,$J211&gt;0,$K211&gt;0),ROUNDUP($G211/($J211*$K211),1),0),0)</f>
        <v>4</v>
      </c>
      <c r="M211" s="231">
        <v>0</v>
      </c>
      <c r="N211" s="231">
        <v>0</v>
      </c>
      <c r="O211" s="142">
        <f t="shared" ref="O211:O222" si="33">$L211+$M211+$N211</f>
        <v>4</v>
      </c>
    </row>
    <row r="212" spans="2:15" ht="15">
      <c r="B212" s="63">
        <v>188</v>
      </c>
      <c r="C212" s="114" t="s">
        <v>269</v>
      </c>
      <c r="D212" s="117" t="s">
        <v>887</v>
      </c>
      <c r="E212" s="140" t="s">
        <v>1279</v>
      </c>
      <c r="F212" s="118" t="s">
        <v>755</v>
      </c>
      <c r="G212" s="227">
        <v>7</v>
      </c>
      <c r="H212" s="9" t="str">
        <f>IF($F212="부록4",IFERROR(INDEX(③1일작업량DB!$H$6:$H$169,MATCH(SUBSTITUTE($C212&amp;"|"&amp;$D212,"~","~~"),③1일작업량DB!$J$6:$J$169,0)),"-"),"")</f>
        <v>개소/일</v>
      </c>
      <c r="I212" s="227"/>
      <c r="J212" s="229">
        <f>IF($F212="부록4",IFERROR(INDEX(③1일작업량DB!$G$6:$G$169,MATCH(SUBSTITUTE($C212&amp;"|"&amp;$D212,"~","~~"),③1일작업량DB!$J$6:$J$169,0)),""),$I212)</f>
        <v>4</v>
      </c>
      <c r="K212" s="235">
        <v>1</v>
      </c>
      <c r="L212" s="139">
        <f t="shared" si="32"/>
        <v>1.8</v>
      </c>
      <c r="M212" s="231">
        <v>0</v>
      </c>
      <c r="N212" s="231">
        <v>0</v>
      </c>
      <c r="O212" s="142">
        <f t="shared" si="33"/>
        <v>1.8</v>
      </c>
    </row>
    <row r="213" spans="2:15" ht="15">
      <c r="B213" s="63">
        <v>189</v>
      </c>
      <c r="C213" s="114" t="s">
        <v>269</v>
      </c>
      <c r="D213" s="117" t="s">
        <v>889</v>
      </c>
      <c r="E213" s="140" t="s">
        <v>1280</v>
      </c>
      <c r="F213" s="118" t="s">
        <v>755</v>
      </c>
      <c r="G213" s="227">
        <v>7</v>
      </c>
      <c r="H213" s="9" t="str">
        <f>IF($F213="부록4",IFERROR(INDEX(③1일작업량DB!$H$6:$H$169,MATCH(SUBSTITUTE($C213&amp;"|"&amp;$D213,"~","~~"),③1일작업량DB!$J$6:$J$169,0)),"-"),"")</f>
        <v>개소/일</v>
      </c>
      <c r="I213" s="227"/>
      <c r="J213" s="229">
        <f>IF($F213="부록4",IFERROR(INDEX(③1일작업량DB!$G$6:$G$169,MATCH(SUBSTITUTE($C213&amp;"|"&amp;$D213,"~","~~"),③1일작업량DB!$J$6:$J$169,0)),""),$I213)</f>
        <v>8</v>
      </c>
      <c r="K213" s="235">
        <v>1</v>
      </c>
      <c r="L213" s="139">
        <f t="shared" si="32"/>
        <v>0.9</v>
      </c>
      <c r="M213" s="231">
        <v>0</v>
      </c>
      <c r="N213" s="231">
        <v>0</v>
      </c>
      <c r="O213" s="142">
        <f t="shared" si="33"/>
        <v>0.9</v>
      </c>
    </row>
    <row r="214" spans="2:15" ht="30">
      <c r="B214" s="63">
        <v>190</v>
      </c>
      <c r="C214" s="114" t="s">
        <v>269</v>
      </c>
      <c r="D214" s="117" t="s">
        <v>885</v>
      </c>
      <c r="E214" s="140" t="s">
        <v>1281</v>
      </c>
      <c r="F214" s="118" t="s">
        <v>755</v>
      </c>
      <c r="G214" s="227">
        <v>2</v>
      </c>
      <c r="H214" s="9" t="str">
        <f>IF($F214="부록4",IFERROR(INDEX(③1일작업량DB!$H$6:$H$169,MATCH(SUBSTITUTE($C214&amp;"|"&amp;$D214,"~","~~"),③1일작업량DB!$J$6:$J$169,0)),"-"),"")</f>
        <v>개소/일</v>
      </c>
      <c r="I214" s="227"/>
      <c r="J214" s="229">
        <f>IF($F214="부록4",IFERROR(INDEX(③1일작업량DB!$G$6:$G$169,MATCH(SUBSTITUTE($C214&amp;"|"&amp;$D214,"~","~~"),③1일작업량DB!$J$6:$J$169,0)),""),$I214)</f>
        <v>1.5</v>
      </c>
      <c r="K214" s="235">
        <v>1</v>
      </c>
      <c r="L214" s="139">
        <f t="shared" si="32"/>
        <v>1.4000000000000001</v>
      </c>
      <c r="M214" s="231">
        <v>0</v>
      </c>
      <c r="N214" s="231">
        <v>0</v>
      </c>
      <c r="O214" s="142">
        <f t="shared" si="33"/>
        <v>1.4000000000000001</v>
      </c>
    </row>
    <row r="215" spans="2:15" ht="30">
      <c r="B215" s="63">
        <v>191</v>
      </c>
      <c r="C215" s="114" t="s">
        <v>269</v>
      </c>
      <c r="D215" s="117" t="s">
        <v>891</v>
      </c>
      <c r="E215" s="140" t="s">
        <v>1282</v>
      </c>
      <c r="F215" s="118" t="s">
        <v>755</v>
      </c>
      <c r="G215" s="227">
        <v>6</v>
      </c>
      <c r="H215" s="9" t="str">
        <f>IF($F215="부록4",IFERROR(INDEX(③1일작업량DB!$H$6:$H$169,MATCH(SUBSTITUTE($C215&amp;"|"&amp;$D215,"~","~~"),③1일작업량DB!$J$6:$J$169,0)),"-"),"")</f>
        <v>개소/일</v>
      </c>
      <c r="I215" s="227"/>
      <c r="J215" s="229">
        <f>IF($F215="부록4",IFERROR(INDEX(③1일작업량DB!$G$6:$G$169,MATCH(SUBSTITUTE($C215&amp;"|"&amp;$D215,"~","~~"),③1일작업량DB!$J$6:$J$169,0)),""),$I215)</f>
        <v>10</v>
      </c>
      <c r="K215" s="235">
        <v>1</v>
      </c>
      <c r="L215" s="139">
        <f t="shared" si="32"/>
        <v>0.6</v>
      </c>
      <c r="M215" s="231">
        <v>0</v>
      </c>
      <c r="N215" s="231">
        <v>0</v>
      </c>
      <c r="O215" s="142">
        <f t="shared" si="33"/>
        <v>0.6</v>
      </c>
    </row>
    <row r="216" spans="2:15" ht="15">
      <c r="B216" s="63">
        <v>192</v>
      </c>
      <c r="C216" s="114" t="s">
        <v>269</v>
      </c>
      <c r="D216" s="117" t="s">
        <v>891</v>
      </c>
      <c r="E216" s="140" t="s">
        <v>1283</v>
      </c>
      <c r="F216" s="118" t="s">
        <v>755</v>
      </c>
      <c r="G216" s="227">
        <v>20</v>
      </c>
      <c r="H216" s="9" t="str">
        <f>IF($F216="부록4",IFERROR(INDEX(③1일작업량DB!$H$6:$H$169,MATCH(SUBSTITUTE($C216&amp;"|"&amp;$D216,"~","~~"),③1일작업량DB!$J$6:$J$169,0)),"-"),"")</f>
        <v>개소/일</v>
      </c>
      <c r="I216" s="227"/>
      <c r="J216" s="229">
        <f>IF($F216="부록4",IFERROR(INDEX(③1일작업량DB!$G$6:$G$169,MATCH(SUBSTITUTE($C216&amp;"|"&amp;$D216,"~","~~"),③1일작업량DB!$J$6:$J$169,0)),""),$I216)</f>
        <v>10</v>
      </c>
      <c r="K216" s="235">
        <v>1</v>
      </c>
      <c r="L216" s="139">
        <f t="shared" si="32"/>
        <v>2</v>
      </c>
      <c r="M216" s="231">
        <v>0</v>
      </c>
      <c r="N216" s="231">
        <v>0</v>
      </c>
      <c r="O216" s="142">
        <f t="shared" si="33"/>
        <v>2</v>
      </c>
    </row>
    <row r="217" spans="2:15" ht="15">
      <c r="B217" s="63">
        <v>193</v>
      </c>
      <c r="C217" s="114" t="s">
        <v>269</v>
      </c>
      <c r="D217" s="117" t="s">
        <v>889</v>
      </c>
      <c r="E217" s="140" t="s">
        <v>1284</v>
      </c>
      <c r="F217" s="118" t="s">
        <v>755</v>
      </c>
      <c r="G217" s="227">
        <v>2</v>
      </c>
      <c r="H217" s="9" t="str">
        <f>IF($F217="부록4",IFERROR(INDEX(③1일작업량DB!$H$6:$H$169,MATCH(SUBSTITUTE($C217&amp;"|"&amp;$D217,"~","~~"),③1일작업량DB!$J$6:$J$169,0)),"-"),"")</f>
        <v>개소/일</v>
      </c>
      <c r="I217" s="227"/>
      <c r="J217" s="229">
        <f>IF($F217="부록4",IFERROR(INDEX(③1일작업량DB!$G$6:$G$169,MATCH(SUBSTITUTE($C217&amp;"|"&amp;$D217,"~","~~"),③1일작업량DB!$J$6:$J$169,0)),""),$I217)</f>
        <v>8</v>
      </c>
      <c r="K217" s="235">
        <v>1</v>
      </c>
      <c r="L217" s="139">
        <f t="shared" si="32"/>
        <v>0.30000000000000004</v>
      </c>
      <c r="M217" s="231">
        <v>0</v>
      </c>
      <c r="N217" s="231">
        <v>0</v>
      </c>
      <c r="O217" s="142">
        <f t="shared" si="33"/>
        <v>0.30000000000000004</v>
      </c>
    </row>
    <row r="218" spans="2:15" ht="15">
      <c r="B218" s="63">
        <v>194</v>
      </c>
      <c r="C218" s="114" t="s">
        <v>361</v>
      </c>
      <c r="D218" s="117" t="s">
        <v>756</v>
      </c>
      <c r="E218" s="140" t="s">
        <v>1285</v>
      </c>
      <c r="F218" s="118" t="s">
        <v>755</v>
      </c>
      <c r="G218" s="227">
        <v>0.16</v>
      </c>
      <c r="H218" s="9" t="str">
        <f>IF($F218="부록4",IFERROR(INDEX(③1일작업량DB!$H$6:$H$169,MATCH(SUBSTITUTE($C218&amp;"|"&amp;$D218,"~","~~"),③1일작업량DB!$J$6:$J$169,0)),"-"),"")</f>
        <v>㎥/일</v>
      </c>
      <c r="I218" s="227"/>
      <c r="J218" s="229">
        <f>IF($F218="부록4",IFERROR(INDEX(③1일작업량DB!$G$6:$G$169,MATCH(SUBSTITUTE($C218&amp;"|"&amp;$D218,"~","~~"),③1일작업량DB!$J$6:$J$169,0)),""),$I218)</f>
        <v>189</v>
      </c>
      <c r="K218" s="235">
        <v>1</v>
      </c>
      <c r="L218" s="139">
        <f t="shared" si="32"/>
        <v>0.1</v>
      </c>
      <c r="M218" s="231">
        <v>0</v>
      </c>
      <c r="N218" s="231">
        <v>0</v>
      </c>
      <c r="O218" s="142">
        <f t="shared" si="33"/>
        <v>0.1</v>
      </c>
    </row>
    <row r="219" spans="2:15" ht="15">
      <c r="B219" s="63">
        <v>195</v>
      </c>
      <c r="C219" s="114" t="s">
        <v>361</v>
      </c>
      <c r="D219" s="117" t="s">
        <v>758</v>
      </c>
      <c r="E219" s="140" t="s">
        <v>1286</v>
      </c>
      <c r="F219" s="118" t="s">
        <v>755</v>
      </c>
      <c r="G219" s="227">
        <v>1</v>
      </c>
      <c r="H219" s="9" t="str">
        <f>IF($F219="부록4",IFERROR(INDEX(③1일작업량DB!$H$6:$H$169,MATCH(SUBSTITUTE($C219&amp;"|"&amp;$D219,"~","~~"),③1일작업량DB!$J$6:$J$169,0)),"-"),"")</f>
        <v>㎡/일</v>
      </c>
      <c r="I219" s="227"/>
      <c r="J219" s="229">
        <f>IF($F219="부록4",IFERROR(INDEX(③1일작업량DB!$G$6:$G$169,MATCH(SUBSTITUTE($C219&amp;"|"&amp;$D219,"~","~~"),③1일작업량DB!$J$6:$J$169,0)),""),$I219)</f>
        <v>60</v>
      </c>
      <c r="K219" s="235">
        <v>1</v>
      </c>
      <c r="L219" s="139">
        <f t="shared" si="32"/>
        <v>0.1</v>
      </c>
      <c r="M219" s="231">
        <v>0</v>
      </c>
      <c r="N219" s="231">
        <v>0</v>
      </c>
      <c r="O219" s="142">
        <f t="shared" si="33"/>
        <v>0.1</v>
      </c>
    </row>
    <row r="220" spans="2:15" ht="15">
      <c r="B220" s="63">
        <v>196</v>
      </c>
      <c r="C220" s="114" t="s">
        <v>231</v>
      </c>
      <c r="D220" s="117" t="s">
        <v>348</v>
      </c>
      <c r="E220" s="140" t="s">
        <v>1287</v>
      </c>
      <c r="F220" s="118" t="s">
        <v>755</v>
      </c>
      <c r="G220" s="227">
        <v>1.06</v>
      </c>
      <c r="H220" s="9" t="str">
        <f>IF($F220="부록4",IFERROR(INDEX(③1일작업량DB!$H$6:$H$169,MATCH(SUBSTITUTE($C220&amp;"|"&amp;$D220,"~","~~"),③1일작업량DB!$J$6:$J$169,0)),"-"),"")</f>
        <v>㎥/일</v>
      </c>
      <c r="I220" s="227"/>
      <c r="J220" s="229">
        <f>IF($F220="부록4",IFERROR(INDEX(③1일작업량DB!$G$6:$G$169,MATCH(SUBSTITUTE($C220&amp;"|"&amp;$D220,"~","~~"),③1일작업량DB!$J$6:$J$169,0)),""),$I220)</f>
        <v>65</v>
      </c>
      <c r="K220" s="235">
        <v>1</v>
      </c>
      <c r="L220" s="139">
        <f t="shared" si="32"/>
        <v>0.1</v>
      </c>
      <c r="M220" s="231">
        <v>0</v>
      </c>
      <c r="N220" s="231">
        <v>0</v>
      </c>
      <c r="O220" s="142">
        <f t="shared" si="33"/>
        <v>0.1</v>
      </c>
    </row>
    <row r="221" spans="2:15" ht="30">
      <c r="B221" s="63">
        <v>197</v>
      </c>
      <c r="C221" s="114" t="s">
        <v>921</v>
      </c>
      <c r="D221" s="117" t="s">
        <v>946</v>
      </c>
      <c r="E221" s="140" t="s">
        <v>1288</v>
      </c>
      <c r="F221" s="118" t="s">
        <v>755</v>
      </c>
      <c r="G221" s="227">
        <v>2</v>
      </c>
      <c r="H221" s="9" t="str">
        <f>IF($F221="부록4",IFERROR(INDEX(③1일작업량DB!$H$6:$H$169,MATCH(SUBSTITUTE($C221&amp;"|"&amp;$D221,"~","~~"),③1일작업량DB!$J$6:$J$169,0)),"-"),"")</f>
        <v>개소/일</v>
      </c>
      <c r="I221" s="227"/>
      <c r="J221" s="229">
        <f>IF($F221="부록4",IFERROR(INDEX(③1일작업량DB!$G$6:$G$169,MATCH(SUBSTITUTE($C221&amp;"|"&amp;$D221,"~","~~"),③1일작업량DB!$J$6:$J$169,0)),""),$I221)</f>
        <v>3</v>
      </c>
      <c r="K221" s="235">
        <v>1</v>
      </c>
      <c r="L221" s="139">
        <f t="shared" si="32"/>
        <v>0.7</v>
      </c>
      <c r="M221" s="231">
        <v>0</v>
      </c>
      <c r="N221" s="231">
        <v>0</v>
      </c>
      <c r="O221" s="142">
        <f t="shared" si="33"/>
        <v>0.7</v>
      </c>
    </row>
    <row r="222" spans="2:15" ht="30">
      <c r="B222" s="63">
        <v>198</v>
      </c>
      <c r="C222" s="114" t="s">
        <v>849</v>
      </c>
      <c r="D222" s="117" t="s">
        <v>883</v>
      </c>
      <c r="E222" s="140" t="s">
        <v>1289</v>
      </c>
      <c r="F222" s="118" t="s">
        <v>755</v>
      </c>
      <c r="G222" s="227">
        <v>24</v>
      </c>
      <c r="H222" s="9" t="str">
        <f>IF($F222="부록4",IFERROR(INDEX(③1일작업량DB!$H$6:$H$169,MATCH(SUBSTITUTE($C222&amp;"|"&amp;$D222,"~","~~"),③1일작업량DB!$J$6:$J$169,0)),"-"),"")</f>
        <v>m/일</v>
      </c>
      <c r="I222" s="227"/>
      <c r="J222" s="229">
        <f>IF($F222="부록4",IFERROR(INDEX(③1일작업량DB!$G$6:$G$169,MATCH(SUBSTITUTE($C222&amp;"|"&amp;$D222,"~","~~"),③1일작업량DB!$J$6:$J$169,0)),""),$I222)</f>
        <v>25</v>
      </c>
      <c r="K222" s="235">
        <v>1</v>
      </c>
      <c r="L222" s="139">
        <f t="shared" si="32"/>
        <v>1</v>
      </c>
      <c r="M222" s="231">
        <v>0</v>
      </c>
      <c r="N222" s="231">
        <v>0</v>
      </c>
      <c r="O222" s="142">
        <f t="shared" si="33"/>
        <v>1</v>
      </c>
    </row>
    <row r="223" spans="2:15" ht="15">
      <c r="B223" s="145"/>
      <c r="C223" s="443" t="s">
        <v>1290</v>
      </c>
      <c r="D223" s="166"/>
      <c r="E223" s="167"/>
      <c r="F223" s="159"/>
      <c r="G223" s="160"/>
      <c r="H223" s="145"/>
      <c r="I223" s="161"/>
      <c r="J223" s="162"/>
      <c r="K223" s="163"/>
      <c r="L223" s="164"/>
      <c r="M223" s="163"/>
      <c r="N223" s="163"/>
      <c r="O223" s="165">
        <f>SUM(O224:O238)</f>
        <v>36.6</v>
      </c>
    </row>
    <row r="224" spans="2:15" ht="30">
      <c r="B224" s="63">
        <v>199</v>
      </c>
      <c r="C224" s="114" t="s">
        <v>291</v>
      </c>
      <c r="D224" s="117" t="s">
        <v>893</v>
      </c>
      <c r="E224" s="140" t="s">
        <v>1291</v>
      </c>
      <c r="F224" s="118" t="s">
        <v>755</v>
      </c>
      <c r="G224" s="227">
        <v>1333.72</v>
      </c>
      <c r="H224" s="9" t="str">
        <f>IF($F224="부록4",IFERROR(INDEX(③1일작업량DB!$H$6:$H$169,MATCH(SUBSTITUTE($C224&amp;"|"&amp;$D224,"~","~~"),③1일작업량DB!$J$6:$J$169,0)),"-"),"")</f>
        <v>m/일</v>
      </c>
      <c r="I224" s="227"/>
      <c r="J224" s="229">
        <f>IF($F224="부록4",IFERROR(INDEX(③1일작업량DB!$G$6:$G$169,MATCH(SUBSTITUTE($C224&amp;"|"&amp;$D224,"~","~~"),③1일작업량DB!$J$6:$J$169,0)),""),$I224)</f>
        <v>120</v>
      </c>
      <c r="K224" s="235">
        <v>2</v>
      </c>
      <c r="L224" s="139">
        <f t="shared" ref="L224:L238" si="34">IFERROR(IF(AND($G224&gt;0,$J224&gt;0,$K224&gt;0),ROUNDUP($G224/($J224*$K224),1),0),0)</f>
        <v>5.6</v>
      </c>
      <c r="M224" s="231">
        <v>0</v>
      </c>
      <c r="N224" s="231">
        <v>0</v>
      </c>
      <c r="O224" s="142">
        <f t="shared" ref="O224:O238" si="35">$L224+$M224+$N224</f>
        <v>5.6</v>
      </c>
    </row>
    <row r="225" spans="2:15" ht="30">
      <c r="B225" s="63">
        <v>200</v>
      </c>
      <c r="C225" s="114" t="s">
        <v>291</v>
      </c>
      <c r="D225" s="117" t="s">
        <v>895</v>
      </c>
      <c r="E225" s="140" t="s">
        <v>1292</v>
      </c>
      <c r="F225" s="118" t="s">
        <v>755</v>
      </c>
      <c r="G225" s="227">
        <v>158.08000000000001</v>
      </c>
      <c r="H225" s="9" t="str">
        <f>IF($F225="부록4",IFERROR(INDEX(③1일작업량DB!$H$6:$H$169,MATCH(SUBSTITUTE($C225&amp;"|"&amp;$D225,"~","~~"),③1일작업량DB!$J$6:$J$169,0)),"-"),"")</f>
        <v>㎥/일</v>
      </c>
      <c r="I225" s="227"/>
      <c r="J225" s="229">
        <f>IF($F225="부록4",IFERROR(INDEX(③1일작업량DB!$G$6:$G$169,MATCH(SUBSTITUTE($C225&amp;"|"&amp;$D225,"~","~~"),③1일작업량DB!$J$6:$J$169,0)),""),$I225)</f>
        <v>60</v>
      </c>
      <c r="K225" s="235">
        <v>2</v>
      </c>
      <c r="L225" s="139">
        <f t="shared" si="34"/>
        <v>1.4000000000000001</v>
      </c>
      <c r="M225" s="231">
        <v>0</v>
      </c>
      <c r="N225" s="231">
        <v>0</v>
      </c>
      <c r="O225" s="142">
        <f t="shared" si="35"/>
        <v>1.4000000000000001</v>
      </c>
    </row>
    <row r="226" spans="2:15" ht="15">
      <c r="B226" s="63">
        <v>201</v>
      </c>
      <c r="C226" s="114" t="s">
        <v>291</v>
      </c>
      <c r="D226" s="117" t="s">
        <v>292</v>
      </c>
      <c r="E226" s="140" t="s">
        <v>1293</v>
      </c>
      <c r="F226" s="118" t="s">
        <v>755</v>
      </c>
      <c r="G226" s="227">
        <v>126.283</v>
      </c>
      <c r="H226" s="9" t="str">
        <f>IF($F226="부록4",IFERROR(INDEX(③1일작업량DB!$H$6:$H$169,MATCH(SUBSTITUTE($C226&amp;"|"&amp;$D226,"~","~~"),③1일작업량DB!$J$6:$J$169,0)),"-"),"")</f>
        <v>㎥/일</v>
      </c>
      <c r="I226" s="227"/>
      <c r="J226" s="229">
        <f>IF($F226="부록4",IFERROR(INDEX(③1일작업량DB!$G$6:$G$169,MATCH(SUBSTITUTE($C226&amp;"|"&amp;$D226,"~","~~"),③1일작업량DB!$J$6:$J$169,0)),""),$I226)</f>
        <v>550</v>
      </c>
      <c r="K226" s="235">
        <v>1</v>
      </c>
      <c r="L226" s="139">
        <f t="shared" si="34"/>
        <v>0.30000000000000004</v>
      </c>
      <c r="M226" s="231">
        <v>0</v>
      </c>
      <c r="N226" s="231">
        <v>0</v>
      </c>
      <c r="O226" s="142">
        <f t="shared" si="35"/>
        <v>0.30000000000000004</v>
      </c>
    </row>
    <row r="227" spans="2:15" ht="15">
      <c r="B227" s="63">
        <v>202</v>
      </c>
      <c r="C227" s="114" t="s">
        <v>291</v>
      </c>
      <c r="D227" s="117" t="s">
        <v>897</v>
      </c>
      <c r="E227" s="140" t="s">
        <v>1294</v>
      </c>
      <c r="F227" s="118" t="s">
        <v>755</v>
      </c>
      <c r="G227" s="227">
        <v>107.18</v>
      </c>
      <c r="H227" s="9" t="str">
        <f>IF($F227="부록4",IFERROR(INDEX(③1일작업량DB!$H$6:$H$169,MATCH(SUBSTITUTE($C227&amp;"|"&amp;$D227,"~","~~"),③1일작업량DB!$J$6:$J$169,0)),"-"),"")</f>
        <v>㎡/일</v>
      </c>
      <c r="I227" s="227"/>
      <c r="J227" s="229">
        <f>IF($F227="부록4",IFERROR(INDEX(③1일작업량DB!$G$6:$G$169,MATCH(SUBSTITUTE($C227&amp;"|"&amp;$D227,"~","~~"),③1일작업량DB!$J$6:$J$169,0)),""),$I227)</f>
        <v>3000</v>
      </c>
      <c r="K227" s="235">
        <v>1</v>
      </c>
      <c r="L227" s="139">
        <f t="shared" si="34"/>
        <v>0.1</v>
      </c>
      <c r="M227" s="231">
        <v>0</v>
      </c>
      <c r="N227" s="231">
        <v>0</v>
      </c>
      <c r="O227" s="142">
        <f t="shared" si="35"/>
        <v>0.1</v>
      </c>
    </row>
    <row r="228" spans="2:15" ht="15">
      <c r="B228" s="63">
        <v>203</v>
      </c>
      <c r="C228" s="114" t="s">
        <v>291</v>
      </c>
      <c r="D228" s="117" t="s">
        <v>761</v>
      </c>
      <c r="E228" s="140" t="s">
        <v>1295</v>
      </c>
      <c r="F228" s="118" t="s">
        <v>755</v>
      </c>
      <c r="G228" s="227">
        <v>107.18</v>
      </c>
      <c r="H228" s="9" t="str">
        <f>IF($F228="부록4",IFERROR(INDEX(③1일작업량DB!$H$6:$H$169,MATCH(SUBSTITUTE($C228&amp;"|"&amp;$D228,"~","~~"),③1일작업량DB!$J$6:$J$169,0)),"-"),"")</f>
        <v>㎡/일</v>
      </c>
      <c r="I228" s="227"/>
      <c r="J228" s="229">
        <f>IF($F228="부록4",IFERROR(INDEX(③1일작업량DB!$G$6:$G$169,MATCH(SUBSTITUTE($C228&amp;"|"&amp;$D228,"~","~~"),③1일작업량DB!$J$6:$J$169,0)),""),$I228)</f>
        <v>4500</v>
      </c>
      <c r="K228" s="235">
        <v>1</v>
      </c>
      <c r="L228" s="139">
        <f t="shared" si="34"/>
        <v>0.1</v>
      </c>
      <c r="M228" s="231">
        <v>0</v>
      </c>
      <c r="N228" s="231">
        <v>0</v>
      </c>
      <c r="O228" s="142">
        <f t="shared" si="35"/>
        <v>0.1</v>
      </c>
    </row>
    <row r="229" spans="2:15" ht="30">
      <c r="B229" s="63">
        <v>204</v>
      </c>
      <c r="C229" s="114" t="s">
        <v>291</v>
      </c>
      <c r="D229" s="117" t="s">
        <v>1036</v>
      </c>
      <c r="E229" s="140" t="s">
        <v>1296</v>
      </c>
      <c r="F229" s="118" t="s">
        <v>755</v>
      </c>
      <c r="G229" s="227">
        <v>722.66200000000003</v>
      </c>
      <c r="H229" s="9" t="str">
        <f>IF($F229="부록4",IFERROR(INDEX(③1일작업량DB!$H$6:$H$169,MATCH(SUBSTITUTE($C229&amp;"|"&amp;$D229,"~","~~"),③1일작업량DB!$J$6:$J$169,0)),"-"),"")</f>
        <v>㎡/일</v>
      </c>
      <c r="I229" s="227"/>
      <c r="J229" s="229">
        <f>IF($F229="부록4",IFERROR(INDEX(③1일작업량DB!$G$6:$G$169,MATCH(SUBSTITUTE($C229&amp;"|"&amp;$D229,"~","~~"),③1일작업량DB!$J$6:$J$169,0)),""),$I229)</f>
        <v>4800</v>
      </c>
      <c r="K229" s="235">
        <v>1</v>
      </c>
      <c r="L229" s="139">
        <f t="shared" si="34"/>
        <v>0.2</v>
      </c>
      <c r="M229" s="231">
        <v>0</v>
      </c>
      <c r="N229" s="231">
        <v>0</v>
      </c>
      <c r="O229" s="142">
        <f t="shared" si="35"/>
        <v>0.2</v>
      </c>
    </row>
    <row r="230" spans="2:15" ht="15">
      <c r="B230" s="63">
        <v>205</v>
      </c>
      <c r="C230" s="114" t="s">
        <v>291</v>
      </c>
      <c r="D230" s="117" t="s">
        <v>899</v>
      </c>
      <c r="E230" s="140" t="s">
        <v>1297</v>
      </c>
      <c r="F230" s="118" t="s">
        <v>755</v>
      </c>
      <c r="G230" s="227">
        <v>722.66200000000003</v>
      </c>
      <c r="H230" s="9" t="str">
        <f>IF($F230="부록4",IFERROR(INDEX(③1일작업량DB!$H$6:$H$169,MATCH(SUBSTITUTE($C230&amp;"|"&amp;$D230,"~","~~"),③1일작업량DB!$J$6:$J$169,0)),"-"),"")</f>
        <v>㎡/일</v>
      </c>
      <c r="I230" s="227"/>
      <c r="J230" s="229">
        <f>IF($F230="부록4",IFERROR(INDEX(③1일작업량DB!$G$6:$G$169,MATCH(SUBSTITUTE($C230&amp;"|"&amp;$D230,"~","~~"),③1일작업량DB!$J$6:$J$169,0)),""),$I230)</f>
        <v>3000</v>
      </c>
      <c r="K230" s="235">
        <v>1</v>
      </c>
      <c r="L230" s="139">
        <f t="shared" si="34"/>
        <v>0.30000000000000004</v>
      </c>
      <c r="M230" s="231">
        <v>0</v>
      </c>
      <c r="N230" s="231">
        <v>0</v>
      </c>
      <c r="O230" s="142">
        <f t="shared" si="35"/>
        <v>0.30000000000000004</v>
      </c>
    </row>
    <row r="231" spans="2:15" ht="30">
      <c r="B231" s="63">
        <v>206</v>
      </c>
      <c r="C231" s="114" t="s">
        <v>291</v>
      </c>
      <c r="D231" s="117" t="s">
        <v>1298</v>
      </c>
      <c r="E231" s="140" t="s">
        <v>1299</v>
      </c>
      <c r="F231" s="118" t="s">
        <v>1120</v>
      </c>
      <c r="G231" s="227">
        <v>134.00299999999999</v>
      </c>
      <c r="H231" s="9" t="s">
        <v>793</v>
      </c>
      <c r="I231" s="227">
        <v>30</v>
      </c>
      <c r="J231" s="229">
        <f>IF($F231="부록4",IFERROR(INDEX(③1일작업량DB!$G$6:$G$169,MATCH(SUBSTITUTE($C231&amp;"|"&amp;$D231,"~","~~"),③1일작업량DB!$J$6:$J$169,0)),""),$I231)</f>
        <v>30</v>
      </c>
      <c r="K231" s="235">
        <v>1</v>
      </c>
      <c r="L231" s="139">
        <f t="shared" si="34"/>
        <v>4.5</v>
      </c>
      <c r="M231" s="231">
        <v>0</v>
      </c>
      <c r="N231" s="231">
        <v>0</v>
      </c>
      <c r="O231" s="142">
        <f t="shared" si="35"/>
        <v>4.5</v>
      </c>
    </row>
    <row r="232" spans="2:15" ht="15">
      <c r="B232" s="63">
        <v>207</v>
      </c>
      <c r="C232" s="114" t="s">
        <v>291</v>
      </c>
      <c r="D232" s="117" t="s">
        <v>1300</v>
      </c>
      <c r="E232" s="140" t="s">
        <v>1301</v>
      </c>
      <c r="F232" s="118" t="s">
        <v>1120</v>
      </c>
      <c r="G232" s="227">
        <v>23.74</v>
      </c>
      <c r="H232" s="9" t="s">
        <v>833</v>
      </c>
      <c r="I232" s="227">
        <v>50</v>
      </c>
      <c r="J232" s="229">
        <f>IF($F232="부록4",IFERROR(INDEX(③1일작업량DB!$G$6:$G$169,MATCH(SUBSTITUTE($C232&amp;"|"&amp;$D232,"~","~~"),③1일작업량DB!$J$6:$J$169,0)),""),$I232)</f>
        <v>50</v>
      </c>
      <c r="K232" s="235">
        <v>1</v>
      </c>
      <c r="L232" s="139">
        <f t="shared" si="34"/>
        <v>0.5</v>
      </c>
      <c r="M232" s="231">
        <v>0</v>
      </c>
      <c r="N232" s="231">
        <v>0</v>
      </c>
      <c r="O232" s="142">
        <f t="shared" si="35"/>
        <v>0.5</v>
      </c>
    </row>
    <row r="233" spans="2:15" ht="30">
      <c r="B233" s="63">
        <v>208</v>
      </c>
      <c r="C233" s="114" t="s">
        <v>291</v>
      </c>
      <c r="D233" s="117" t="s">
        <v>893</v>
      </c>
      <c r="E233" s="140" t="s">
        <v>1302</v>
      </c>
      <c r="F233" s="118" t="s">
        <v>755</v>
      </c>
      <c r="G233" s="227">
        <v>2677.16</v>
      </c>
      <c r="H233" s="9" t="str">
        <f>IF($F233="부록4",IFERROR(INDEX(③1일작업량DB!$H$6:$H$169,MATCH(SUBSTITUTE($C233&amp;"|"&amp;$D233,"~","~~"),③1일작업량DB!$J$6:$J$169,0)),"-"),"")</f>
        <v>m/일</v>
      </c>
      <c r="I233" s="227"/>
      <c r="J233" s="229">
        <f>IF($F233="부록4",IFERROR(INDEX(③1일작업량DB!$G$6:$G$169,MATCH(SUBSTITUTE($C233&amp;"|"&amp;$D233,"~","~~"),③1일작업량DB!$J$6:$J$169,0)),""),$I233)</f>
        <v>120</v>
      </c>
      <c r="K233" s="235">
        <v>2</v>
      </c>
      <c r="L233" s="139">
        <f t="shared" si="34"/>
        <v>11.2</v>
      </c>
      <c r="M233" s="231">
        <v>0</v>
      </c>
      <c r="N233" s="231">
        <v>0</v>
      </c>
      <c r="O233" s="142">
        <f t="shared" si="35"/>
        <v>11.2</v>
      </c>
    </row>
    <row r="234" spans="2:15" ht="30">
      <c r="B234" s="63">
        <v>209</v>
      </c>
      <c r="C234" s="114" t="s">
        <v>291</v>
      </c>
      <c r="D234" s="117" t="s">
        <v>895</v>
      </c>
      <c r="E234" s="140" t="s">
        <v>1303</v>
      </c>
      <c r="F234" s="118" t="s">
        <v>755</v>
      </c>
      <c r="G234" s="227">
        <v>136.916</v>
      </c>
      <c r="H234" s="9" t="str">
        <f>IF($F234="부록4",IFERROR(INDEX(③1일작업량DB!$H$6:$H$169,MATCH(SUBSTITUTE($C234&amp;"|"&amp;$D234,"~","~~"),③1일작업량DB!$J$6:$J$169,0)),"-"),"")</f>
        <v>㎥/일</v>
      </c>
      <c r="I234" s="227"/>
      <c r="J234" s="229">
        <f>IF($F234="부록4",IFERROR(INDEX(③1일작업량DB!$G$6:$G$169,MATCH(SUBSTITUTE($C234&amp;"|"&amp;$D234,"~","~~"),③1일작업량DB!$J$6:$J$169,0)),""),$I234)</f>
        <v>60</v>
      </c>
      <c r="K234" s="235">
        <v>2</v>
      </c>
      <c r="L234" s="139">
        <f t="shared" si="34"/>
        <v>1.2000000000000002</v>
      </c>
      <c r="M234" s="231">
        <v>0</v>
      </c>
      <c r="N234" s="231">
        <v>0</v>
      </c>
      <c r="O234" s="142">
        <f t="shared" si="35"/>
        <v>1.2000000000000002</v>
      </c>
    </row>
    <row r="235" spans="2:15" ht="15">
      <c r="B235" s="63">
        <v>210</v>
      </c>
      <c r="C235" s="114" t="s">
        <v>291</v>
      </c>
      <c r="D235" s="117" t="s">
        <v>1036</v>
      </c>
      <c r="E235" s="140" t="s">
        <v>1304</v>
      </c>
      <c r="F235" s="118" t="s">
        <v>755</v>
      </c>
      <c r="G235" s="227">
        <v>150.577</v>
      </c>
      <c r="H235" s="9" t="str">
        <f>IF($F235="부록4",IFERROR(INDEX(③1일작업량DB!$H$6:$H$169,MATCH(SUBSTITUTE($C235&amp;"|"&amp;$D235,"~","~~"),③1일작업량DB!$J$6:$J$169,0)),"-"),"")</f>
        <v>㎡/일</v>
      </c>
      <c r="I235" s="227"/>
      <c r="J235" s="229">
        <f>IF($F235="부록4",IFERROR(INDEX(③1일작업량DB!$G$6:$G$169,MATCH(SUBSTITUTE($C235&amp;"|"&amp;$D235,"~","~~"),③1일작업량DB!$J$6:$J$169,0)),""),$I235)</f>
        <v>4800</v>
      </c>
      <c r="K235" s="235">
        <v>1</v>
      </c>
      <c r="L235" s="139">
        <f t="shared" si="34"/>
        <v>0.1</v>
      </c>
      <c r="M235" s="231">
        <v>0</v>
      </c>
      <c r="N235" s="231">
        <v>0</v>
      </c>
      <c r="O235" s="142">
        <f t="shared" si="35"/>
        <v>0.1</v>
      </c>
    </row>
    <row r="236" spans="2:15" ht="15">
      <c r="B236" s="63">
        <v>211</v>
      </c>
      <c r="C236" s="114" t="s">
        <v>291</v>
      </c>
      <c r="D236" s="117" t="s">
        <v>899</v>
      </c>
      <c r="E236" s="140" t="s">
        <v>1305</v>
      </c>
      <c r="F236" s="118" t="s">
        <v>755</v>
      </c>
      <c r="G236" s="227">
        <v>150.577</v>
      </c>
      <c r="H236" s="9" t="str">
        <f>IF($F236="부록4",IFERROR(INDEX(③1일작업량DB!$H$6:$H$169,MATCH(SUBSTITUTE($C236&amp;"|"&amp;$D236,"~","~~"),③1일작업량DB!$J$6:$J$169,0)),"-"),"")</f>
        <v>㎡/일</v>
      </c>
      <c r="I236" s="227"/>
      <c r="J236" s="229">
        <f>IF($F236="부록4",IFERROR(INDEX(③1일작업량DB!$G$6:$G$169,MATCH(SUBSTITUTE($C236&amp;"|"&amp;$D236,"~","~~"),③1일작업량DB!$J$6:$J$169,0)),""),$I236)</f>
        <v>3000</v>
      </c>
      <c r="K236" s="235">
        <v>1</v>
      </c>
      <c r="L236" s="139">
        <f t="shared" si="34"/>
        <v>0.1</v>
      </c>
      <c r="M236" s="231">
        <v>0</v>
      </c>
      <c r="N236" s="231">
        <v>0</v>
      </c>
      <c r="O236" s="142">
        <f t="shared" si="35"/>
        <v>0.1</v>
      </c>
    </row>
    <row r="237" spans="2:15" ht="30">
      <c r="B237" s="63">
        <v>212</v>
      </c>
      <c r="C237" s="114" t="s">
        <v>291</v>
      </c>
      <c r="D237" s="117" t="s">
        <v>1298</v>
      </c>
      <c r="E237" s="140" t="s">
        <v>1306</v>
      </c>
      <c r="F237" s="118" t="s">
        <v>1120</v>
      </c>
      <c r="G237" s="227">
        <v>129.19300000000001</v>
      </c>
      <c r="H237" s="9" t="s">
        <v>793</v>
      </c>
      <c r="I237" s="227">
        <v>30</v>
      </c>
      <c r="J237" s="229">
        <f>IF($F237="부록4",IFERROR(INDEX(③1일작업량DB!$G$6:$G$169,MATCH(SUBSTITUTE($C237&amp;"|"&amp;$D237,"~","~~"),③1일작업량DB!$J$6:$J$169,0)),""),$I237)</f>
        <v>30</v>
      </c>
      <c r="K237" s="235">
        <v>1</v>
      </c>
      <c r="L237" s="139">
        <f t="shared" si="34"/>
        <v>4.3999999999999995</v>
      </c>
      <c r="M237" s="231">
        <v>0</v>
      </c>
      <c r="N237" s="231">
        <v>0</v>
      </c>
      <c r="O237" s="142">
        <f t="shared" si="35"/>
        <v>4.3999999999999995</v>
      </c>
    </row>
    <row r="238" spans="2:15" ht="15">
      <c r="B238" s="63">
        <v>213</v>
      </c>
      <c r="C238" s="114" t="s">
        <v>291</v>
      </c>
      <c r="D238" s="117" t="s">
        <v>1300</v>
      </c>
      <c r="E238" s="140" t="s">
        <v>1307</v>
      </c>
      <c r="F238" s="118" t="s">
        <v>1120</v>
      </c>
      <c r="G238" s="227">
        <v>329.08300000000003</v>
      </c>
      <c r="H238" s="9" t="s">
        <v>833</v>
      </c>
      <c r="I238" s="227">
        <v>50</v>
      </c>
      <c r="J238" s="229">
        <f>IF($F238="부록4",IFERROR(INDEX(③1일작업량DB!$G$6:$G$169,MATCH(SUBSTITUTE($C238&amp;"|"&amp;$D238,"~","~~"),③1일작업량DB!$J$6:$J$169,0)),""),$I238)</f>
        <v>50</v>
      </c>
      <c r="K238" s="235">
        <v>1</v>
      </c>
      <c r="L238" s="139">
        <f t="shared" si="34"/>
        <v>6.6</v>
      </c>
      <c r="M238" s="231">
        <v>0</v>
      </c>
      <c r="N238" s="231">
        <v>0</v>
      </c>
      <c r="O238" s="142">
        <f t="shared" si="35"/>
        <v>6.6</v>
      </c>
    </row>
    <row r="239" spans="2:15" ht="15">
      <c r="B239" s="145"/>
      <c r="C239" s="443" t="s">
        <v>1308</v>
      </c>
      <c r="D239" s="166"/>
      <c r="E239" s="167"/>
      <c r="F239" s="159"/>
      <c r="G239" s="160"/>
      <c r="H239" s="145"/>
      <c r="I239" s="161"/>
      <c r="J239" s="162"/>
      <c r="K239" s="163"/>
      <c r="L239" s="164"/>
      <c r="M239" s="163"/>
      <c r="N239" s="163"/>
      <c r="O239" s="165">
        <f>SUM(O240:O243)</f>
        <v>16.8</v>
      </c>
    </row>
    <row r="240" spans="2:15" ht="30">
      <c r="B240" s="63">
        <v>214</v>
      </c>
      <c r="C240" s="114" t="s">
        <v>921</v>
      </c>
      <c r="D240" s="117" t="s">
        <v>928</v>
      </c>
      <c r="E240" s="140" t="s">
        <v>1309</v>
      </c>
      <c r="F240" s="118" t="s">
        <v>755</v>
      </c>
      <c r="G240" s="227">
        <v>24</v>
      </c>
      <c r="H240" s="9" t="str">
        <f>IF($F240="부록4",IFERROR(INDEX(③1일작업량DB!$H$6:$H$169,MATCH(SUBSTITUTE($C240&amp;"|"&amp;$D240,"~","~~"),③1일작업량DB!$J$6:$J$169,0)),"-"),"")</f>
        <v>개소/일</v>
      </c>
      <c r="I240" s="227"/>
      <c r="J240" s="229">
        <f>IF($F240="부록4",IFERROR(INDEX(③1일작업량DB!$G$6:$G$169,MATCH(SUBSTITUTE($C240&amp;"|"&amp;$D240,"~","~~"),③1일작업량DB!$J$6:$J$169,0)),""),$I240)</f>
        <v>2</v>
      </c>
      <c r="K240" s="235">
        <v>2</v>
      </c>
      <c r="L240" s="139">
        <f>IFERROR(IF(AND($G240&gt;0,$J240&gt;0,$K240&gt;0),ROUNDUP($G240/($J240*$K240),1),0),0)</f>
        <v>6</v>
      </c>
      <c r="M240" s="231">
        <v>0</v>
      </c>
      <c r="N240" s="231">
        <v>0</v>
      </c>
      <c r="O240" s="142">
        <f>$L240+$M240+$N240</f>
        <v>6</v>
      </c>
    </row>
    <row r="241" spans="2:18" ht="15">
      <c r="B241" s="63">
        <v>215</v>
      </c>
      <c r="C241" s="114" t="s">
        <v>921</v>
      </c>
      <c r="D241" s="117" t="s">
        <v>1310</v>
      </c>
      <c r="E241" s="140" t="s">
        <v>1311</v>
      </c>
      <c r="F241" s="118" t="s">
        <v>1120</v>
      </c>
      <c r="G241" s="227">
        <v>30</v>
      </c>
      <c r="H241" s="9" t="s">
        <v>880</v>
      </c>
      <c r="I241" s="227">
        <v>3</v>
      </c>
      <c r="J241" s="229">
        <f>IF($F241="부록4",IFERROR(INDEX(③1일작업량DB!$G$6:$G$169,MATCH(SUBSTITUTE($C241&amp;"|"&amp;$D241,"~","~~"),③1일작업량DB!$J$6:$J$169,0)),""),$I241)</f>
        <v>3</v>
      </c>
      <c r="K241" s="235">
        <v>1</v>
      </c>
      <c r="L241" s="139">
        <f>IFERROR(IF(AND($G241&gt;0,$J241&gt;0,$K241&gt;0),ROUNDUP($G241/($J241*$K241),1),0),0)</f>
        <v>10</v>
      </c>
      <c r="M241" s="231">
        <v>0</v>
      </c>
      <c r="N241" s="231">
        <v>0</v>
      </c>
      <c r="O241" s="142">
        <f>$L241+$M241+$N241</f>
        <v>10</v>
      </c>
    </row>
    <row r="242" spans="2:18" ht="15">
      <c r="B242" s="63">
        <v>216</v>
      </c>
      <c r="C242" s="114" t="s">
        <v>836</v>
      </c>
      <c r="D242" s="117" t="s">
        <v>839</v>
      </c>
      <c r="E242" s="140" t="s">
        <v>1312</v>
      </c>
      <c r="F242" s="118" t="s">
        <v>755</v>
      </c>
      <c r="G242" s="227">
        <v>26.1</v>
      </c>
      <c r="H242" s="9" t="str">
        <f>IF($F242="부록4",IFERROR(INDEX(③1일작업량DB!$H$6:$H$169,MATCH(SUBSTITUTE($C242&amp;"|"&amp;$D242,"~","~~"),③1일작업량DB!$J$6:$J$169,0)),"-"),"")</f>
        <v>m/일</v>
      </c>
      <c r="I242" s="227"/>
      <c r="J242" s="229">
        <f>IF($F242="부록4",IFERROR(INDEX(③1일작업량DB!$G$6:$G$169,MATCH(SUBSTITUTE($C242&amp;"|"&amp;$D242,"~","~~"),③1일작업량DB!$J$6:$J$169,0)),""),$I242)</f>
        <v>40</v>
      </c>
      <c r="K242" s="235">
        <v>1</v>
      </c>
      <c r="L242" s="139">
        <f>IFERROR(IF(AND($G242&gt;0,$J242&gt;0,$K242&gt;0),ROUNDUP($G242/($J242*$K242),1),0),0)</f>
        <v>0.7</v>
      </c>
      <c r="M242" s="231">
        <v>0</v>
      </c>
      <c r="N242" s="231">
        <v>0</v>
      </c>
      <c r="O242" s="142">
        <f>$L242+$M242+$N242</f>
        <v>0.7</v>
      </c>
    </row>
    <row r="243" spans="2:18" ht="15">
      <c r="B243" s="63">
        <v>217</v>
      </c>
      <c r="C243" s="114" t="s">
        <v>361</v>
      </c>
      <c r="D243" s="117" t="s">
        <v>756</v>
      </c>
      <c r="E243" s="140" t="s">
        <v>1313</v>
      </c>
      <c r="F243" s="118" t="s">
        <v>755</v>
      </c>
      <c r="G243" s="227">
        <v>0.13800000000000001</v>
      </c>
      <c r="H243" s="9" t="str">
        <f>IF($F243="부록4",IFERROR(INDEX(③1일작업량DB!$H$6:$H$169,MATCH(SUBSTITUTE($C243&amp;"|"&amp;$D243,"~","~~"),③1일작업량DB!$J$6:$J$169,0)),"-"),"")</f>
        <v>㎥/일</v>
      </c>
      <c r="I243" s="227"/>
      <c r="J243" s="229">
        <f>IF($F243="부록4",IFERROR(INDEX(③1일작업량DB!$G$6:$G$169,MATCH(SUBSTITUTE($C243&amp;"|"&amp;$D243,"~","~~"),③1일작업량DB!$J$6:$J$169,0)),""),$I243)</f>
        <v>189</v>
      </c>
      <c r="K243" s="235">
        <v>1</v>
      </c>
      <c r="L243" s="139">
        <f>IFERROR(IF(AND($G243&gt;0,$J243&gt;0,$K243&gt;0),ROUNDUP($G243/($J243*$K243),1),0),0)</f>
        <v>0.1</v>
      </c>
      <c r="M243" s="231">
        <v>0</v>
      </c>
      <c r="N243" s="231">
        <v>0</v>
      </c>
      <c r="O243" s="142">
        <f>$L243+$M243+$N243</f>
        <v>0.1</v>
      </c>
    </row>
    <row r="244" spans="2:18" ht="15">
      <c r="B244" s="313" t="s">
        <v>430</v>
      </c>
      <c r="C244" s="114"/>
      <c r="D244" s="117"/>
      <c r="E244" s="140"/>
      <c r="F244" s="118"/>
      <c r="G244" s="227"/>
      <c r="H244" s="9"/>
      <c r="I244" s="227"/>
      <c r="J244" s="229"/>
      <c r="K244" s="235"/>
      <c r="L244" s="139">
        <f>SUMIF($B$6:$B$243,"&gt;0",L6:L243)</f>
        <v>491.60000000000042</v>
      </c>
      <c r="M244" s="231">
        <f>SUMIF($B$6:$B$243,"&gt;0",M6:M243)</f>
        <v>4</v>
      </c>
      <c r="N244" s="231">
        <f>SUMIF($B$6:$B$243,"&gt;0",N6:N243)</f>
        <v>2</v>
      </c>
      <c r="O244" s="142">
        <f>O5+O17+O36+O46+O64+O75+O93+O107+O116+O126+O135+O137+O152+O165+O171+O179+O187+O196+O205+O210+O223+O239</f>
        <v>497.60000000000008</v>
      </c>
    </row>
    <row r="245" spans="2:18" ht="15">
      <c r="B245" s="314" t="s">
        <v>1316</v>
      </c>
      <c r="C245" s="114"/>
      <c r="D245" s="117"/>
      <c r="E245" s="140"/>
      <c r="F245" s="118"/>
      <c r="G245" s="227"/>
      <c r="H245" s="9"/>
      <c r="I245" s="227"/>
      <c r="J245" s="229"/>
      <c r="K245" s="235"/>
      <c r="L245" s="139"/>
      <c r="M245" s="231"/>
      <c r="N245" s="231"/>
      <c r="O245" s="142"/>
    </row>
    <row r="246" spans="2:18" ht="15">
      <c r="B246" s="63"/>
      <c r="C246" s="114"/>
      <c r="D246" s="117"/>
      <c r="E246" s="140"/>
      <c r="F246" s="118"/>
      <c r="G246" s="227"/>
      <c r="H246" s="9"/>
      <c r="I246" s="227"/>
      <c r="J246" s="229"/>
      <c r="K246" s="235"/>
      <c r="L246" s="139"/>
      <c r="M246" s="231"/>
      <c r="N246" s="231"/>
      <c r="O246" s="142"/>
    </row>
    <row r="247" spans="2:18" ht="15">
      <c r="B247" s="315" t="s">
        <v>1160</v>
      </c>
      <c r="C247" s="114"/>
      <c r="D247" s="117"/>
      <c r="E247" s="140"/>
      <c r="F247" s="118"/>
      <c r="G247" s="227"/>
      <c r="H247" s="9"/>
      <c r="I247" s="227"/>
      <c r="J247" s="229"/>
      <c r="K247" s="235"/>
      <c r="L247" s="139"/>
      <c r="M247" s="231"/>
      <c r="N247" s="231"/>
      <c r="O247" s="142"/>
    </row>
    <row r="248" spans="2:18" ht="15">
      <c r="B248" s="314" t="s">
        <v>1161</v>
      </c>
      <c r="C248" s="114"/>
      <c r="D248" s="117"/>
      <c r="E248" s="140"/>
      <c r="F248" s="118"/>
      <c r="G248" s="227"/>
      <c r="H248" s="9"/>
      <c r="I248" s="227"/>
      <c r="J248" s="229"/>
      <c r="K248" s="235"/>
      <c r="L248" s="139"/>
      <c r="M248" s="231"/>
      <c r="N248" s="231"/>
      <c r="O248" s="142"/>
    </row>
    <row r="249" spans="2:18" ht="15">
      <c r="B249" s="314" t="s">
        <v>1162</v>
      </c>
      <c r="C249" s="114"/>
      <c r="D249" s="117"/>
      <c r="E249" s="140"/>
      <c r="F249" s="118"/>
      <c r="G249" s="227"/>
      <c r="H249" s="9"/>
      <c r="I249" s="227"/>
      <c r="J249" s="229"/>
      <c r="K249" s="235"/>
      <c r="L249" s="139"/>
      <c r="M249" s="231"/>
      <c r="N249" s="231"/>
      <c r="O249" s="142"/>
    </row>
    <row r="250" spans="2:18" ht="15">
      <c r="B250" s="314" t="s">
        <v>1163</v>
      </c>
      <c r="C250" s="114"/>
      <c r="D250" s="117"/>
      <c r="E250" s="140"/>
      <c r="F250" s="118"/>
      <c r="G250" s="227"/>
      <c r="H250" s="9"/>
      <c r="I250" s="227"/>
      <c r="J250" s="229"/>
      <c r="K250" s="235"/>
      <c r="L250" s="139"/>
      <c r="M250" s="231"/>
      <c r="N250" s="231"/>
      <c r="O250" s="142"/>
    </row>
    <row r="251" spans="2:18" ht="15">
      <c r="B251" s="314" t="s">
        <v>1164</v>
      </c>
      <c r="C251" s="114"/>
      <c r="D251" s="117"/>
      <c r="E251" s="140"/>
      <c r="F251" s="118"/>
      <c r="G251" s="227"/>
      <c r="H251" s="9"/>
      <c r="I251" s="227"/>
      <c r="J251" s="229"/>
      <c r="K251" s="235"/>
      <c r="L251" s="139"/>
      <c r="M251" s="231"/>
      <c r="N251" s="231"/>
      <c r="O251" s="142"/>
    </row>
    <row r="252" spans="2:18" ht="15">
      <c r="B252" s="314" t="s">
        <v>1165</v>
      </c>
      <c r="C252" s="312"/>
      <c r="D252" s="316"/>
      <c r="E252" s="312"/>
      <c r="F252" s="317"/>
      <c r="G252" s="318"/>
      <c r="H252" s="319"/>
      <c r="I252" s="318"/>
      <c r="J252" s="320"/>
      <c r="K252" s="321"/>
      <c r="L252" s="322"/>
      <c r="M252" s="323"/>
      <c r="N252" s="323"/>
      <c r="O252" s="324"/>
      <c r="P252" s="325"/>
      <c r="Q252" s="325"/>
      <c r="R252" s="325"/>
    </row>
    <row r="253" spans="2:18">
      <c r="B253" s="326" t="s">
        <v>1166</v>
      </c>
      <c r="C253" s="326"/>
      <c r="D253" s="326"/>
      <c r="E253" s="326"/>
      <c r="F253" s="326"/>
      <c r="G253" s="326"/>
      <c r="H253" s="326"/>
      <c r="I253" s="326"/>
      <c r="J253" s="326"/>
      <c r="K253" s="326"/>
      <c r="L253" s="327"/>
      <c r="M253" s="327"/>
      <c r="N253" s="327"/>
      <c r="O253" s="327"/>
      <c r="P253" s="325"/>
      <c r="Q253" s="325"/>
      <c r="R253" s="325"/>
    </row>
    <row r="254" spans="2:18" ht="32.15" customHeight="1">
      <c r="B254" s="502" t="s">
        <v>1167</v>
      </c>
      <c r="C254" s="502"/>
      <c r="D254" s="502"/>
      <c r="E254" s="502"/>
      <c r="F254" s="502"/>
      <c r="G254" s="502"/>
      <c r="H254" s="502"/>
      <c r="I254" s="502"/>
      <c r="J254" s="502"/>
      <c r="K254" s="502"/>
      <c r="L254" s="502"/>
      <c r="M254" s="502"/>
      <c r="N254" s="502"/>
      <c r="O254" s="502"/>
      <c r="P254" s="502"/>
      <c r="Q254" s="502"/>
      <c r="R254" s="502"/>
    </row>
    <row r="255" spans="2:18">
      <c r="B255" s="328" t="s">
        <v>1234</v>
      </c>
      <c r="C255" s="325"/>
      <c r="D255" s="325"/>
      <c r="E255" s="325"/>
      <c r="F255" s="325"/>
      <c r="G255" s="325"/>
      <c r="H255" s="325"/>
      <c r="I255" s="325"/>
      <c r="J255" s="325"/>
      <c r="K255" s="325"/>
      <c r="L255" s="325"/>
      <c r="M255" s="325"/>
      <c r="N255" s="325"/>
      <c r="O255" s="325"/>
      <c r="P255" s="325"/>
      <c r="Q255" s="325"/>
      <c r="R255" s="325"/>
    </row>
    <row r="256" spans="2:18">
      <c r="B256" s="328" t="s">
        <v>1232</v>
      </c>
    </row>
    <row r="257" spans="2:2" s="325" customFormat="1">
      <c r="B257" s="328" t="s">
        <v>1233</v>
      </c>
    </row>
    <row r="258" spans="2:2" s="325" customFormat="1">
      <c r="B258" s="328" t="s">
        <v>1314</v>
      </c>
    </row>
    <row r="259" spans="2:2" s="325" customFormat="1">
      <c r="B259" s="328"/>
    </row>
    <row r="260" spans="2:2" s="325" customFormat="1">
      <c r="B260" s="328" t="s">
        <v>1315</v>
      </c>
    </row>
    <row r="261" spans="2:2" s="325" customFormat="1"/>
  </sheetData>
  <mergeCells count="2">
    <mergeCell ref="A1:N1"/>
    <mergeCell ref="B254:R254"/>
  </mergeCells>
  <phoneticPr fontId="84" type="noConversion"/>
  <dataValidations count="3">
    <dataValidation type="list" allowBlank="1" sqref="F5:F98" xr:uid="{4945CFEF-23D0-4D99-9599-21CE27CE72BC}">
      <formula1>"부록4,품셈,실적,기타"</formula1>
      <formula2>0</formula2>
    </dataValidation>
    <dataValidation type="list" allowBlank="1" sqref="M5:M98" xr:uid="{93A2E647-103E-4C01-8B9D-92EEF542AE36}">
      <formula1>"0,0.5,1,2,3,5,7"</formula1>
      <formula2>0</formula2>
    </dataValidation>
    <dataValidation type="list" allowBlank="1" sqref="N5:N98" xr:uid="{47BC66EE-B56C-482F-844E-38ECE9D85678}">
      <formula1>"0,1,2,11,14,15"</formula1>
      <formula2>0</formula2>
    </dataValidation>
  </dataValidations>
  <printOptions horizontalCentered="1"/>
  <pageMargins left="0.31496111111111108" right="0.31496111111111108" top="0.47244166666666665" bottom="0.47244166666666665" header="0.19685069444444445" footer="0.19685069444444445"/>
  <pageSetup paperSize="9" scale="78" fitToHeight="5" orientation="landscape" r:id="rId1"/>
  <headerFooter>
    <oddHeader>&amp;C&amp;"맑은 고딕,굵게"&amp;11연천군 신서공공하수처리시설 증설 외 2개사업 — 적정 공사기간 산정</oddHeader>
    <oddFooter>&amp;L&amp;"맑은 고딕"&amp;8④-2 횡산소규모 작업일수  (동절기 미반영 기준)&amp;R&amp;"맑은 고딕"&amp;8&amp;P / &amp;N</oddFooter>
  </headerFooter>
  <rowBreaks count="8" manualBreakCount="8">
    <brk id="38" max="17" man="1"/>
    <brk id="72" max="17" man="1"/>
    <brk id="105" max="17" man="1"/>
    <brk id="135" max="17" man="1"/>
    <brk id="165" max="17" man="1"/>
    <brk id="196" max="17" man="1"/>
    <brk id="223" max="17" man="1"/>
    <brk id="251" max="17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7E3B1C6D-1B54-4EDF-9DC3-0C43563830C0}">
          <x14:formula1>
            <xm:f>③1일작업량DB!$E$6:$E$112</xm:f>
          </x14:formula1>
          <x14:formula2>
            <xm:f>0</xm:f>
          </x14:formula2>
          <xm:sqref>D5:D98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348F-731C-4C1B-A20F-B18020E7A7EF}">
  <sheetPr>
    <tabColor rgb="FF2E75B6"/>
  </sheetPr>
  <dimension ref="A1:S172"/>
  <sheetViews>
    <sheetView view="pageBreakPreview" zoomScale="60" zoomScaleNormal="85" workbookViewId="0">
      <pane ySplit="4" topLeftCell="A125" activePane="bottomLeft" state="frozen"/>
      <selection pane="bottomLeft" activeCell="G164" sqref="G164"/>
    </sheetView>
  </sheetViews>
  <sheetFormatPr defaultColWidth="8.69140625" defaultRowHeight="14.6"/>
  <cols>
    <col min="1" max="1" width="3" customWidth="1"/>
    <col min="2" max="2" width="5" customWidth="1"/>
    <col min="3" max="3" width="13" customWidth="1"/>
    <col min="4" max="5" width="26" customWidth="1"/>
    <col min="6" max="6" width="8" customWidth="1"/>
    <col min="7" max="7" width="10" customWidth="1"/>
    <col min="8" max="8" width="7" customWidth="1"/>
    <col min="9" max="9" width="12" hidden="1" customWidth="1"/>
    <col min="10" max="10" width="12" customWidth="1"/>
    <col min="11" max="11" width="7" customWidth="1"/>
    <col min="12" max="12" width="10" customWidth="1"/>
    <col min="13" max="13" width="9" customWidth="1"/>
    <col min="14" max="14" width="8" customWidth="1"/>
    <col min="15" max="15" width="11" customWidth="1"/>
    <col min="17" max="17" width="20" customWidth="1"/>
  </cols>
  <sheetData>
    <row r="1" spans="1:19" ht="25.5" customHeight="1">
      <c r="A1" s="477" t="s">
        <v>1496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</row>
    <row r="2" spans="1:19" ht="15.45">
      <c r="B2" s="1" t="s">
        <v>418</v>
      </c>
    </row>
    <row r="3" spans="1:19">
      <c r="Q3" s="237" t="s">
        <v>1669</v>
      </c>
      <c r="R3" s="306">
        <v>1.7</v>
      </c>
      <c r="S3" t="s">
        <v>1671</v>
      </c>
    </row>
    <row r="4" spans="1:19" ht="37.5" customHeight="1">
      <c r="B4" s="71" t="s">
        <v>76</v>
      </c>
      <c r="C4" s="72" t="s">
        <v>205</v>
      </c>
      <c r="D4" s="72" t="s">
        <v>419</v>
      </c>
      <c r="E4" s="72" t="s">
        <v>420</v>
      </c>
      <c r="F4" s="72" t="s">
        <v>421</v>
      </c>
      <c r="G4" s="72" t="s">
        <v>422</v>
      </c>
      <c r="H4" s="72" t="s">
        <v>209</v>
      </c>
      <c r="I4" s="72" t="s">
        <v>423</v>
      </c>
      <c r="J4" s="72" t="s">
        <v>424</v>
      </c>
      <c r="K4" s="72" t="s">
        <v>425</v>
      </c>
      <c r="L4" s="72" t="s">
        <v>426</v>
      </c>
      <c r="M4" s="72" t="s">
        <v>427</v>
      </c>
      <c r="N4" s="72" t="s">
        <v>428</v>
      </c>
      <c r="O4" s="72" t="s">
        <v>429</v>
      </c>
      <c r="Q4" s="299" t="s">
        <v>1670</v>
      </c>
      <c r="R4">
        <f>⑥공사기간종합!C10</f>
        <v>0</v>
      </c>
    </row>
    <row r="5" spans="1:19" ht="15">
      <c r="B5" s="145"/>
      <c r="C5" s="438" t="s">
        <v>1317</v>
      </c>
      <c r="D5" s="169"/>
      <c r="E5" s="439"/>
      <c r="F5" s="149"/>
      <c r="G5" s="440"/>
      <c r="H5" s="151"/>
      <c r="I5" s="440"/>
      <c r="J5" s="441"/>
      <c r="K5" s="276"/>
      <c r="L5" s="155"/>
      <c r="M5" s="442"/>
      <c r="N5" s="442"/>
      <c r="O5" s="156">
        <f>SUM(O6:O12)</f>
        <v>63.800000000000004</v>
      </c>
      <c r="Q5" s="284"/>
    </row>
    <row r="6" spans="1:19" ht="16" customHeight="1">
      <c r="B6" s="63">
        <v>1</v>
      </c>
      <c r="C6" s="114" t="s">
        <v>231</v>
      </c>
      <c r="D6" s="117" t="s">
        <v>950</v>
      </c>
      <c r="E6" s="140" t="s">
        <v>1318</v>
      </c>
      <c r="F6" s="118" t="s">
        <v>755</v>
      </c>
      <c r="G6" s="227">
        <v>390.59</v>
      </c>
      <c r="H6" s="9" t="str">
        <f>IF($F6="부록4",IFERROR(INDEX(③1일작업량DB!$H$6:$H$169,MATCH(SUBSTITUTE($C6&amp;"|"&amp;$D6,"~","~~"),③1일작업량DB!$J$6:$J$169,0)),"-"),"")</f>
        <v>㎥/일</v>
      </c>
      <c r="I6" s="227"/>
      <c r="J6" s="229">
        <f>IF($F6="부록4",IFERROR(INDEX(③1일작업량DB!$G$6:$G$169,MATCH(SUBSTITUTE($C6&amp;"|"&amp;$D6,"~","~~"),③1일작업량DB!$J$6:$J$169,0)),""),$I6)</f>
        <v>349</v>
      </c>
      <c r="K6" s="273">
        <f t="shared" ref="K6:K12" si="0">$R$3*$Q6</f>
        <v>1.7</v>
      </c>
      <c r="L6" s="139">
        <f t="shared" ref="L6:L12" si="1">IFERROR(IF(AND($G6&gt;0,$J6&gt;0,$K6&gt;0),ROUNDUP($G6/($J6*$K6),1),0),0)</f>
        <v>0.7</v>
      </c>
      <c r="M6" s="231">
        <v>0</v>
      </c>
      <c r="N6" s="231">
        <v>0</v>
      </c>
      <c r="O6" s="142">
        <f t="shared" ref="O6:O12" si="2">$L6+$M6+$N6</f>
        <v>0.7</v>
      </c>
      <c r="Q6" s="284">
        <v>1</v>
      </c>
    </row>
    <row r="7" spans="1:19" ht="16" customHeight="1">
      <c r="B7" s="63">
        <v>2</v>
      </c>
      <c r="C7" s="114" t="s">
        <v>231</v>
      </c>
      <c r="D7" s="117" t="s">
        <v>950</v>
      </c>
      <c r="E7" s="140" t="s">
        <v>1319</v>
      </c>
      <c r="F7" s="118" t="s">
        <v>755</v>
      </c>
      <c r="G7" s="227">
        <v>4394.8999999999996</v>
      </c>
      <c r="H7" s="9" t="str">
        <f>IF($F7="부록4",IFERROR(INDEX(③1일작업량DB!$H$6:$H$169,MATCH(SUBSTITUTE($C7&amp;"|"&amp;$D7,"~","~~"),③1일작업량DB!$J$6:$J$169,0)),"-"),"")</f>
        <v>㎥/일</v>
      </c>
      <c r="I7" s="227"/>
      <c r="J7" s="229">
        <f>IF($F7="부록4",IFERROR(INDEX(③1일작업량DB!$G$6:$G$169,MATCH(SUBSTITUTE($C7&amp;"|"&amp;$D7,"~","~~"),③1일작업량DB!$J$6:$J$169,0)),""),$I7)</f>
        <v>349</v>
      </c>
      <c r="K7" s="273">
        <f t="shared" si="0"/>
        <v>5.0999999999999996</v>
      </c>
      <c r="L7" s="139">
        <f t="shared" si="1"/>
        <v>2.5</v>
      </c>
      <c r="M7" s="231">
        <v>0</v>
      </c>
      <c r="N7" s="231">
        <v>0</v>
      </c>
      <c r="O7" s="142">
        <f t="shared" si="2"/>
        <v>2.5</v>
      </c>
      <c r="Q7" s="284">
        <v>3</v>
      </c>
    </row>
    <row r="8" spans="1:19" ht="16" customHeight="1">
      <c r="B8" s="63">
        <v>3</v>
      </c>
      <c r="C8" s="114" t="s">
        <v>231</v>
      </c>
      <c r="D8" s="117" t="s">
        <v>950</v>
      </c>
      <c r="E8" s="140" t="s">
        <v>1320</v>
      </c>
      <c r="F8" s="118" t="s">
        <v>755</v>
      </c>
      <c r="G8" s="227">
        <v>1906.06</v>
      </c>
      <c r="H8" s="9" t="str">
        <f>IF($F8="부록4",IFERROR(INDEX(③1일작업량DB!$H$6:$H$169,MATCH(SUBSTITUTE($C8&amp;"|"&amp;$D8,"~","~~"),③1일작업량DB!$J$6:$J$169,0)),"-"),"")</f>
        <v>㎥/일</v>
      </c>
      <c r="I8" s="227"/>
      <c r="J8" s="229">
        <f>IF($F8="부록4",IFERROR(INDEX(③1일작업량DB!$G$6:$G$169,MATCH(SUBSTITUTE($C8&amp;"|"&amp;$D8,"~","~~"),③1일작업량DB!$J$6:$J$169,0)),""),$I8)</f>
        <v>349</v>
      </c>
      <c r="K8" s="273">
        <f t="shared" si="0"/>
        <v>3.4</v>
      </c>
      <c r="L8" s="139">
        <f t="shared" si="1"/>
        <v>1.7000000000000002</v>
      </c>
      <c r="M8" s="231">
        <v>0</v>
      </c>
      <c r="N8" s="231">
        <v>0</v>
      </c>
      <c r="O8" s="142">
        <f t="shared" si="2"/>
        <v>1.7000000000000002</v>
      </c>
      <c r="Q8" s="284">
        <v>2</v>
      </c>
    </row>
    <row r="9" spans="1:19" ht="16" customHeight="1">
      <c r="B9" s="63">
        <v>4</v>
      </c>
      <c r="C9" s="114" t="s">
        <v>231</v>
      </c>
      <c r="D9" s="117" t="s">
        <v>950</v>
      </c>
      <c r="E9" s="140" t="s">
        <v>1321</v>
      </c>
      <c r="F9" s="118" t="s">
        <v>755</v>
      </c>
      <c r="G9" s="227">
        <v>13504.41</v>
      </c>
      <c r="H9" s="9" t="str">
        <f>IF($F9="부록4",IFERROR(INDEX(③1일작업량DB!$H$6:$H$169,MATCH(SUBSTITUTE($C9&amp;"|"&amp;$D9,"~","~~"),③1일작업량DB!$J$6:$J$169,0)),"-"),"")</f>
        <v>㎥/일</v>
      </c>
      <c r="I9" s="227"/>
      <c r="J9" s="229">
        <f>IF($F9="부록4",IFERROR(INDEX(③1일작업량DB!$G$6:$G$169,MATCH(SUBSTITUTE($C9&amp;"|"&amp;$D9,"~","~~"),③1일작업량DB!$J$6:$J$169,0)),""),$I9)</f>
        <v>349</v>
      </c>
      <c r="K9" s="273">
        <f t="shared" si="0"/>
        <v>8.5</v>
      </c>
      <c r="L9" s="139">
        <f t="shared" si="1"/>
        <v>4.5999999999999996</v>
      </c>
      <c r="M9" s="231">
        <v>0</v>
      </c>
      <c r="N9" s="231">
        <v>0</v>
      </c>
      <c r="O9" s="142">
        <f t="shared" si="2"/>
        <v>4.5999999999999996</v>
      </c>
      <c r="Q9" s="284">
        <v>5</v>
      </c>
    </row>
    <row r="10" spans="1:19" ht="16" customHeight="1">
      <c r="B10" s="63">
        <v>5</v>
      </c>
      <c r="C10" s="114" t="s">
        <v>231</v>
      </c>
      <c r="D10" s="117" t="s">
        <v>257</v>
      </c>
      <c r="E10" s="140" t="s">
        <v>1322</v>
      </c>
      <c r="F10" s="118" t="s">
        <v>755</v>
      </c>
      <c r="G10" s="227">
        <v>11575.96</v>
      </c>
      <c r="H10" s="9" t="str">
        <f>IF($F10="부록4",IFERROR(INDEX(③1일작업량DB!$H$6:$H$169,MATCH(SUBSTITUTE($C10&amp;"|"&amp;$D10,"~","~~"),③1일작업량DB!$J$6:$J$169,0)),"-"),"")</f>
        <v>㎥/일</v>
      </c>
      <c r="I10" s="227"/>
      <c r="J10" s="229">
        <f>IF($F10="부록4",IFERROR(INDEX(③1일작업량DB!$G$6:$G$169,MATCH(SUBSTITUTE($C10&amp;"|"&amp;$D10,"~","~~"),③1일작업량DB!$J$6:$J$169,0)),""),$I10)</f>
        <v>42</v>
      </c>
      <c r="K10" s="273">
        <f t="shared" si="0"/>
        <v>8.5</v>
      </c>
      <c r="L10" s="139">
        <f t="shared" si="1"/>
        <v>32.5</v>
      </c>
      <c r="M10" s="231">
        <v>0</v>
      </c>
      <c r="N10" s="231">
        <v>0</v>
      </c>
      <c r="O10" s="142">
        <f t="shared" si="2"/>
        <v>32.5</v>
      </c>
      <c r="Q10" s="284">
        <v>5</v>
      </c>
    </row>
    <row r="11" spans="1:19" ht="16" customHeight="1">
      <c r="B11" s="63">
        <v>6</v>
      </c>
      <c r="C11" s="114" t="s">
        <v>231</v>
      </c>
      <c r="D11" s="117" t="s">
        <v>827</v>
      </c>
      <c r="E11" s="140" t="s">
        <v>1323</v>
      </c>
      <c r="F11" s="118" t="s">
        <v>755</v>
      </c>
      <c r="G11" s="227">
        <v>5409.57</v>
      </c>
      <c r="H11" s="9" t="str">
        <f>IF($F11="부록4",IFERROR(INDEX(③1일작업량DB!$H$6:$H$169,MATCH(SUBSTITUTE($C11&amp;"|"&amp;$D11,"~","~~"),③1일작업량DB!$J$6:$J$169,0)),"-"),"")</f>
        <v>㎥/일</v>
      </c>
      <c r="I11" s="227"/>
      <c r="J11" s="229">
        <f>IF($F11="부록4",IFERROR(INDEX(③1일작업량DB!$G$6:$G$169,MATCH(SUBSTITUTE($C11&amp;"|"&amp;$D11,"~","~~"),③1일작업량DB!$J$6:$J$169,0)),""),$I11)</f>
        <v>60</v>
      </c>
      <c r="K11" s="273">
        <f t="shared" si="0"/>
        <v>5.0999999999999996</v>
      </c>
      <c r="L11" s="139">
        <f t="shared" si="1"/>
        <v>17.700000000000003</v>
      </c>
      <c r="M11" s="231">
        <v>0</v>
      </c>
      <c r="N11" s="231">
        <v>0</v>
      </c>
      <c r="O11" s="142">
        <f t="shared" si="2"/>
        <v>17.700000000000003</v>
      </c>
      <c r="Q11" s="284">
        <v>3</v>
      </c>
    </row>
    <row r="12" spans="1:19" ht="16" customHeight="1">
      <c r="B12" s="63">
        <v>7</v>
      </c>
      <c r="C12" s="114" t="s">
        <v>231</v>
      </c>
      <c r="D12" s="117" t="s">
        <v>829</v>
      </c>
      <c r="E12" s="140" t="s">
        <v>1324</v>
      </c>
      <c r="F12" s="118" t="s">
        <v>755</v>
      </c>
      <c r="G12" s="227">
        <v>6966.96</v>
      </c>
      <c r="H12" s="9" t="str">
        <f>IF($F12="부록4",IFERROR(INDEX(③1일작업량DB!$H$6:$H$169,MATCH(SUBSTITUTE($C12&amp;"|"&amp;$D12,"~","~~"),③1일작업량DB!$J$6:$J$169,0)),"-"),"")</f>
        <v>㎥/일</v>
      </c>
      <c r="I12" s="227"/>
      <c r="J12" s="229">
        <f>IF($F12="부록4",IFERROR(INDEX(③1일작업량DB!$G$6:$G$169,MATCH(SUBSTITUTE($C12&amp;"|"&amp;$D12,"~","~~"),③1일작업량DB!$J$6:$J$169,0)),""),$I12)</f>
        <v>500</v>
      </c>
      <c r="K12" s="273">
        <f t="shared" si="0"/>
        <v>3.4</v>
      </c>
      <c r="L12" s="139">
        <f t="shared" si="1"/>
        <v>4.0999999999999996</v>
      </c>
      <c r="M12" s="231">
        <v>0</v>
      </c>
      <c r="N12" s="231">
        <v>0</v>
      </c>
      <c r="O12" s="142">
        <f t="shared" si="2"/>
        <v>4.0999999999999996</v>
      </c>
      <c r="Q12" s="284">
        <v>2</v>
      </c>
    </row>
    <row r="13" spans="1:19" ht="16" customHeight="1">
      <c r="B13" s="145"/>
      <c r="C13" s="438" t="s">
        <v>1325</v>
      </c>
      <c r="D13" s="169"/>
      <c r="E13" s="439"/>
      <c r="F13" s="149"/>
      <c r="G13" s="440"/>
      <c r="H13" s="151"/>
      <c r="I13" s="440"/>
      <c r="J13" s="441"/>
      <c r="K13" s="276"/>
      <c r="L13" s="155"/>
      <c r="M13" s="442"/>
      <c r="N13" s="442"/>
      <c r="O13" s="156">
        <f>SUM(O14:O25)</f>
        <v>79.899999999999991</v>
      </c>
      <c r="Q13" s="284"/>
    </row>
    <row r="14" spans="1:19" ht="16" customHeight="1">
      <c r="B14" s="63">
        <v>8</v>
      </c>
      <c r="C14" s="114" t="s">
        <v>269</v>
      </c>
      <c r="D14" s="117" t="s">
        <v>760</v>
      </c>
      <c r="E14" s="140" t="s">
        <v>1326</v>
      </c>
      <c r="F14" s="118" t="s">
        <v>755</v>
      </c>
      <c r="G14" s="227">
        <v>6860.2</v>
      </c>
      <c r="H14" s="9" t="str">
        <f>IF($F14="부록4",IFERROR(INDEX(③1일작업량DB!$H$6:$H$169,MATCH(SUBSTITUTE($C14&amp;"|"&amp;$D14,"~","~~"),③1일작업량DB!$J$6:$J$169,0)),"-"),"")</f>
        <v>m/일</v>
      </c>
      <c r="I14" s="227"/>
      <c r="J14" s="229">
        <f>IF($F14="부록4",IFERROR(INDEX(③1일작업량DB!$G$6:$G$169,MATCH(SUBSTITUTE($C14&amp;"|"&amp;$D14,"~","~~"),③1일작업량DB!$J$6:$J$169,0)),""),$I14)</f>
        <v>43</v>
      </c>
      <c r="K14" s="273">
        <f t="shared" ref="K14:K25" si="3">$R$3*$Q14</f>
        <v>8.5</v>
      </c>
      <c r="L14" s="139">
        <f t="shared" ref="L14:L25" si="4">IFERROR(IF(AND($G14&gt;0,$J14&gt;0,$K14&gt;0),ROUNDUP($G14/($J14*$K14),1),0),0)</f>
        <v>18.8</v>
      </c>
      <c r="M14" s="231">
        <v>0</v>
      </c>
      <c r="N14" s="231">
        <v>0</v>
      </c>
      <c r="O14" s="142">
        <f t="shared" ref="O14:O25" si="5">$L14+$M14+$N14</f>
        <v>18.8</v>
      </c>
      <c r="Q14" s="284">
        <v>5</v>
      </c>
    </row>
    <row r="15" spans="1:19" ht="16" customHeight="1">
      <c r="B15" s="63">
        <v>9</v>
      </c>
      <c r="C15" s="114" t="s">
        <v>403</v>
      </c>
      <c r="D15" s="117" t="s">
        <v>915</v>
      </c>
      <c r="E15" s="140" t="s">
        <v>1327</v>
      </c>
      <c r="F15" s="118" t="s">
        <v>755</v>
      </c>
      <c r="G15" s="227">
        <v>188</v>
      </c>
      <c r="H15" s="9" t="str">
        <f>IF($F15="부록4",IFERROR(INDEX(③1일작업량DB!$H$6:$H$169,MATCH(SUBSTITUTE($C15&amp;"|"&amp;$D15,"~","~~"),③1일작업량DB!$J$6:$J$169,0)),"-"),"")</f>
        <v>개소/일</v>
      </c>
      <c r="I15" s="227"/>
      <c r="J15" s="229">
        <f>IF($F15="부록4",IFERROR(INDEX(③1일작업량DB!$G$6:$G$169,MATCH(SUBSTITUTE($C15&amp;"|"&amp;$D15,"~","~~"),③1일작업량DB!$J$6:$J$169,0)),""),$I15)</f>
        <v>12</v>
      </c>
      <c r="K15" s="273">
        <f t="shared" si="3"/>
        <v>3.4</v>
      </c>
      <c r="L15" s="139">
        <f t="shared" si="4"/>
        <v>4.6999999999999993</v>
      </c>
      <c r="M15" s="231">
        <v>0</v>
      </c>
      <c r="N15" s="231">
        <v>0</v>
      </c>
      <c r="O15" s="142">
        <f t="shared" si="5"/>
        <v>4.6999999999999993</v>
      </c>
      <c r="Q15" s="284">
        <v>2</v>
      </c>
    </row>
    <row r="16" spans="1:19" ht="16" customHeight="1">
      <c r="B16" s="63">
        <v>10</v>
      </c>
      <c r="C16" s="114" t="s">
        <v>403</v>
      </c>
      <c r="D16" s="117" t="s">
        <v>913</v>
      </c>
      <c r="E16" s="140" t="s">
        <v>1328</v>
      </c>
      <c r="F16" s="118" t="s">
        <v>755</v>
      </c>
      <c r="G16" s="227">
        <v>260</v>
      </c>
      <c r="H16" s="9" t="str">
        <f>IF($F16="부록4",IFERROR(INDEX(③1일작업량DB!$H$6:$H$169,MATCH(SUBSTITUTE($C16&amp;"|"&amp;$D16,"~","~~"),③1일작업량DB!$J$6:$J$169,0)),"-"),"")</f>
        <v>개소/일</v>
      </c>
      <c r="I16" s="227"/>
      <c r="J16" s="229">
        <f>IF($F16="부록4",IFERROR(INDEX(③1일작업량DB!$G$6:$G$169,MATCH(SUBSTITUTE($C16&amp;"|"&amp;$D16,"~","~~"),③1일작업량DB!$J$6:$J$169,0)),""),$I16)</f>
        <v>15</v>
      </c>
      <c r="K16" s="273">
        <f t="shared" si="3"/>
        <v>3.4</v>
      </c>
      <c r="L16" s="139">
        <f t="shared" si="4"/>
        <v>5.0999999999999996</v>
      </c>
      <c r="M16" s="231">
        <v>0</v>
      </c>
      <c r="N16" s="231">
        <v>0</v>
      </c>
      <c r="O16" s="142">
        <f t="shared" si="5"/>
        <v>5.0999999999999996</v>
      </c>
      <c r="Q16" s="284">
        <v>2</v>
      </c>
    </row>
    <row r="17" spans="2:17" ht="16" customHeight="1">
      <c r="B17" s="63">
        <v>11</v>
      </c>
      <c r="C17" s="114" t="s">
        <v>403</v>
      </c>
      <c r="D17" s="117" t="s">
        <v>911</v>
      </c>
      <c r="E17" s="140" t="s">
        <v>1329</v>
      </c>
      <c r="F17" s="118" t="s">
        <v>755</v>
      </c>
      <c r="G17" s="227">
        <v>127</v>
      </c>
      <c r="H17" s="9" t="str">
        <f>IF($F17="부록4",IFERROR(INDEX(③1일작업량DB!$H$6:$H$169,MATCH(SUBSTITUTE($C17&amp;"|"&amp;$D17,"~","~~"),③1일작업량DB!$J$6:$J$169,0)),"-"),"")</f>
        <v>개소/일</v>
      </c>
      <c r="I17" s="227"/>
      <c r="J17" s="229">
        <f>IF($F17="부록4",IFERROR(INDEX(③1일작업량DB!$G$6:$G$169,MATCH(SUBSTITUTE($C17&amp;"|"&amp;$D17,"~","~~"),③1일작업량DB!$J$6:$J$169,0)),""),$I17)</f>
        <v>8</v>
      </c>
      <c r="K17" s="273">
        <f t="shared" si="3"/>
        <v>3.4</v>
      </c>
      <c r="L17" s="139">
        <f t="shared" si="4"/>
        <v>4.6999999999999993</v>
      </c>
      <c r="M17" s="231">
        <v>0</v>
      </c>
      <c r="N17" s="231">
        <v>0</v>
      </c>
      <c r="O17" s="142">
        <f t="shared" si="5"/>
        <v>4.6999999999999993</v>
      </c>
      <c r="Q17" s="284">
        <v>2</v>
      </c>
    </row>
    <row r="18" spans="2:17" ht="16" customHeight="1">
      <c r="B18" s="63">
        <v>12</v>
      </c>
      <c r="C18" s="114" t="s">
        <v>403</v>
      </c>
      <c r="D18" s="117" t="s">
        <v>915</v>
      </c>
      <c r="E18" s="140" t="s">
        <v>1330</v>
      </c>
      <c r="F18" s="118" t="s">
        <v>755</v>
      </c>
      <c r="G18" s="227">
        <v>244</v>
      </c>
      <c r="H18" s="9" t="str">
        <f>IF($F18="부록4",IFERROR(INDEX(③1일작업량DB!$H$6:$H$169,MATCH(SUBSTITUTE($C18&amp;"|"&amp;$D18,"~","~~"),③1일작업량DB!$J$6:$J$169,0)),"-"),"")</f>
        <v>개소/일</v>
      </c>
      <c r="I18" s="227"/>
      <c r="J18" s="229">
        <f>IF($F18="부록4",IFERROR(INDEX(③1일작업량DB!$G$6:$G$169,MATCH(SUBSTITUTE($C18&amp;"|"&amp;$D18,"~","~~"),③1일작업량DB!$J$6:$J$169,0)),""),$I18)</f>
        <v>12</v>
      </c>
      <c r="K18" s="273">
        <f t="shared" si="3"/>
        <v>3.4</v>
      </c>
      <c r="L18" s="139">
        <f t="shared" si="4"/>
        <v>6</v>
      </c>
      <c r="M18" s="231">
        <v>0</v>
      </c>
      <c r="N18" s="231">
        <v>0</v>
      </c>
      <c r="O18" s="142">
        <f t="shared" si="5"/>
        <v>6</v>
      </c>
      <c r="Q18" s="284">
        <v>2</v>
      </c>
    </row>
    <row r="19" spans="2:17" ht="16" customHeight="1">
      <c r="B19" s="63">
        <v>13</v>
      </c>
      <c r="C19" s="114" t="s">
        <v>403</v>
      </c>
      <c r="D19" s="117" t="s">
        <v>919</v>
      </c>
      <c r="E19" s="140" t="s">
        <v>1331</v>
      </c>
      <c r="F19" s="118" t="s">
        <v>755</v>
      </c>
      <c r="G19" s="227">
        <v>6860.2</v>
      </c>
      <c r="H19" s="9" t="str">
        <f>IF($F19="부록4",IFERROR(INDEX(③1일작업량DB!$H$6:$H$169,MATCH(SUBSTITUTE($C19&amp;"|"&amp;$D19,"~","~~"),③1일작업량DB!$J$6:$J$169,0)),"-"),"")</f>
        <v>m/일</v>
      </c>
      <c r="I19" s="227"/>
      <c r="J19" s="229">
        <f>IF($F19="부록4",IFERROR(INDEX(③1일작업량DB!$G$6:$G$169,MATCH(SUBSTITUTE($C19&amp;"|"&amp;$D19,"~","~~"),③1일작업량DB!$J$6:$J$169,0)),""),$I19)</f>
        <v>300</v>
      </c>
      <c r="K19" s="273">
        <f t="shared" si="3"/>
        <v>1.7</v>
      </c>
      <c r="L19" s="139">
        <f t="shared" si="4"/>
        <v>13.5</v>
      </c>
      <c r="M19" s="231">
        <v>0</v>
      </c>
      <c r="N19" s="231">
        <v>0</v>
      </c>
      <c r="O19" s="142">
        <f t="shared" si="5"/>
        <v>13.5</v>
      </c>
      <c r="Q19" s="284">
        <v>1</v>
      </c>
    </row>
    <row r="20" spans="2:17" ht="16" customHeight="1">
      <c r="B20" s="63">
        <v>14</v>
      </c>
      <c r="C20" s="114" t="s">
        <v>269</v>
      </c>
      <c r="D20" s="117" t="s">
        <v>891</v>
      </c>
      <c r="E20" s="140" t="s">
        <v>1332</v>
      </c>
      <c r="F20" s="118" t="s">
        <v>755</v>
      </c>
      <c r="G20" s="227">
        <v>35</v>
      </c>
      <c r="H20" s="9" t="str">
        <f>IF($F20="부록4",IFERROR(INDEX(③1일작업량DB!$H$6:$H$169,MATCH(SUBSTITUTE($C20&amp;"|"&amp;$D20,"~","~~"),③1일작업량DB!$J$6:$J$169,0)),"-"),"")</f>
        <v>개소/일</v>
      </c>
      <c r="I20" s="227"/>
      <c r="J20" s="229">
        <f>IF($F20="부록4",IFERROR(INDEX(③1일작업량DB!$G$6:$G$169,MATCH(SUBSTITUTE($C20&amp;"|"&amp;$D20,"~","~~"),③1일작업량DB!$J$6:$J$169,0)),""),$I20)</f>
        <v>10</v>
      </c>
      <c r="K20" s="273">
        <f t="shared" si="3"/>
        <v>1.7</v>
      </c>
      <c r="L20" s="139">
        <f t="shared" si="4"/>
        <v>2.1</v>
      </c>
      <c r="M20" s="231">
        <v>0</v>
      </c>
      <c r="N20" s="231">
        <v>0</v>
      </c>
      <c r="O20" s="142">
        <f t="shared" si="5"/>
        <v>2.1</v>
      </c>
      <c r="Q20" s="284">
        <v>1</v>
      </c>
    </row>
    <row r="21" spans="2:17" ht="16" customHeight="1">
      <c r="B21" s="63">
        <v>15</v>
      </c>
      <c r="C21" s="114" t="s">
        <v>269</v>
      </c>
      <c r="D21" s="117" t="s">
        <v>760</v>
      </c>
      <c r="E21" s="140" t="s">
        <v>1333</v>
      </c>
      <c r="F21" s="118" t="s">
        <v>755</v>
      </c>
      <c r="G21" s="227">
        <v>125</v>
      </c>
      <c r="H21" s="9" t="str">
        <f>IF($F21="부록4",IFERROR(INDEX(③1일작업량DB!$H$6:$H$169,MATCH(SUBSTITUTE($C21&amp;"|"&amp;$D21,"~","~~"),③1일작업량DB!$J$6:$J$169,0)),"-"),"")</f>
        <v>m/일</v>
      </c>
      <c r="I21" s="227"/>
      <c r="J21" s="229">
        <f>IF($F21="부록4",IFERROR(INDEX(③1일작업량DB!$G$6:$G$169,MATCH(SUBSTITUTE($C21&amp;"|"&amp;$D21,"~","~~"),③1일작업량DB!$J$6:$J$169,0)),""),$I21)</f>
        <v>43</v>
      </c>
      <c r="K21" s="273">
        <f t="shared" si="3"/>
        <v>1.7</v>
      </c>
      <c r="L21" s="139">
        <f t="shared" si="4"/>
        <v>1.8</v>
      </c>
      <c r="M21" s="231">
        <v>0</v>
      </c>
      <c r="N21" s="231">
        <v>0</v>
      </c>
      <c r="O21" s="142">
        <f t="shared" si="5"/>
        <v>1.8</v>
      </c>
      <c r="Q21" s="284">
        <v>1</v>
      </c>
    </row>
    <row r="22" spans="2:17" ht="16" customHeight="1">
      <c r="B22" s="63">
        <v>16</v>
      </c>
      <c r="C22" s="114" t="s">
        <v>403</v>
      </c>
      <c r="D22" s="117" t="s">
        <v>911</v>
      </c>
      <c r="E22" s="140" t="s">
        <v>1334</v>
      </c>
      <c r="F22" s="118" t="s">
        <v>755</v>
      </c>
      <c r="G22" s="227">
        <v>74</v>
      </c>
      <c r="H22" s="9" t="str">
        <f>IF($F22="부록4",IFERROR(INDEX(③1일작업량DB!$H$6:$H$169,MATCH(SUBSTITUTE($C22&amp;"|"&amp;$D22,"~","~~"),③1일작업량DB!$J$6:$J$169,0)),"-"),"")</f>
        <v>개소/일</v>
      </c>
      <c r="I22" s="227"/>
      <c r="J22" s="229">
        <f>IF($F22="부록4",IFERROR(INDEX(③1일작업량DB!$G$6:$G$169,MATCH(SUBSTITUTE($C22&amp;"|"&amp;$D22,"~","~~"),③1일작업량DB!$J$6:$J$169,0)),""),$I22)</f>
        <v>8</v>
      </c>
      <c r="K22" s="273">
        <f t="shared" si="3"/>
        <v>1.7</v>
      </c>
      <c r="L22" s="139">
        <f t="shared" si="4"/>
        <v>5.5</v>
      </c>
      <c r="M22" s="231">
        <v>0</v>
      </c>
      <c r="N22" s="231">
        <v>0</v>
      </c>
      <c r="O22" s="142">
        <f t="shared" si="5"/>
        <v>5.5</v>
      </c>
      <c r="Q22" s="284">
        <v>1</v>
      </c>
    </row>
    <row r="23" spans="2:17" ht="16" customHeight="1">
      <c r="B23" s="63">
        <v>17</v>
      </c>
      <c r="C23" s="114" t="s">
        <v>269</v>
      </c>
      <c r="D23" s="117" t="s">
        <v>891</v>
      </c>
      <c r="E23" s="140" t="s">
        <v>1335</v>
      </c>
      <c r="F23" s="118" t="s">
        <v>755</v>
      </c>
      <c r="G23" s="227">
        <v>55.5</v>
      </c>
      <c r="H23" s="9" t="str">
        <f>IF($F23="부록4",IFERROR(INDEX(③1일작업량DB!$H$6:$H$169,MATCH(SUBSTITUTE($C23&amp;"|"&amp;$D23,"~","~~"),③1일작업량DB!$J$6:$J$169,0)),"-"),"")</f>
        <v>개소/일</v>
      </c>
      <c r="I23" s="227"/>
      <c r="J23" s="229">
        <f>IF($F23="부록4",IFERROR(INDEX(③1일작업량DB!$G$6:$G$169,MATCH(SUBSTITUTE($C23&amp;"|"&amp;$D23,"~","~~"),③1일작업량DB!$J$6:$J$169,0)),""),$I23)</f>
        <v>10</v>
      </c>
      <c r="K23" s="273">
        <f t="shared" si="3"/>
        <v>1.7</v>
      </c>
      <c r="L23" s="139">
        <f t="shared" si="4"/>
        <v>3.3000000000000003</v>
      </c>
      <c r="M23" s="231">
        <v>0</v>
      </c>
      <c r="N23" s="231">
        <v>0</v>
      </c>
      <c r="O23" s="142">
        <f t="shared" si="5"/>
        <v>3.3000000000000003</v>
      </c>
      <c r="Q23" s="284">
        <v>1</v>
      </c>
    </row>
    <row r="24" spans="2:17" ht="16" customHeight="1">
      <c r="B24" s="63">
        <v>18</v>
      </c>
      <c r="C24" s="114" t="s">
        <v>403</v>
      </c>
      <c r="D24" s="117" t="s">
        <v>915</v>
      </c>
      <c r="E24" s="140" t="s">
        <v>1336</v>
      </c>
      <c r="F24" s="118" t="s">
        <v>755</v>
      </c>
      <c r="G24" s="227">
        <v>82</v>
      </c>
      <c r="H24" s="9" t="str">
        <f>IF($F24="부록4",IFERROR(INDEX(③1일작업량DB!$H$6:$H$169,MATCH(SUBSTITUTE($C24&amp;"|"&amp;$D24,"~","~~"),③1일작업량DB!$J$6:$J$169,0)),"-"),"")</f>
        <v>개소/일</v>
      </c>
      <c r="I24" s="227"/>
      <c r="J24" s="229">
        <f>IF($F24="부록4",IFERROR(INDEX(③1일작업량DB!$G$6:$G$169,MATCH(SUBSTITUTE($C24&amp;"|"&amp;$D24,"~","~~"),③1일작업량DB!$J$6:$J$169,0)),""),$I24)</f>
        <v>12</v>
      </c>
      <c r="K24" s="273">
        <f t="shared" si="3"/>
        <v>1.7</v>
      </c>
      <c r="L24" s="139">
        <f t="shared" si="4"/>
        <v>4.0999999999999996</v>
      </c>
      <c r="M24" s="231">
        <v>0</v>
      </c>
      <c r="N24" s="231">
        <v>0</v>
      </c>
      <c r="O24" s="142">
        <f t="shared" si="5"/>
        <v>4.0999999999999996</v>
      </c>
      <c r="Q24" s="284">
        <v>1</v>
      </c>
    </row>
    <row r="25" spans="2:17" ht="16" customHeight="1">
      <c r="B25" s="63">
        <v>19</v>
      </c>
      <c r="C25" s="114" t="s">
        <v>921</v>
      </c>
      <c r="D25" s="117" t="s">
        <v>1156</v>
      </c>
      <c r="E25" s="140" t="s">
        <v>1337</v>
      </c>
      <c r="F25" s="118" t="s">
        <v>1120</v>
      </c>
      <c r="G25" s="227">
        <v>6988.55</v>
      </c>
      <c r="H25" s="9" t="s">
        <v>841</v>
      </c>
      <c r="I25" s="227">
        <v>200</v>
      </c>
      <c r="J25" s="229">
        <f>IF($F25="부록4",IFERROR(INDEX(③1일작업량DB!$G$6:$G$169,MATCH(SUBSTITUTE($C25&amp;"|"&amp;$D25,"~","~~"),③1일작업량DB!$J$6:$J$169,0)),""),$I25)</f>
        <v>200</v>
      </c>
      <c r="K25" s="273">
        <f t="shared" si="3"/>
        <v>3.4</v>
      </c>
      <c r="L25" s="139">
        <f t="shared" si="4"/>
        <v>10.299999999999999</v>
      </c>
      <c r="M25" s="231">
        <v>0</v>
      </c>
      <c r="N25" s="231">
        <v>0</v>
      </c>
      <c r="O25" s="142">
        <f t="shared" si="5"/>
        <v>10.299999999999999</v>
      </c>
      <c r="Q25" s="284">
        <v>2</v>
      </c>
    </row>
    <row r="26" spans="2:17" ht="16" customHeight="1">
      <c r="B26" s="145"/>
      <c r="C26" s="438" t="s">
        <v>1338</v>
      </c>
      <c r="D26" s="169"/>
      <c r="E26" s="439"/>
      <c r="F26" s="149"/>
      <c r="G26" s="440"/>
      <c r="H26" s="151"/>
      <c r="I26" s="440"/>
      <c r="J26" s="441"/>
      <c r="K26" s="276"/>
      <c r="L26" s="155"/>
      <c r="M26" s="442"/>
      <c r="N26" s="442"/>
      <c r="O26" s="156">
        <f>SUM(O27:O38)</f>
        <v>82.199999999999989</v>
      </c>
      <c r="Q26" s="284"/>
    </row>
    <row r="27" spans="2:17" ht="16" customHeight="1">
      <c r="B27" s="63">
        <v>20</v>
      </c>
      <c r="C27" s="114" t="s">
        <v>269</v>
      </c>
      <c r="D27" s="117" t="s">
        <v>885</v>
      </c>
      <c r="E27" s="140" t="s">
        <v>1339</v>
      </c>
      <c r="F27" s="118" t="s">
        <v>755</v>
      </c>
      <c r="G27" s="227">
        <v>204</v>
      </c>
      <c r="H27" s="9" t="str">
        <f>IF($F27="부록4",IFERROR(INDEX(③1일작업량DB!$H$6:$H$169,MATCH(SUBSTITUTE($C27&amp;"|"&amp;$D27,"~","~~"),③1일작업량DB!$J$6:$J$169,0)),"-"),"")</f>
        <v>개소/일</v>
      </c>
      <c r="I27" s="227"/>
      <c r="J27" s="229">
        <f>IF($F27="부록4",IFERROR(INDEX(③1일작업량DB!$G$6:$G$169,MATCH(SUBSTITUTE($C27&amp;"|"&amp;$D27,"~","~~"),③1일작업량DB!$J$6:$J$169,0)),""),$I27)</f>
        <v>1.5</v>
      </c>
      <c r="K27" s="273">
        <f t="shared" ref="K27:K38" si="6">$R$3*$Q27</f>
        <v>5.0999999999999996</v>
      </c>
      <c r="L27" s="139">
        <f t="shared" ref="L27:L38" si="7">IFERROR(IF(AND($G27&gt;0,$J27&gt;0,$K27&gt;0),ROUNDUP($G27/($J27*$K27),1),0),0)</f>
        <v>26.700000000000003</v>
      </c>
      <c r="M27" s="231">
        <v>0</v>
      </c>
      <c r="N27" s="231">
        <v>0</v>
      </c>
      <c r="O27" s="142">
        <f t="shared" ref="O27:O38" si="8">$L27+$M27+$N27</f>
        <v>26.700000000000003</v>
      </c>
      <c r="Q27" s="284">
        <v>3</v>
      </c>
    </row>
    <row r="28" spans="2:17" ht="16" customHeight="1">
      <c r="B28" s="63">
        <v>21</v>
      </c>
      <c r="C28" s="114" t="s">
        <v>269</v>
      </c>
      <c r="D28" s="117" t="s">
        <v>891</v>
      </c>
      <c r="E28" s="140" t="s">
        <v>1340</v>
      </c>
      <c r="F28" s="118" t="s">
        <v>755</v>
      </c>
      <c r="G28" s="227">
        <v>153</v>
      </c>
      <c r="H28" s="9" t="str">
        <f>IF($F28="부록4",IFERROR(INDEX(③1일작업량DB!$H$6:$H$169,MATCH(SUBSTITUTE($C28&amp;"|"&amp;$D28,"~","~~"),③1일작업량DB!$J$6:$J$169,0)),"-"),"")</f>
        <v>개소/일</v>
      </c>
      <c r="I28" s="227"/>
      <c r="J28" s="229">
        <f>IF($F28="부록4",IFERROR(INDEX(③1일작업량DB!$G$6:$G$169,MATCH(SUBSTITUTE($C28&amp;"|"&amp;$D28,"~","~~"),③1일작업량DB!$J$6:$J$169,0)),""),$I28)</f>
        <v>10</v>
      </c>
      <c r="K28" s="273">
        <f t="shared" si="6"/>
        <v>3.4</v>
      </c>
      <c r="L28" s="139">
        <f t="shared" si="7"/>
        <v>4.5</v>
      </c>
      <c r="M28" s="231">
        <v>0</v>
      </c>
      <c r="N28" s="231">
        <v>0</v>
      </c>
      <c r="O28" s="142">
        <f t="shared" si="8"/>
        <v>4.5</v>
      </c>
      <c r="Q28" s="284">
        <v>2</v>
      </c>
    </row>
    <row r="29" spans="2:17" ht="16" customHeight="1">
      <c r="B29" s="63">
        <v>22</v>
      </c>
      <c r="C29" s="114" t="s">
        <v>269</v>
      </c>
      <c r="D29" s="117" t="s">
        <v>889</v>
      </c>
      <c r="E29" s="140" t="s">
        <v>1341</v>
      </c>
      <c r="F29" s="118" t="s">
        <v>755</v>
      </c>
      <c r="G29" s="227">
        <v>222</v>
      </c>
      <c r="H29" s="9" t="str">
        <f>IF($F29="부록4",IFERROR(INDEX(③1일작업량DB!$H$6:$H$169,MATCH(SUBSTITUTE($C29&amp;"|"&amp;$D29,"~","~~"),③1일작업량DB!$J$6:$J$169,0)),"-"),"")</f>
        <v>개소/일</v>
      </c>
      <c r="I29" s="227"/>
      <c r="J29" s="229">
        <f>IF($F29="부록4",IFERROR(INDEX(③1일작업량DB!$G$6:$G$169,MATCH(SUBSTITUTE($C29&amp;"|"&amp;$D29,"~","~~"),③1일작업량DB!$J$6:$J$169,0)),""),$I29)</f>
        <v>8</v>
      </c>
      <c r="K29" s="273">
        <f t="shared" si="6"/>
        <v>3.4</v>
      </c>
      <c r="L29" s="139">
        <f t="shared" si="7"/>
        <v>8.1999999999999993</v>
      </c>
      <c r="M29" s="231">
        <v>0</v>
      </c>
      <c r="N29" s="231">
        <v>0</v>
      </c>
      <c r="O29" s="142">
        <f t="shared" si="8"/>
        <v>8.1999999999999993</v>
      </c>
      <c r="Q29" s="284">
        <v>2</v>
      </c>
    </row>
    <row r="30" spans="2:17" ht="16" customHeight="1">
      <c r="B30" s="63">
        <v>23</v>
      </c>
      <c r="C30" s="114" t="s">
        <v>269</v>
      </c>
      <c r="D30" s="117" t="s">
        <v>891</v>
      </c>
      <c r="E30" s="140" t="s">
        <v>1342</v>
      </c>
      <c r="F30" s="118" t="s">
        <v>755</v>
      </c>
      <c r="G30" s="227">
        <v>1084</v>
      </c>
      <c r="H30" s="9" t="str">
        <f>IF($F30="부록4",IFERROR(INDEX(③1일작업량DB!$H$6:$H$169,MATCH(SUBSTITUTE($C30&amp;"|"&amp;$D30,"~","~~"),③1일작업량DB!$J$6:$J$169,0)),"-"),"")</f>
        <v>개소/일</v>
      </c>
      <c r="I30" s="227"/>
      <c r="J30" s="229">
        <f>IF($F30="부록4",IFERROR(INDEX(③1일작업량DB!$G$6:$G$169,MATCH(SUBSTITUTE($C30&amp;"|"&amp;$D30,"~","~~"),③1일작업량DB!$J$6:$J$169,0)),""),$I30)</f>
        <v>10</v>
      </c>
      <c r="K30" s="273">
        <f t="shared" si="6"/>
        <v>5.0999999999999996</v>
      </c>
      <c r="L30" s="139">
        <f t="shared" si="7"/>
        <v>21.3</v>
      </c>
      <c r="M30" s="231">
        <v>0</v>
      </c>
      <c r="N30" s="231">
        <v>0</v>
      </c>
      <c r="O30" s="142">
        <f t="shared" si="8"/>
        <v>21.3</v>
      </c>
      <c r="Q30" s="284">
        <v>3</v>
      </c>
    </row>
    <row r="31" spans="2:17" ht="16" customHeight="1">
      <c r="B31" s="63">
        <v>24</v>
      </c>
      <c r="C31" s="114" t="s">
        <v>231</v>
      </c>
      <c r="D31" s="117" t="s">
        <v>348</v>
      </c>
      <c r="E31" s="140" t="s">
        <v>1343</v>
      </c>
      <c r="F31" s="118" t="s">
        <v>755</v>
      </c>
      <c r="G31" s="227">
        <v>40</v>
      </c>
      <c r="H31" s="9" t="str">
        <f>IF($F31="부록4",IFERROR(INDEX(③1일작업량DB!$H$6:$H$169,MATCH(SUBSTITUTE($C31&amp;"|"&amp;$D31,"~","~~"),③1일작업량DB!$J$6:$J$169,0)),"-"),"")</f>
        <v>㎥/일</v>
      </c>
      <c r="I31" s="227"/>
      <c r="J31" s="229">
        <f>IF($F31="부록4",IFERROR(INDEX(③1일작업량DB!$G$6:$G$169,MATCH(SUBSTITUTE($C31&amp;"|"&amp;$D31,"~","~~"),③1일작업량DB!$J$6:$J$169,0)),""),$I31)</f>
        <v>65</v>
      </c>
      <c r="K31" s="273">
        <f t="shared" si="6"/>
        <v>1.7</v>
      </c>
      <c r="L31" s="139">
        <f t="shared" si="7"/>
        <v>0.4</v>
      </c>
      <c r="M31" s="231">
        <v>0</v>
      </c>
      <c r="N31" s="231">
        <v>0</v>
      </c>
      <c r="O31" s="142">
        <f t="shared" si="8"/>
        <v>0.4</v>
      </c>
      <c r="Q31" s="284">
        <v>1</v>
      </c>
    </row>
    <row r="32" spans="2:17" ht="16" customHeight="1">
      <c r="B32" s="63">
        <v>25</v>
      </c>
      <c r="C32" s="114" t="s">
        <v>361</v>
      </c>
      <c r="D32" s="117" t="s">
        <v>756</v>
      </c>
      <c r="E32" s="140" t="s">
        <v>1344</v>
      </c>
      <c r="F32" s="118" t="s">
        <v>755</v>
      </c>
      <c r="G32" s="227">
        <v>3.2</v>
      </c>
      <c r="H32" s="9" t="str">
        <f>IF($F32="부록4",IFERROR(INDEX(③1일작업량DB!$H$6:$H$169,MATCH(SUBSTITUTE($C32&amp;"|"&amp;$D32,"~","~~"),③1일작업량DB!$J$6:$J$169,0)),"-"),"")</f>
        <v>㎥/일</v>
      </c>
      <c r="I32" s="227"/>
      <c r="J32" s="229">
        <f>IF($F32="부록4",IFERROR(INDEX(③1일작업량DB!$G$6:$G$169,MATCH(SUBSTITUTE($C32&amp;"|"&amp;$D32,"~","~~"),③1일작업량DB!$J$6:$J$169,0)),""),$I32)</f>
        <v>189</v>
      </c>
      <c r="K32" s="273">
        <f t="shared" si="6"/>
        <v>1.7</v>
      </c>
      <c r="L32" s="139">
        <f t="shared" si="7"/>
        <v>0.1</v>
      </c>
      <c r="M32" s="231">
        <v>0</v>
      </c>
      <c r="N32" s="231">
        <v>0</v>
      </c>
      <c r="O32" s="142">
        <f t="shared" si="8"/>
        <v>0.1</v>
      </c>
      <c r="Q32" s="284">
        <v>1</v>
      </c>
    </row>
    <row r="33" spans="2:17" ht="16" customHeight="1">
      <c r="B33" s="63">
        <v>26</v>
      </c>
      <c r="C33" s="114" t="s">
        <v>361</v>
      </c>
      <c r="D33" s="117" t="s">
        <v>759</v>
      </c>
      <c r="E33" s="140" t="s">
        <v>1345</v>
      </c>
      <c r="F33" s="118" t="s">
        <v>755</v>
      </c>
      <c r="G33" s="227">
        <v>38.4</v>
      </c>
      <c r="H33" s="9" t="str">
        <f>IF($F33="부록4",IFERROR(INDEX(③1일작업량DB!$H$6:$H$169,MATCH(SUBSTITUTE($C33&amp;"|"&amp;$D33,"~","~~"),③1일작업량DB!$J$6:$J$169,0)),"-"),"")</f>
        <v>㎡/일</v>
      </c>
      <c r="I33" s="227"/>
      <c r="J33" s="229">
        <f>IF($F33="부록4",IFERROR(INDEX(③1일작업량DB!$G$6:$G$169,MATCH(SUBSTITUTE($C33&amp;"|"&amp;$D33,"~","~~"),③1일작업량DB!$J$6:$J$169,0)),""),$I33)</f>
        <v>50</v>
      </c>
      <c r="K33" s="273">
        <f t="shared" si="6"/>
        <v>1.7</v>
      </c>
      <c r="L33" s="139">
        <f t="shared" si="7"/>
        <v>0.5</v>
      </c>
      <c r="M33" s="231">
        <v>0</v>
      </c>
      <c r="N33" s="231">
        <v>0</v>
      </c>
      <c r="O33" s="142">
        <f t="shared" si="8"/>
        <v>0.5</v>
      </c>
      <c r="Q33" s="284">
        <v>1</v>
      </c>
    </row>
    <row r="34" spans="2:17" ht="16" customHeight="1">
      <c r="B34" s="63">
        <v>27</v>
      </c>
      <c r="C34" s="114" t="s">
        <v>921</v>
      </c>
      <c r="D34" s="117" t="s">
        <v>946</v>
      </c>
      <c r="E34" s="140" t="s">
        <v>1346</v>
      </c>
      <c r="F34" s="118" t="s">
        <v>755</v>
      </c>
      <c r="G34" s="227">
        <v>208</v>
      </c>
      <c r="H34" s="9" t="str">
        <f>IF($F34="부록4",IFERROR(INDEX(③1일작업량DB!$H$6:$H$169,MATCH(SUBSTITUTE($C34&amp;"|"&amp;$D34,"~","~~"),③1일작업량DB!$J$6:$J$169,0)),"-"),"")</f>
        <v>개소/일</v>
      </c>
      <c r="I34" s="227"/>
      <c r="J34" s="229">
        <f>IF($F34="부록4",IFERROR(INDEX(③1일작업량DB!$G$6:$G$169,MATCH(SUBSTITUTE($C34&amp;"|"&amp;$D34,"~","~~"),③1일작업량DB!$J$6:$J$169,0)),""),$I34)</f>
        <v>3</v>
      </c>
      <c r="K34" s="273">
        <f t="shared" si="6"/>
        <v>5.0999999999999996</v>
      </c>
      <c r="L34" s="139">
        <f t="shared" si="7"/>
        <v>13.6</v>
      </c>
      <c r="M34" s="231">
        <v>0</v>
      </c>
      <c r="N34" s="231">
        <v>0</v>
      </c>
      <c r="O34" s="142">
        <f t="shared" si="8"/>
        <v>13.6</v>
      </c>
      <c r="Q34" s="284">
        <v>3</v>
      </c>
    </row>
    <row r="35" spans="2:17" ht="16" customHeight="1">
      <c r="B35" s="63">
        <v>28</v>
      </c>
      <c r="C35" s="114" t="s">
        <v>269</v>
      </c>
      <c r="D35" s="117" t="s">
        <v>891</v>
      </c>
      <c r="E35" s="140" t="s">
        <v>1347</v>
      </c>
      <c r="F35" s="118" t="s">
        <v>755</v>
      </c>
      <c r="G35" s="227">
        <v>10</v>
      </c>
      <c r="H35" s="9" t="str">
        <f>IF($F35="부록4",IFERROR(INDEX(③1일작업량DB!$H$6:$H$169,MATCH(SUBSTITUTE($C35&amp;"|"&amp;$D35,"~","~~"),③1일작업량DB!$J$6:$J$169,0)),"-"),"")</f>
        <v>개소/일</v>
      </c>
      <c r="I35" s="227"/>
      <c r="J35" s="229">
        <f>IF($F35="부록4",IFERROR(INDEX(③1일작업량DB!$G$6:$G$169,MATCH(SUBSTITUTE($C35&amp;"|"&amp;$D35,"~","~~"),③1일작업량DB!$J$6:$J$169,0)),""),$I35)</f>
        <v>10</v>
      </c>
      <c r="K35" s="273">
        <f t="shared" si="6"/>
        <v>1.7</v>
      </c>
      <c r="L35" s="139">
        <f t="shared" si="7"/>
        <v>0.6</v>
      </c>
      <c r="M35" s="231">
        <v>0</v>
      </c>
      <c r="N35" s="231">
        <v>0</v>
      </c>
      <c r="O35" s="142">
        <f t="shared" si="8"/>
        <v>0.6</v>
      </c>
      <c r="Q35" s="284">
        <v>1</v>
      </c>
    </row>
    <row r="36" spans="2:17" ht="16" customHeight="1">
      <c r="B36" s="63">
        <v>29</v>
      </c>
      <c r="C36" s="114" t="s">
        <v>921</v>
      </c>
      <c r="D36" s="117" t="s">
        <v>1348</v>
      </c>
      <c r="E36" s="140" t="s">
        <v>1349</v>
      </c>
      <c r="F36" s="118" t="s">
        <v>1120</v>
      </c>
      <c r="G36" s="227">
        <v>158.25</v>
      </c>
      <c r="H36" s="9" t="s">
        <v>841</v>
      </c>
      <c r="I36" s="227">
        <v>30</v>
      </c>
      <c r="J36" s="229">
        <f>IF($F36="부록4",IFERROR(INDEX(③1일작업량DB!$G$6:$G$169,MATCH(SUBSTITUTE($C36&amp;"|"&amp;$D36,"~","~~"),③1일작업량DB!$J$6:$J$169,0)),""),$I36)</f>
        <v>30</v>
      </c>
      <c r="K36" s="273">
        <f t="shared" si="6"/>
        <v>1.7</v>
      </c>
      <c r="L36" s="139">
        <f t="shared" si="7"/>
        <v>3.2</v>
      </c>
      <c r="M36" s="231">
        <v>0</v>
      </c>
      <c r="N36" s="231">
        <v>0</v>
      </c>
      <c r="O36" s="142">
        <f t="shared" si="8"/>
        <v>3.2</v>
      </c>
      <c r="Q36" s="284">
        <v>1</v>
      </c>
    </row>
    <row r="37" spans="2:17" ht="16" customHeight="1">
      <c r="B37" s="63">
        <v>30</v>
      </c>
      <c r="C37" s="114" t="s">
        <v>403</v>
      </c>
      <c r="D37" s="117" t="s">
        <v>915</v>
      </c>
      <c r="E37" s="140" t="s">
        <v>1350</v>
      </c>
      <c r="F37" s="118" t="s">
        <v>755</v>
      </c>
      <c r="G37" s="227">
        <v>26</v>
      </c>
      <c r="H37" s="9" t="str">
        <f>IF($F37="부록4",IFERROR(INDEX(③1일작업량DB!$H$6:$H$169,MATCH(SUBSTITUTE($C37&amp;"|"&amp;$D37,"~","~~"),③1일작업량DB!$J$6:$J$169,0)),"-"),"")</f>
        <v>개소/일</v>
      </c>
      <c r="I37" s="227"/>
      <c r="J37" s="229">
        <f>IF($F37="부록4",IFERROR(INDEX(③1일작업량DB!$G$6:$G$169,MATCH(SUBSTITUTE($C37&amp;"|"&amp;$D37,"~","~~"),③1일작업량DB!$J$6:$J$169,0)),""),$I37)</f>
        <v>12</v>
      </c>
      <c r="K37" s="273">
        <f t="shared" si="6"/>
        <v>1.7</v>
      </c>
      <c r="L37" s="139">
        <f t="shared" si="7"/>
        <v>1.3</v>
      </c>
      <c r="M37" s="231">
        <v>0</v>
      </c>
      <c r="N37" s="231">
        <v>0</v>
      </c>
      <c r="O37" s="142">
        <f t="shared" si="8"/>
        <v>1.3</v>
      </c>
      <c r="Q37" s="284">
        <v>1</v>
      </c>
    </row>
    <row r="38" spans="2:17" ht="16" customHeight="1">
      <c r="B38" s="63">
        <v>31</v>
      </c>
      <c r="C38" s="114" t="s">
        <v>921</v>
      </c>
      <c r="D38" s="117" t="s">
        <v>1351</v>
      </c>
      <c r="E38" s="140" t="s">
        <v>1352</v>
      </c>
      <c r="F38" s="118" t="s">
        <v>1120</v>
      </c>
      <c r="G38" s="227">
        <v>6</v>
      </c>
      <c r="H38" s="9" t="s">
        <v>880</v>
      </c>
      <c r="I38" s="227">
        <v>2</v>
      </c>
      <c r="J38" s="229">
        <f>IF($F38="부록4",IFERROR(INDEX(③1일작업량DB!$G$6:$G$169,MATCH(SUBSTITUTE($C38&amp;"|"&amp;$D38,"~","~~"),③1일작업량DB!$J$6:$J$169,0)),""),$I38)</f>
        <v>2</v>
      </c>
      <c r="K38" s="273">
        <f t="shared" si="6"/>
        <v>1.7</v>
      </c>
      <c r="L38" s="139">
        <f t="shared" si="7"/>
        <v>1.8</v>
      </c>
      <c r="M38" s="231">
        <v>0</v>
      </c>
      <c r="N38" s="231">
        <v>0</v>
      </c>
      <c r="O38" s="142">
        <f t="shared" si="8"/>
        <v>1.8</v>
      </c>
      <c r="Q38" s="284">
        <v>1</v>
      </c>
    </row>
    <row r="39" spans="2:17" ht="16" customHeight="1">
      <c r="B39" s="145"/>
      <c r="C39" s="438" t="s">
        <v>1353</v>
      </c>
      <c r="D39" s="169"/>
      <c r="E39" s="439"/>
      <c r="F39" s="149"/>
      <c r="G39" s="440"/>
      <c r="H39" s="151"/>
      <c r="I39" s="440"/>
      <c r="J39" s="441"/>
      <c r="K39" s="276"/>
      <c r="L39" s="155"/>
      <c r="M39" s="442"/>
      <c r="N39" s="442"/>
      <c r="O39" s="156">
        <f>SUM(O40:O41)</f>
        <v>40.799999999999997</v>
      </c>
      <c r="Q39" s="284"/>
    </row>
    <row r="40" spans="2:17" ht="16" customHeight="1">
      <c r="B40" s="63">
        <v>32</v>
      </c>
      <c r="C40" s="114" t="s">
        <v>849</v>
      </c>
      <c r="D40" s="117" t="s">
        <v>883</v>
      </c>
      <c r="E40" s="140" t="s">
        <v>1354</v>
      </c>
      <c r="F40" s="118" t="s">
        <v>755</v>
      </c>
      <c r="G40" s="227">
        <v>6362.52</v>
      </c>
      <c r="H40" s="9" t="str">
        <f>IF($F40="부록4",IFERROR(INDEX(③1일작업량DB!$H$6:$H$169,MATCH(SUBSTITUTE($C40&amp;"|"&amp;$D40,"~","~~"),③1일작업량DB!$J$6:$J$169,0)),"-"),"")</f>
        <v>m/일</v>
      </c>
      <c r="I40" s="227"/>
      <c r="J40" s="229">
        <f>IF($F40="부록4",IFERROR(INDEX(③1일작업량DB!$G$6:$G$169,MATCH(SUBSTITUTE($C40&amp;"|"&amp;$D40,"~","~~"),③1일작업량DB!$J$6:$J$169,0)),""),$I40)</f>
        <v>25</v>
      </c>
      <c r="K40" s="273">
        <f>$R$3*$Q40</f>
        <v>6.8</v>
      </c>
      <c r="L40" s="139">
        <f>IFERROR(IF(AND($G40&gt;0,$J40&gt;0,$K40&gt;0),ROUNDUP($G40/($J40*$K40),1),0),0)</f>
        <v>37.5</v>
      </c>
      <c r="M40" s="231">
        <v>0</v>
      </c>
      <c r="N40" s="231">
        <v>0</v>
      </c>
      <c r="O40" s="142">
        <f>$L40+$M40+$N40</f>
        <v>37.5</v>
      </c>
      <c r="Q40" s="284">
        <v>4</v>
      </c>
    </row>
    <row r="41" spans="2:17" ht="16" customHeight="1">
      <c r="B41" s="63">
        <v>33</v>
      </c>
      <c r="C41" s="114" t="s">
        <v>849</v>
      </c>
      <c r="D41" s="117" t="s">
        <v>883</v>
      </c>
      <c r="E41" s="140" t="s">
        <v>1355</v>
      </c>
      <c r="F41" s="118" t="s">
        <v>755</v>
      </c>
      <c r="G41" s="227">
        <v>140</v>
      </c>
      <c r="H41" s="9" t="str">
        <f>IF($F41="부록4",IFERROR(INDEX(③1일작업량DB!$H$6:$H$169,MATCH(SUBSTITUTE($C41&amp;"|"&amp;$D41,"~","~~"),③1일작업량DB!$J$6:$J$169,0)),"-"),"")</f>
        <v>m/일</v>
      </c>
      <c r="I41" s="227"/>
      <c r="J41" s="229">
        <f>IF($F41="부록4",IFERROR(INDEX(③1일작업량DB!$G$6:$G$169,MATCH(SUBSTITUTE($C41&amp;"|"&amp;$D41,"~","~~"),③1일작업량DB!$J$6:$J$169,0)),""),$I41)</f>
        <v>25</v>
      </c>
      <c r="K41" s="273">
        <f>$R$3*$Q41</f>
        <v>1.7</v>
      </c>
      <c r="L41" s="139">
        <f>IFERROR(IF(AND($G41&gt;0,$J41&gt;0,$K41&gt;0),ROUNDUP($G41/($J41*$K41),1),0),0)</f>
        <v>3.3000000000000003</v>
      </c>
      <c r="M41" s="231">
        <v>0</v>
      </c>
      <c r="N41" s="231">
        <v>0</v>
      </c>
      <c r="O41" s="142">
        <f>$L41+$M41+$N41</f>
        <v>3.3000000000000003</v>
      </c>
      <c r="Q41" s="284">
        <v>1</v>
      </c>
    </row>
    <row r="42" spans="2:17" ht="16" customHeight="1">
      <c r="B42" s="145"/>
      <c r="C42" s="438" t="s">
        <v>1356</v>
      </c>
      <c r="D42" s="169"/>
      <c r="E42" s="439"/>
      <c r="F42" s="149"/>
      <c r="G42" s="440"/>
      <c r="H42" s="151"/>
      <c r="I42" s="440"/>
      <c r="J42" s="441"/>
      <c r="K42" s="276"/>
      <c r="L42" s="155"/>
      <c r="M42" s="442"/>
      <c r="N42" s="442"/>
      <c r="O42" s="156">
        <f>SUM(O43:O52)</f>
        <v>75.699999999999989</v>
      </c>
      <c r="Q42" s="284"/>
    </row>
    <row r="43" spans="2:17" ht="16" customHeight="1">
      <c r="B43" s="63">
        <v>34</v>
      </c>
      <c r="C43" s="114" t="s">
        <v>849</v>
      </c>
      <c r="D43" s="117" t="s">
        <v>850</v>
      </c>
      <c r="E43" s="140" t="s">
        <v>1357</v>
      </c>
      <c r="F43" s="118" t="s">
        <v>755</v>
      </c>
      <c r="G43" s="227">
        <v>6234.24</v>
      </c>
      <c r="H43" s="9" t="str">
        <f>IF($F43="부록4",IFERROR(INDEX(③1일작업량DB!$H$6:$H$169,MATCH(SUBSTITUTE($C43&amp;"|"&amp;$D43,"~","~~"),③1일작업량DB!$J$6:$J$169,0)),"-"),"")</f>
        <v>m/일</v>
      </c>
      <c r="I43" s="227"/>
      <c r="J43" s="229">
        <f>IF($F43="부록4",IFERROR(INDEX(③1일작업량DB!$G$6:$G$169,MATCH(SUBSTITUTE($C43&amp;"|"&amp;$D43,"~","~~"),③1일작업량DB!$J$6:$J$169,0)),""),$I43)</f>
        <v>85</v>
      </c>
      <c r="K43" s="273">
        <f t="shared" ref="K43:K52" si="9">$R$3*$Q43</f>
        <v>5.0999999999999996</v>
      </c>
      <c r="L43" s="139">
        <f t="shared" ref="L43:L52" si="10">IFERROR(IF(AND($G43&gt;0,$J43&gt;0,$K43&gt;0),ROUNDUP($G43/($J43*$K43),1),0),0)</f>
        <v>14.4</v>
      </c>
      <c r="M43" s="231">
        <v>0</v>
      </c>
      <c r="N43" s="231">
        <v>0</v>
      </c>
      <c r="O43" s="142">
        <f t="shared" ref="O43:O52" si="11">$L43+$M43+$N43</f>
        <v>14.4</v>
      </c>
      <c r="Q43" s="284">
        <v>3</v>
      </c>
    </row>
    <row r="44" spans="2:17" ht="16" customHeight="1">
      <c r="B44" s="63">
        <v>35</v>
      </c>
      <c r="C44" s="114" t="s">
        <v>849</v>
      </c>
      <c r="D44" s="117" t="s">
        <v>850</v>
      </c>
      <c r="E44" s="140" t="s">
        <v>1358</v>
      </c>
      <c r="F44" s="118" t="s">
        <v>755</v>
      </c>
      <c r="G44" s="227">
        <v>1431.16</v>
      </c>
      <c r="H44" s="9" t="str">
        <f>IF($F44="부록4",IFERROR(INDEX(③1일작업량DB!$H$6:$H$169,MATCH(SUBSTITUTE($C44&amp;"|"&amp;$D44,"~","~~"),③1일작업량DB!$J$6:$J$169,0)),"-"),"")</f>
        <v>m/일</v>
      </c>
      <c r="I44" s="227"/>
      <c r="J44" s="229">
        <f>IF($F44="부록4",IFERROR(INDEX(③1일작업량DB!$G$6:$G$169,MATCH(SUBSTITUTE($C44&amp;"|"&amp;$D44,"~","~~"),③1일작업량DB!$J$6:$J$169,0)),""),$I44)</f>
        <v>85</v>
      </c>
      <c r="K44" s="273">
        <f t="shared" si="9"/>
        <v>3.4</v>
      </c>
      <c r="L44" s="139">
        <f t="shared" si="10"/>
        <v>5</v>
      </c>
      <c r="M44" s="231">
        <v>0</v>
      </c>
      <c r="N44" s="231">
        <v>0</v>
      </c>
      <c r="O44" s="142">
        <f t="shared" si="11"/>
        <v>5</v>
      </c>
      <c r="Q44" s="284">
        <v>2</v>
      </c>
    </row>
    <row r="45" spans="2:17" ht="16" customHeight="1">
      <c r="B45" s="63">
        <v>36</v>
      </c>
      <c r="C45" s="114" t="s">
        <v>849</v>
      </c>
      <c r="D45" s="117" t="s">
        <v>857</v>
      </c>
      <c r="E45" s="140" t="s">
        <v>1359</v>
      </c>
      <c r="F45" s="118" t="s">
        <v>755</v>
      </c>
      <c r="G45" s="227">
        <v>5745.4</v>
      </c>
      <c r="H45" s="9" t="str">
        <f>IF($F45="부록4",IFERROR(INDEX(③1일작업량DB!$H$6:$H$169,MATCH(SUBSTITUTE($C45&amp;"|"&amp;$D45,"~","~~"),③1일작업량DB!$J$6:$J$169,0)),"-"),"")</f>
        <v>m/일</v>
      </c>
      <c r="I45" s="227"/>
      <c r="J45" s="229">
        <f>IF($F45="부록4",IFERROR(INDEX(③1일작업량DB!$G$6:$G$169,MATCH(SUBSTITUTE($C45&amp;"|"&amp;$D45,"~","~~"),③1일작업량DB!$J$6:$J$169,0)),""),$I45)</f>
        <v>200</v>
      </c>
      <c r="K45" s="273">
        <f t="shared" si="9"/>
        <v>3.4</v>
      </c>
      <c r="L45" s="139">
        <f t="shared" si="10"/>
        <v>8.5</v>
      </c>
      <c r="M45" s="231">
        <v>0</v>
      </c>
      <c r="N45" s="231">
        <v>0</v>
      </c>
      <c r="O45" s="142">
        <f t="shared" si="11"/>
        <v>8.5</v>
      </c>
      <c r="Q45" s="284">
        <v>2</v>
      </c>
    </row>
    <row r="46" spans="2:17" ht="16" customHeight="1">
      <c r="B46" s="63">
        <v>37</v>
      </c>
      <c r="C46" s="114" t="s">
        <v>849</v>
      </c>
      <c r="D46" s="117" t="s">
        <v>855</v>
      </c>
      <c r="E46" s="140" t="s">
        <v>1360</v>
      </c>
      <c r="F46" s="118" t="s">
        <v>755</v>
      </c>
      <c r="G46" s="227">
        <v>960</v>
      </c>
      <c r="H46" s="9" t="str">
        <f>IF($F46="부록4",IFERROR(INDEX(③1일작업량DB!$H$6:$H$169,MATCH(SUBSTITUTE($C46&amp;"|"&amp;$D46,"~","~~"),③1일작업량DB!$J$6:$J$169,0)),"-"),"")</f>
        <v>본/일</v>
      </c>
      <c r="I46" s="227"/>
      <c r="J46" s="229">
        <f>IF($F46="부록4",IFERROR(INDEX(③1일작업량DB!$G$6:$G$169,MATCH(SUBSTITUTE($C46&amp;"|"&amp;$D46,"~","~~"),③1일작업량DB!$J$6:$J$169,0)),""),$I46)</f>
        <v>12</v>
      </c>
      <c r="K46" s="273">
        <f t="shared" si="9"/>
        <v>5.0999999999999996</v>
      </c>
      <c r="L46" s="139">
        <f t="shared" si="10"/>
        <v>15.7</v>
      </c>
      <c r="M46" s="231">
        <v>0</v>
      </c>
      <c r="N46" s="231">
        <v>0</v>
      </c>
      <c r="O46" s="142">
        <f t="shared" si="11"/>
        <v>15.7</v>
      </c>
      <c r="Q46" s="284">
        <v>3</v>
      </c>
    </row>
    <row r="47" spans="2:17" ht="16" customHeight="1">
      <c r="B47" s="63">
        <v>38</v>
      </c>
      <c r="C47" s="114" t="s">
        <v>849</v>
      </c>
      <c r="D47" s="117" t="s">
        <v>863</v>
      </c>
      <c r="E47" s="140" t="s">
        <v>1361</v>
      </c>
      <c r="F47" s="118" t="s">
        <v>755</v>
      </c>
      <c r="G47" s="227">
        <v>80</v>
      </c>
      <c r="H47" s="9" t="str">
        <f>IF($F47="부록4",IFERROR(INDEX(③1일작업량DB!$H$6:$H$169,MATCH(SUBSTITUTE($C47&amp;"|"&amp;$D47,"~","~~"),③1일작업량DB!$J$6:$J$169,0)),"-"),"")</f>
        <v>본/일</v>
      </c>
      <c r="I47" s="227"/>
      <c r="J47" s="229">
        <f>IF($F47="부록4",IFERROR(INDEX(③1일작업량DB!$G$6:$G$169,MATCH(SUBSTITUTE($C47&amp;"|"&amp;$D47,"~","~~"),③1일작업량DB!$J$6:$J$169,0)),""),$I47)</f>
        <v>6</v>
      </c>
      <c r="K47" s="273">
        <f t="shared" si="9"/>
        <v>3.4</v>
      </c>
      <c r="L47" s="139">
        <f t="shared" si="10"/>
        <v>4</v>
      </c>
      <c r="M47" s="231">
        <v>0</v>
      </c>
      <c r="N47" s="231">
        <v>0</v>
      </c>
      <c r="O47" s="142">
        <f t="shared" si="11"/>
        <v>4</v>
      </c>
      <c r="Q47" s="284">
        <v>2</v>
      </c>
    </row>
    <row r="48" spans="2:17" ht="16" customHeight="1">
      <c r="B48" s="63">
        <v>39</v>
      </c>
      <c r="C48" s="114" t="s">
        <v>849</v>
      </c>
      <c r="D48" s="117" t="s">
        <v>865</v>
      </c>
      <c r="E48" s="140" t="s">
        <v>1362</v>
      </c>
      <c r="F48" s="118" t="s">
        <v>755</v>
      </c>
      <c r="G48" s="227">
        <v>80</v>
      </c>
      <c r="H48" s="9" t="str">
        <f>IF($F48="부록4",IFERROR(INDEX(③1일작업량DB!$H$6:$H$169,MATCH(SUBSTITUTE($C48&amp;"|"&amp;$D48,"~","~~"),③1일작업량DB!$J$6:$J$169,0)),"-"),"")</f>
        <v>본/일</v>
      </c>
      <c r="I48" s="227"/>
      <c r="J48" s="229">
        <f>IF($F48="부록4",IFERROR(INDEX(③1일작업량DB!$G$6:$G$169,MATCH(SUBSTITUTE($C48&amp;"|"&amp;$D48,"~","~~"),③1일작업량DB!$J$6:$J$169,0)),""),$I48)</f>
        <v>8</v>
      </c>
      <c r="K48" s="273">
        <f t="shared" si="9"/>
        <v>3.4</v>
      </c>
      <c r="L48" s="139">
        <f t="shared" si="10"/>
        <v>3</v>
      </c>
      <c r="M48" s="231">
        <v>0</v>
      </c>
      <c r="N48" s="231">
        <v>0</v>
      </c>
      <c r="O48" s="142">
        <f t="shared" si="11"/>
        <v>3</v>
      </c>
      <c r="Q48" s="284">
        <v>2</v>
      </c>
    </row>
    <row r="49" spans="2:17" ht="16" customHeight="1">
      <c r="B49" s="63">
        <v>40</v>
      </c>
      <c r="C49" s="114" t="s">
        <v>849</v>
      </c>
      <c r="D49" s="117" t="s">
        <v>867</v>
      </c>
      <c r="E49" s="140" t="s">
        <v>1363</v>
      </c>
      <c r="F49" s="118" t="s">
        <v>755</v>
      </c>
      <c r="G49" s="227">
        <v>110</v>
      </c>
      <c r="H49" s="9" t="str">
        <f>IF($F49="부록4",IFERROR(INDEX(③1일작업량DB!$H$6:$H$169,MATCH(SUBSTITUTE($C49&amp;"|"&amp;$D49,"~","~~"),③1일작업량DB!$J$6:$J$169,0)),"-"),"")</f>
        <v>본/일</v>
      </c>
      <c r="I49" s="227"/>
      <c r="J49" s="229">
        <f>IF($F49="부록4",IFERROR(INDEX(③1일작업량DB!$G$6:$G$169,MATCH(SUBSTITUTE($C49&amp;"|"&amp;$D49,"~","~~"),③1일작업량DB!$J$6:$J$169,0)),""),$I49)</f>
        <v>5</v>
      </c>
      <c r="K49" s="273">
        <f t="shared" si="9"/>
        <v>3.4</v>
      </c>
      <c r="L49" s="139">
        <f t="shared" si="10"/>
        <v>6.5</v>
      </c>
      <c r="M49" s="231">
        <v>0</v>
      </c>
      <c r="N49" s="231">
        <v>0</v>
      </c>
      <c r="O49" s="142">
        <f t="shared" si="11"/>
        <v>6.5</v>
      </c>
      <c r="Q49" s="284">
        <v>2</v>
      </c>
    </row>
    <row r="50" spans="2:17" ht="16" customHeight="1">
      <c r="B50" s="63">
        <v>41</v>
      </c>
      <c r="C50" s="114" t="s">
        <v>849</v>
      </c>
      <c r="D50" s="117" t="s">
        <v>869</v>
      </c>
      <c r="E50" s="140" t="s">
        <v>1364</v>
      </c>
      <c r="F50" s="118" t="s">
        <v>755</v>
      </c>
      <c r="G50" s="227">
        <v>110</v>
      </c>
      <c r="H50" s="9" t="str">
        <f>IF($F50="부록4",IFERROR(INDEX(③1일작업량DB!$H$6:$H$169,MATCH(SUBSTITUTE($C50&amp;"|"&amp;$D50,"~","~~"),③1일작업량DB!$J$6:$J$169,0)),"-"),"")</f>
        <v>본/일</v>
      </c>
      <c r="I50" s="227"/>
      <c r="J50" s="229">
        <f>IF($F50="부록4",IFERROR(INDEX(③1일작업량DB!$G$6:$G$169,MATCH(SUBSTITUTE($C50&amp;"|"&amp;$D50,"~","~~"),③1일작업량DB!$J$6:$J$169,0)),""),$I50)</f>
        <v>7</v>
      </c>
      <c r="K50" s="273">
        <f t="shared" si="9"/>
        <v>3.4</v>
      </c>
      <c r="L50" s="139">
        <f t="shared" si="10"/>
        <v>4.6999999999999993</v>
      </c>
      <c r="M50" s="231">
        <v>0</v>
      </c>
      <c r="N50" s="231">
        <v>0</v>
      </c>
      <c r="O50" s="142">
        <f t="shared" si="11"/>
        <v>4.6999999999999993</v>
      </c>
      <c r="Q50" s="284">
        <v>2</v>
      </c>
    </row>
    <row r="51" spans="2:17" ht="16" customHeight="1">
      <c r="B51" s="63">
        <v>42</v>
      </c>
      <c r="C51" s="114" t="s">
        <v>849</v>
      </c>
      <c r="D51" s="117" t="s">
        <v>1365</v>
      </c>
      <c r="E51" s="140" t="s">
        <v>1366</v>
      </c>
      <c r="F51" s="118" t="s">
        <v>1120</v>
      </c>
      <c r="G51" s="227">
        <v>32</v>
      </c>
      <c r="H51" s="9" t="s">
        <v>1367</v>
      </c>
      <c r="I51" s="227">
        <v>4</v>
      </c>
      <c r="J51" s="229">
        <f>IF($F51="부록4",IFERROR(INDEX(③1일작업량DB!$G$6:$G$169,MATCH(SUBSTITUTE($C51&amp;"|"&amp;$D51,"~","~~"),③1일작업량DB!$J$6:$J$169,0)),""),$I51)</f>
        <v>4</v>
      </c>
      <c r="K51" s="273">
        <f t="shared" si="9"/>
        <v>1.7</v>
      </c>
      <c r="L51" s="139">
        <f t="shared" si="10"/>
        <v>4.8</v>
      </c>
      <c r="M51" s="231">
        <v>0</v>
      </c>
      <c r="N51" s="231">
        <v>0</v>
      </c>
      <c r="O51" s="142">
        <f t="shared" si="11"/>
        <v>4.8</v>
      </c>
      <c r="Q51" s="284">
        <v>1</v>
      </c>
    </row>
    <row r="52" spans="2:17" ht="16" customHeight="1">
      <c r="B52" s="63">
        <v>43</v>
      </c>
      <c r="C52" s="114" t="s">
        <v>849</v>
      </c>
      <c r="D52" s="117" t="s">
        <v>1368</v>
      </c>
      <c r="E52" s="140" t="s">
        <v>1369</v>
      </c>
      <c r="F52" s="118" t="s">
        <v>1120</v>
      </c>
      <c r="G52" s="227">
        <v>7665.4</v>
      </c>
      <c r="H52" s="9" t="s">
        <v>841</v>
      </c>
      <c r="I52" s="227">
        <v>500</v>
      </c>
      <c r="J52" s="229">
        <f>IF($F52="부록4",IFERROR(INDEX(③1일작업량DB!$G$6:$G$169,MATCH(SUBSTITUTE($C52&amp;"|"&amp;$D52,"~","~~"),③1일작업량DB!$J$6:$J$169,0)),""),$I52)</f>
        <v>500</v>
      </c>
      <c r="K52" s="273">
        <f t="shared" si="9"/>
        <v>1.7</v>
      </c>
      <c r="L52" s="139">
        <f t="shared" si="10"/>
        <v>9.1</v>
      </c>
      <c r="M52" s="231">
        <v>0</v>
      </c>
      <c r="N52" s="231">
        <v>0</v>
      </c>
      <c r="O52" s="142">
        <f t="shared" si="11"/>
        <v>9.1</v>
      </c>
      <c r="Q52" s="284">
        <v>1</v>
      </c>
    </row>
    <row r="53" spans="2:17" ht="16" customHeight="1">
      <c r="B53" s="145"/>
      <c r="C53" s="438" t="s">
        <v>1370</v>
      </c>
      <c r="D53" s="169"/>
      <c r="E53" s="439"/>
      <c r="F53" s="149"/>
      <c r="G53" s="440"/>
      <c r="H53" s="151"/>
      <c r="I53" s="440"/>
      <c r="J53" s="441"/>
      <c r="K53" s="276"/>
      <c r="L53" s="155"/>
      <c r="M53" s="442"/>
      <c r="N53" s="442"/>
      <c r="O53" s="156">
        <f>SUM(O54:O66)</f>
        <v>49.1</v>
      </c>
      <c r="Q53" s="284"/>
    </row>
    <row r="54" spans="2:17" ht="16" customHeight="1">
      <c r="B54" s="63">
        <v>44</v>
      </c>
      <c r="C54" s="114" t="s">
        <v>849</v>
      </c>
      <c r="D54" s="117" t="s">
        <v>850</v>
      </c>
      <c r="E54" s="140" t="s">
        <v>1371</v>
      </c>
      <c r="F54" s="118" t="s">
        <v>755</v>
      </c>
      <c r="G54" s="227">
        <v>1092.2</v>
      </c>
      <c r="H54" s="9" t="str">
        <f>IF($F54="부록4",IFERROR(INDEX(③1일작업량DB!$H$6:$H$169,MATCH(SUBSTITUTE($C54&amp;"|"&amp;$D54,"~","~~"),③1일작업량DB!$J$6:$J$169,0)),"-"),"")</f>
        <v>m/일</v>
      </c>
      <c r="I54" s="227"/>
      <c r="J54" s="229">
        <f>IF($F54="부록4",IFERROR(INDEX(③1일작업량DB!$G$6:$G$169,MATCH(SUBSTITUTE($C54&amp;"|"&amp;$D54,"~","~~"),③1일작업량DB!$J$6:$J$169,0)),""),$I54)</f>
        <v>85</v>
      </c>
      <c r="K54" s="273">
        <f t="shared" ref="K54:K66" si="12">$R$3*$Q54</f>
        <v>1.7</v>
      </c>
      <c r="L54" s="139">
        <f t="shared" ref="L54:L66" si="13">IFERROR(IF(AND($G54&gt;0,$J54&gt;0,$K54&gt;0),ROUNDUP($G54/($J54*$K54),1),0),0)</f>
        <v>7.6</v>
      </c>
      <c r="M54" s="231">
        <v>0</v>
      </c>
      <c r="N54" s="231">
        <v>0</v>
      </c>
      <c r="O54" s="142">
        <f t="shared" ref="O54:O66" si="14">$L54+$M54+$N54</f>
        <v>7.6</v>
      </c>
      <c r="Q54" s="284">
        <v>1</v>
      </c>
    </row>
    <row r="55" spans="2:17" ht="16" customHeight="1">
      <c r="B55" s="63">
        <v>45</v>
      </c>
      <c r="C55" s="114" t="s">
        <v>849</v>
      </c>
      <c r="D55" s="117" t="s">
        <v>850</v>
      </c>
      <c r="E55" s="140" t="s">
        <v>1372</v>
      </c>
      <c r="F55" s="118" t="s">
        <v>755</v>
      </c>
      <c r="G55" s="227">
        <v>46.6</v>
      </c>
      <c r="H55" s="9" t="str">
        <f>IF($F55="부록4",IFERROR(INDEX(③1일작업량DB!$H$6:$H$169,MATCH(SUBSTITUTE($C55&amp;"|"&amp;$D55,"~","~~"),③1일작업량DB!$J$6:$J$169,0)),"-"),"")</f>
        <v>m/일</v>
      </c>
      <c r="I55" s="227"/>
      <c r="J55" s="229">
        <f>IF($F55="부록4",IFERROR(INDEX(③1일작업량DB!$G$6:$G$169,MATCH(SUBSTITUTE($C55&amp;"|"&amp;$D55,"~","~~"),③1일작업량DB!$J$6:$J$169,0)),""),$I55)</f>
        <v>85</v>
      </c>
      <c r="K55" s="273">
        <f t="shared" si="12"/>
        <v>1.7</v>
      </c>
      <c r="L55" s="139">
        <f t="shared" si="13"/>
        <v>0.4</v>
      </c>
      <c r="M55" s="231">
        <v>0</v>
      </c>
      <c r="N55" s="231">
        <v>0</v>
      </c>
      <c r="O55" s="142">
        <f t="shared" si="14"/>
        <v>0.4</v>
      </c>
      <c r="Q55" s="284">
        <v>1</v>
      </c>
    </row>
    <row r="56" spans="2:17" ht="16" customHeight="1">
      <c r="B56" s="63">
        <v>46</v>
      </c>
      <c r="C56" s="114" t="s">
        <v>849</v>
      </c>
      <c r="D56" s="117" t="s">
        <v>852</v>
      </c>
      <c r="E56" s="140" t="s">
        <v>1373</v>
      </c>
      <c r="F56" s="118" t="s">
        <v>755</v>
      </c>
      <c r="G56" s="227">
        <v>166</v>
      </c>
      <c r="H56" s="9" t="str">
        <f>IF($F56="부록4",IFERROR(INDEX(③1일작업량DB!$H$6:$H$169,MATCH(SUBSTITUTE($C56&amp;"|"&amp;$D56,"~","~~"),③1일작업량DB!$J$6:$J$169,0)),"-"),"")</f>
        <v>본/일</v>
      </c>
      <c r="I56" s="227"/>
      <c r="J56" s="229">
        <f>IF($F56="부록4",IFERROR(INDEX(③1일작업량DB!$G$6:$G$169,MATCH(SUBSTITUTE($C56&amp;"|"&amp;$D56,"~","~~"),③1일작업량DB!$J$6:$J$169,0)),""),$I56)</f>
        <v>10</v>
      </c>
      <c r="K56" s="273">
        <f t="shared" si="12"/>
        <v>1.7</v>
      </c>
      <c r="L56" s="139">
        <f t="shared" si="13"/>
        <v>9.7999999999999989</v>
      </c>
      <c r="M56" s="231">
        <v>0</v>
      </c>
      <c r="N56" s="231">
        <v>0</v>
      </c>
      <c r="O56" s="142">
        <f t="shared" si="14"/>
        <v>9.7999999999999989</v>
      </c>
      <c r="Q56" s="284">
        <v>1</v>
      </c>
    </row>
    <row r="57" spans="2:17" ht="16" customHeight="1">
      <c r="B57" s="63">
        <v>47</v>
      </c>
      <c r="C57" s="114" t="s">
        <v>849</v>
      </c>
      <c r="D57" s="117" t="s">
        <v>855</v>
      </c>
      <c r="E57" s="140" t="s">
        <v>1374</v>
      </c>
      <c r="F57" s="118" t="s">
        <v>755</v>
      </c>
      <c r="G57" s="227">
        <v>166</v>
      </c>
      <c r="H57" s="9" t="str">
        <f>IF($F57="부록4",IFERROR(INDEX(③1일작업량DB!$H$6:$H$169,MATCH(SUBSTITUTE($C57&amp;"|"&amp;$D57,"~","~~"),③1일작업량DB!$J$6:$J$169,0)),"-"),"")</f>
        <v>본/일</v>
      </c>
      <c r="I57" s="227"/>
      <c r="J57" s="229">
        <f>IF($F57="부록4",IFERROR(INDEX(③1일작업량DB!$G$6:$G$169,MATCH(SUBSTITUTE($C57&amp;"|"&amp;$D57,"~","~~"),③1일작업량DB!$J$6:$J$169,0)),""),$I57)</f>
        <v>12</v>
      </c>
      <c r="K57" s="273">
        <f t="shared" si="12"/>
        <v>1.7</v>
      </c>
      <c r="L57" s="139">
        <f t="shared" si="13"/>
        <v>8.1999999999999993</v>
      </c>
      <c r="M57" s="231">
        <v>0</v>
      </c>
      <c r="N57" s="231">
        <v>0</v>
      </c>
      <c r="O57" s="142">
        <f t="shared" si="14"/>
        <v>8.1999999999999993</v>
      </c>
      <c r="Q57" s="284">
        <v>1</v>
      </c>
    </row>
    <row r="58" spans="2:17" ht="16" customHeight="1">
      <c r="B58" s="63">
        <v>48</v>
      </c>
      <c r="C58" s="114" t="s">
        <v>849</v>
      </c>
      <c r="D58" s="117" t="s">
        <v>857</v>
      </c>
      <c r="E58" s="140" t="s">
        <v>1375</v>
      </c>
      <c r="F58" s="118" t="s">
        <v>755</v>
      </c>
      <c r="G58" s="227">
        <v>985</v>
      </c>
      <c r="H58" s="9" t="str">
        <f>IF($F58="부록4",IFERROR(INDEX(③1일작업량DB!$H$6:$H$169,MATCH(SUBSTITUTE($C58&amp;"|"&amp;$D58,"~","~~"),③1일작업량DB!$J$6:$J$169,0)),"-"),"")</f>
        <v>m/일</v>
      </c>
      <c r="I58" s="227"/>
      <c r="J58" s="229">
        <f>IF($F58="부록4",IFERROR(INDEX(③1일작업량DB!$G$6:$G$169,MATCH(SUBSTITUTE($C58&amp;"|"&amp;$D58,"~","~~"),③1일작업량DB!$J$6:$J$169,0)),""),$I58)</f>
        <v>200</v>
      </c>
      <c r="K58" s="273">
        <f t="shared" si="12"/>
        <v>1.7</v>
      </c>
      <c r="L58" s="139">
        <f t="shared" si="13"/>
        <v>2.9</v>
      </c>
      <c r="M58" s="231">
        <v>0</v>
      </c>
      <c r="N58" s="231">
        <v>0</v>
      </c>
      <c r="O58" s="142">
        <f t="shared" si="14"/>
        <v>2.9</v>
      </c>
      <c r="Q58" s="284">
        <v>1</v>
      </c>
    </row>
    <row r="59" spans="2:17" ht="16" customHeight="1">
      <c r="B59" s="63">
        <v>49</v>
      </c>
      <c r="C59" s="114" t="s">
        <v>849</v>
      </c>
      <c r="D59" s="117" t="s">
        <v>859</v>
      </c>
      <c r="E59" s="140" t="s">
        <v>1376</v>
      </c>
      <c r="F59" s="118" t="s">
        <v>755</v>
      </c>
      <c r="G59" s="227">
        <v>244.2</v>
      </c>
      <c r="H59" s="9" t="str">
        <f>IF($F59="부록4",IFERROR(INDEX(③1일작업량DB!$H$6:$H$169,MATCH(SUBSTITUTE($C59&amp;"|"&amp;$D59,"~","~~"),③1일작업량DB!$J$6:$J$169,0)),"-"),"")</f>
        <v>m/일</v>
      </c>
      <c r="I59" s="227"/>
      <c r="J59" s="229">
        <f>IF($F59="부록4",IFERROR(INDEX(③1일작업량DB!$G$6:$G$169,MATCH(SUBSTITUTE($C59&amp;"|"&amp;$D59,"~","~~"),③1일작업량DB!$J$6:$J$169,0)),""),$I59)</f>
        <v>85</v>
      </c>
      <c r="K59" s="273">
        <f t="shared" si="12"/>
        <v>1.7</v>
      </c>
      <c r="L59" s="139">
        <f t="shared" si="13"/>
        <v>1.7000000000000002</v>
      </c>
      <c r="M59" s="231">
        <v>0</v>
      </c>
      <c r="N59" s="231">
        <v>0</v>
      </c>
      <c r="O59" s="142">
        <f t="shared" si="14"/>
        <v>1.7000000000000002</v>
      </c>
      <c r="Q59" s="284">
        <v>1</v>
      </c>
    </row>
    <row r="60" spans="2:17" ht="16" customHeight="1">
      <c r="B60" s="63">
        <v>50</v>
      </c>
      <c r="C60" s="114" t="s">
        <v>849</v>
      </c>
      <c r="D60" s="117" t="s">
        <v>861</v>
      </c>
      <c r="E60" s="140" t="s">
        <v>1377</v>
      </c>
      <c r="F60" s="118" t="s">
        <v>755</v>
      </c>
      <c r="G60" s="227">
        <v>33</v>
      </c>
      <c r="H60" s="9" t="str">
        <f>IF($F60="부록4",IFERROR(INDEX(③1일작업량DB!$H$6:$H$169,MATCH(SUBSTITUTE($C60&amp;"|"&amp;$D60,"~","~~"),③1일작업량DB!$J$6:$J$169,0)),"-"),"")</f>
        <v>본/일</v>
      </c>
      <c r="I60" s="227"/>
      <c r="J60" s="229">
        <f>IF($F60="부록4",IFERROR(INDEX(③1일작업량DB!$G$6:$G$169,MATCH(SUBSTITUTE($C60&amp;"|"&amp;$D60,"~","~~"),③1일작업량DB!$J$6:$J$169,0)),""),$I60)</f>
        <v>10</v>
      </c>
      <c r="K60" s="273">
        <f t="shared" si="12"/>
        <v>1.7</v>
      </c>
      <c r="L60" s="139">
        <f t="shared" si="13"/>
        <v>2</v>
      </c>
      <c r="M60" s="231">
        <v>0</v>
      </c>
      <c r="N60" s="231">
        <v>0</v>
      </c>
      <c r="O60" s="142">
        <f t="shared" si="14"/>
        <v>2</v>
      </c>
      <c r="Q60" s="284">
        <v>1</v>
      </c>
    </row>
    <row r="61" spans="2:17" ht="16" customHeight="1">
      <c r="B61" s="63">
        <v>51</v>
      </c>
      <c r="C61" s="114" t="s">
        <v>849</v>
      </c>
      <c r="D61" s="117" t="s">
        <v>862</v>
      </c>
      <c r="E61" s="140" t="s">
        <v>1378</v>
      </c>
      <c r="F61" s="118" t="s">
        <v>755</v>
      </c>
      <c r="G61" s="227">
        <v>33</v>
      </c>
      <c r="H61" s="9" t="str">
        <f>IF($F61="부록4",IFERROR(INDEX(③1일작업량DB!$H$6:$H$169,MATCH(SUBSTITUTE($C61&amp;"|"&amp;$D61,"~","~~"),③1일작업량DB!$J$6:$J$169,0)),"-"),"")</f>
        <v>본/일</v>
      </c>
      <c r="I61" s="227"/>
      <c r="J61" s="229">
        <f>IF($F61="부록4",IFERROR(INDEX(③1일작업량DB!$G$6:$G$169,MATCH(SUBSTITUTE($C61&amp;"|"&amp;$D61,"~","~~"),③1일작업량DB!$J$6:$J$169,0)),""),$I61)</f>
        <v>12</v>
      </c>
      <c r="K61" s="273">
        <f t="shared" si="12"/>
        <v>1.7</v>
      </c>
      <c r="L61" s="139">
        <f t="shared" si="13"/>
        <v>1.7000000000000002</v>
      </c>
      <c r="M61" s="231">
        <v>0</v>
      </c>
      <c r="N61" s="231">
        <v>0</v>
      </c>
      <c r="O61" s="142">
        <f t="shared" si="14"/>
        <v>1.7000000000000002</v>
      </c>
      <c r="Q61" s="284">
        <v>1</v>
      </c>
    </row>
    <row r="62" spans="2:17" ht="16" customHeight="1">
      <c r="B62" s="63">
        <v>52</v>
      </c>
      <c r="C62" s="114" t="s">
        <v>849</v>
      </c>
      <c r="D62" s="117" t="s">
        <v>1118</v>
      </c>
      <c r="E62" s="140" t="s">
        <v>1379</v>
      </c>
      <c r="F62" s="118" t="s">
        <v>1120</v>
      </c>
      <c r="G62" s="227">
        <v>283.2</v>
      </c>
      <c r="H62" s="9" t="s">
        <v>833</v>
      </c>
      <c r="I62" s="227">
        <v>40</v>
      </c>
      <c r="J62" s="229">
        <f>IF($F62="부록4",IFERROR(INDEX(③1일작업량DB!$G$6:$G$169,MATCH(SUBSTITUTE($C62&amp;"|"&amp;$D62,"~","~~"),③1일작업량DB!$J$6:$J$169,0)),""),$I62)</f>
        <v>40</v>
      </c>
      <c r="K62" s="273">
        <f t="shared" si="12"/>
        <v>1.7</v>
      </c>
      <c r="L62" s="139">
        <f t="shared" si="13"/>
        <v>4.1999999999999993</v>
      </c>
      <c r="M62" s="231">
        <v>0</v>
      </c>
      <c r="N62" s="231">
        <v>0</v>
      </c>
      <c r="O62" s="142">
        <f t="shared" si="14"/>
        <v>4.1999999999999993</v>
      </c>
      <c r="Q62" s="284">
        <v>1</v>
      </c>
    </row>
    <row r="63" spans="2:17" ht="16" customHeight="1">
      <c r="B63" s="63">
        <v>53</v>
      </c>
      <c r="C63" s="114" t="s">
        <v>849</v>
      </c>
      <c r="D63" s="117" t="s">
        <v>863</v>
      </c>
      <c r="E63" s="140" t="s">
        <v>1380</v>
      </c>
      <c r="F63" s="118" t="s">
        <v>755</v>
      </c>
      <c r="G63" s="227">
        <v>26</v>
      </c>
      <c r="H63" s="9" t="str">
        <f>IF($F63="부록4",IFERROR(INDEX(③1일작업량DB!$H$6:$H$169,MATCH(SUBSTITUTE($C63&amp;"|"&amp;$D63,"~","~~"),③1일작업량DB!$J$6:$J$169,0)),"-"),"")</f>
        <v>본/일</v>
      </c>
      <c r="I63" s="227"/>
      <c r="J63" s="229">
        <f>IF($F63="부록4",IFERROR(INDEX(③1일작업량DB!$G$6:$G$169,MATCH(SUBSTITUTE($C63&amp;"|"&amp;$D63,"~","~~"),③1일작업량DB!$J$6:$J$169,0)),""),$I63)</f>
        <v>6</v>
      </c>
      <c r="K63" s="273">
        <f t="shared" si="12"/>
        <v>1.7</v>
      </c>
      <c r="L63" s="139">
        <f t="shared" si="13"/>
        <v>2.6</v>
      </c>
      <c r="M63" s="231">
        <v>0</v>
      </c>
      <c r="N63" s="231">
        <v>0</v>
      </c>
      <c r="O63" s="142">
        <f t="shared" si="14"/>
        <v>2.6</v>
      </c>
      <c r="Q63" s="284">
        <v>1</v>
      </c>
    </row>
    <row r="64" spans="2:17" ht="16" customHeight="1">
      <c r="B64" s="63">
        <v>54</v>
      </c>
      <c r="C64" s="114" t="s">
        <v>849</v>
      </c>
      <c r="D64" s="117" t="s">
        <v>865</v>
      </c>
      <c r="E64" s="140" t="s">
        <v>1381</v>
      </c>
      <c r="F64" s="118" t="s">
        <v>755</v>
      </c>
      <c r="G64" s="227">
        <v>26</v>
      </c>
      <c r="H64" s="9" t="str">
        <f>IF($F64="부록4",IFERROR(INDEX(③1일작업량DB!$H$6:$H$169,MATCH(SUBSTITUTE($C64&amp;"|"&amp;$D64,"~","~~"),③1일작업량DB!$J$6:$J$169,0)),"-"),"")</f>
        <v>본/일</v>
      </c>
      <c r="I64" s="227"/>
      <c r="J64" s="229">
        <f>IF($F64="부록4",IFERROR(INDEX(③1일작업량DB!$G$6:$G$169,MATCH(SUBSTITUTE($C64&amp;"|"&amp;$D64,"~","~~"),③1일작업량DB!$J$6:$J$169,0)),""),$I64)</f>
        <v>8</v>
      </c>
      <c r="K64" s="273">
        <f t="shared" si="12"/>
        <v>1.7</v>
      </c>
      <c r="L64" s="139">
        <f t="shared" si="13"/>
        <v>2</v>
      </c>
      <c r="M64" s="231">
        <v>0</v>
      </c>
      <c r="N64" s="231">
        <v>0</v>
      </c>
      <c r="O64" s="142">
        <f t="shared" si="14"/>
        <v>2</v>
      </c>
      <c r="Q64" s="284">
        <v>1</v>
      </c>
    </row>
    <row r="65" spans="2:17" ht="16" customHeight="1">
      <c r="B65" s="63">
        <v>55</v>
      </c>
      <c r="C65" s="114" t="s">
        <v>849</v>
      </c>
      <c r="D65" s="117" t="s">
        <v>871</v>
      </c>
      <c r="E65" s="140" t="s">
        <v>1382</v>
      </c>
      <c r="F65" s="118" t="s">
        <v>755</v>
      </c>
      <c r="G65" s="227">
        <v>24</v>
      </c>
      <c r="H65" s="9" t="str">
        <f>IF($F65="부록4",IFERROR(INDEX(③1일작업량DB!$H$6:$H$169,MATCH(SUBSTITUTE($C65&amp;"|"&amp;$D65,"~","~~"),③1일작업량DB!$J$6:$J$169,0)),"-"),"")</f>
        <v>본/일</v>
      </c>
      <c r="I65" s="227"/>
      <c r="J65" s="229">
        <f>IF($F65="부록4",IFERROR(INDEX(③1일작업량DB!$G$6:$G$169,MATCH(SUBSTITUTE($C65&amp;"|"&amp;$D65,"~","~~"),③1일작업량DB!$J$6:$J$169,0)),""),$I65)</f>
        <v>6</v>
      </c>
      <c r="K65" s="273">
        <f t="shared" si="12"/>
        <v>1.7</v>
      </c>
      <c r="L65" s="139">
        <f t="shared" si="13"/>
        <v>2.4</v>
      </c>
      <c r="M65" s="231">
        <v>0</v>
      </c>
      <c r="N65" s="231">
        <v>0</v>
      </c>
      <c r="O65" s="142">
        <f t="shared" si="14"/>
        <v>2.4</v>
      </c>
      <c r="Q65" s="284">
        <v>1</v>
      </c>
    </row>
    <row r="66" spans="2:17" ht="16" customHeight="1">
      <c r="B66" s="63">
        <v>56</v>
      </c>
      <c r="C66" s="114" t="s">
        <v>849</v>
      </c>
      <c r="D66" s="117" t="s">
        <v>881</v>
      </c>
      <c r="E66" s="140" t="s">
        <v>1383</v>
      </c>
      <c r="F66" s="118" t="s">
        <v>755</v>
      </c>
      <c r="G66" s="227">
        <v>12</v>
      </c>
      <c r="H66" s="9" t="str">
        <f>IF($F66="부록4",IFERROR(INDEX(③1일작업량DB!$H$6:$H$169,MATCH(SUBSTITUTE($C66&amp;"|"&amp;$D66,"~","~~"),③1일작업량DB!$J$6:$J$169,0)),"-"),"")</f>
        <v>개소/일</v>
      </c>
      <c r="I66" s="227"/>
      <c r="J66" s="229">
        <f>IF($F66="부록4",IFERROR(INDEX(③1일작업량DB!$G$6:$G$169,MATCH(SUBSTITUTE($C66&amp;"|"&amp;$D66,"~","~~"),③1일작업량DB!$J$6:$J$169,0)),""),$I66)</f>
        <v>2</v>
      </c>
      <c r="K66" s="273">
        <f t="shared" si="12"/>
        <v>1.7</v>
      </c>
      <c r="L66" s="139">
        <f t="shared" si="13"/>
        <v>3.6</v>
      </c>
      <c r="M66" s="231">
        <v>0</v>
      </c>
      <c r="N66" s="231">
        <v>0</v>
      </c>
      <c r="O66" s="142">
        <f t="shared" si="14"/>
        <v>3.6</v>
      </c>
      <c r="Q66" s="284">
        <v>1</v>
      </c>
    </row>
    <row r="67" spans="2:17" ht="16" customHeight="1">
      <c r="B67" s="145"/>
      <c r="C67" s="438" t="s">
        <v>1384</v>
      </c>
      <c r="D67" s="169"/>
      <c r="E67" s="439"/>
      <c r="F67" s="149"/>
      <c r="G67" s="440"/>
      <c r="H67" s="151"/>
      <c r="I67" s="440"/>
      <c r="J67" s="441"/>
      <c r="K67" s="276"/>
      <c r="L67" s="155"/>
      <c r="M67" s="442"/>
      <c r="N67" s="442"/>
      <c r="O67" s="156">
        <f>SUM(O68:O81)</f>
        <v>100.10000000000001</v>
      </c>
      <c r="Q67" s="284"/>
    </row>
    <row r="68" spans="2:17" ht="16" customHeight="1">
      <c r="B68" s="63">
        <v>57</v>
      </c>
      <c r="C68" s="114" t="s">
        <v>291</v>
      </c>
      <c r="D68" s="117" t="s">
        <v>893</v>
      </c>
      <c r="E68" s="140" t="s">
        <v>1385</v>
      </c>
      <c r="F68" s="118" t="s">
        <v>755</v>
      </c>
      <c r="G68" s="227">
        <v>13287.4</v>
      </c>
      <c r="H68" s="9" t="str">
        <f>IF($F68="부록4",IFERROR(INDEX(③1일작업량DB!$H$6:$H$169,MATCH(SUBSTITUTE($C68&amp;"|"&amp;$D68,"~","~~"),③1일작업량DB!$J$6:$J$169,0)),"-"),"")</f>
        <v>m/일</v>
      </c>
      <c r="I68" s="227"/>
      <c r="J68" s="229">
        <f>IF($F68="부록4",IFERROR(INDEX(③1일작업량DB!$G$6:$G$169,MATCH(SUBSTITUTE($C68&amp;"|"&amp;$D68,"~","~~"),③1일작업량DB!$J$6:$J$169,0)),""),$I68)</f>
        <v>120</v>
      </c>
      <c r="K68" s="273">
        <f t="shared" ref="K68:K81" si="15">$R$3*$Q68</f>
        <v>5.0999999999999996</v>
      </c>
      <c r="L68" s="139">
        <f t="shared" ref="L68:L81" si="16">IFERROR(IF(AND($G68&gt;0,$J68&gt;0,$K68&gt;0),ROUNDUP($G68/($J68*$K68),1),0),0)</f>
        <v>21.8</v>
      </c>
      <c r="M68" s="231">
        <v>0</v>
      </c>
      <c r="N68" s="231">
        <v>0</v>
      </c>
      <c r="O68" s="142">
        <f t="shared" ref="O68:O81" si="17">$L68+$M68+$N68</f>
        <v>21.8</v>
      </c>
      <c r="Q68" s="284">
        <v>3</v>
      </c>
    </row>
    <row r="69" spans="2:17" ht="16" customHeight="1">
      <c r="B69" s="63">
        <v>58</v>
      </c>
      <c r="C69" s="114" t="s">
        <v>291</v>
      </c>
      <c r="D69" s="117" t="s">
        <v>895</v>
      </c>
      <c r="E69" s="140" t="s">
        <v>1386</v>
      </c>
      <c r="F69" s="118" t="s">
        <v>755</v>
      </c>
      <c r="G69" s="227">
        <v>2064.4699999999998</v>
      </c>
      <c r="H69" s="9" t="str">
        <f>IF($F69="부록4",IFERROR(INDEX(③1일작업량DB!$H$6:$H$169,MATCH(SUBSTITUTE($C69&amp;"|"&amp;$D69,"~","~~"),③1일작업량DB!$J$6:$J$169,0)),"-"),"")</f>
        <v>㎥/일</v>
      </c>
      <c r="I69" s="227"/>
      <c r="J69" s="229">
        <f>IF($F69="부록4",IFERROR(INDEX(③1일작업량DB!$G$6:$G$169,MATCH(SUBSTITUTE($C69&amp;"|"&amp;$D69,"~","~~"),③1일작업량DB!$J$6:$J$169,0)),""),$I69)</f>
        <v>60</v>
      </c>
      <c r="K69" s="273">
        <f t="shared" si="15"/>
        <v>3.4</v>
      </c>
      <c r="L69" s="139">
        <f t="shared" si="16"/>
        <v>10.199999999999999</v>
      </c>
      <c r="M69" s="231">
        <v>0</v>
      </c>
      <c r="N69" s="231">
        <v>0</v>
      </c>
      <c r="O69" s="142">
        <f t="shared" si="17"/>
        <v>10.199999999999999</v>
      </c>
      <c r="Q69" s="284">
        <v>2</v>
      </c>
    </row>
    <row r="70" spans="2:17" ht="16" customHeight="1">
      <c r="B70" s="63">
        <v>59</v>
      </c>
      <c r="C70" s="114" t="s">
        <v>291</v>
      </c>
      <c r="D70" s="117" t="s">
        <v>292</v>
      </c>
      <c r="E70" s="140" t="s">
        <v>1387</v>
      </c>
      <c r="F70" s="118" t="s">
        <v>755</v>
      </c>
      <c r="G70" s="227">
        <v>4526.0600000000004</v>
      </c>
      <c r="H70" s="9" t="str">
        <f>IF($F70="부록4",IFERROR(INDEX(③1일작업량DB!$H$6:$H$169,MATCH(SUBSTITUTE($C70&amp;"|"&amp;$D70,"~","~~"),③1일작업량DB!$J$6:$J$169,0)),"-"),"")</f>
        <v>㎥/일</v>
      </c>
      <c r="I70" s="227"/>
      <c r="J70" s="229">
        <f>IF($F70="부록4",IFERROR(INDEX(③1일작업량DB!$G$6:$G$169,MATCH(SUBSTITUTE($C70&amp;"|"&amp;$D70,"~","~~"),③1일작업량DB!$J$6:$J$169,0)),""),$I70)</f>
        <v>550</v>
      </c>
      <c r="K70" s="273">
        <f t="shared" si="15"/>
        <v>1.7</v>
      </c>
      <c r="L70" s="139">
        <f t="shared" si="16"/>
        <v>4.8999999999999995</v>
      </c>
      <c r="M70" s="231">
        <v>0</v>
      </c>
      <c r="N70" s="231">
        <v>0</v>
      </c>
      <c r="O70" s="142">
        <f t="shared" si="17"/>
        <v>4.8999999999999995</v>
      </c>
      <c r="Q70" s="284">
        <v>1</v>
      </c>
    </row>
    <row r="71" spans="2:17" ht="16" customHeight="1">
      <c r="B71" s="63">
        <v>60</v>
      </c>
      <c r="C71" s="114" t="s">
        <v>291</v>
      </c>
      <c r="D71" s="117" t="s">
        <v>897</v>
      </c>
      <c r="E71" s="140" t="s">
        <v>1388</v>
      </c>
      <c r="F71" s="118" t="s">
        <v>755</v>
      </c>
      <c r="G71" s="227">
        <v>8189.39</v>
      </c>
      <c r="H71" s="9" t="str">
        <f>IF($F71="부록4",IFERROR(INDEX(③1일작업량DB!$H$6:$H$169,MATCH(SUBSTITUTE($C71&amp;"|"&amp;$D71,"~","~~"),③1일작업량DB!$J$6:$J$169,0)),"-"),"")</f>
        <v>㎡/일</v>
      </c>
      <c r="I71" s="227"/>
      <c r="J71" s="229">
        <f>IF($F71="부록4",IFERROR(INDEX(③1일작업량DB!$G$6:$G$169,MATCH(SUBSTITUTE($C71&amp;"|"&amp;$D71,"~","~~"),③1일작업량DB!$J$6:$J$169,0)),""),$I71)</f>
        <v>3000</v>
      </c>
      <c r="K71" s="273">
        <f t="shared" si="15"/>
        <v>1.7</v>
      </c>
      <c r="L71" s="139">
        <f t="shared" si="16"/>
        <v>1.7000000000000002</v>
      </c>
      <c r="M71" s="231">
        <v>0</v>
      </c>
      <c r="N71" s="231">
        <v>0</v>
      </c>
      <c r="O71" s="142">
        <f t="shared" si="17"/>
        <v>1.7000000000000002</v>
      </c>
      <c r="Q71" s="284">
        <v>1</v>
      </c>
    </row>
    <row r="72" spans="2:17" ht="16" customHeight="1">
      <c r="B72" s="63">
        <v>61</v>
      </c>
      <c r="C72" s="114" t="s">
        <v>291</v>
      </c>
      <c r="D72" s="117" t="s">
        <v>761</v>
      </c>
      <c r="E72" s="140" t="s">
        <v>1389</v>
      </c>
      <c r="F72" s="118" t="s">
        <v>755</v>
      </c>
      <c r="G72" s="227">
        <v>8189.39</v>
      </c>
      <c r="H72" s="9" t="str">
        <f>IF($F72="부록4",IFERROR(INDEX(③1일작업량DB!$H$6:$H$169,MATCH(SUBSTITUTE($C72&amp;"|"&amp;$D72,"~","~~"),③1일작업량DB!$J$6:$J$169,0)),"-"),"")</f>
        <v>㎡/일</v>
      </c>
      <c r="I72" s="227"/>
      <c r="J72" s="229">
        <f>IF($F72="부록4",IFERROR(INDEX(③1일작업량DB!$G$6:$G$169,MATCH(SUBSTITUTE($C72&amp;"|"&amp;$D72,"~","~~"),③1일작업량DB!$J$6:$J$169,0)),""),$I72)</f>
        <v>4500</v>
      </c>
      <c r="K72" s="273">
        <f t="shared" si="15"/>
        <v>1.7</v>
      </c>
      <c r="L72" s="139">
        <f t="shared" si="16"/>
        <v>1.1000000000000001</v>
      </c>
      <c r="M72" s="231">
        <v>0</v>
      </c>
      <c r="N72" s="231">
        <v>0</v>
      </c>
      <c r="O72" s="142">
        <f t="shared" si="17"/>
        <v>1.1000000000000001</v>
      </c>
      <c r="Q72" s="284">
        <v>1</v>
      </c>
    </row>
    <row r="73" spans="2:17" ht="16" customHeight="1">
      <c r="B73" s="63">
        <v>62</v>
      </c>
      <c r="C73" s="114" t="s">
        <v>291</v>
      </c>
      <c r="D73" s="117" t="s">
        <v>899</v>
      </c>
      <c r="E73" s="140" t="s">
        <v>1390</v>
      </c>
      <c r="F73" s="118" t="s">
        <v>755</v>
      </c>
      <c r="G73" s="227">
        <v>25310.18</v>
      </c>
      <c r="H73" s="9" t="str">
        <f>IF($F73="부록4",IFERROR(INDEX(③1일작업량DB!$H$6:$H$169,MATCH(SUBSTITUTE($C73&amp;"|"&amp;$D73,"~","~~"),③1일작업량DB!$J$6:$J$169,0)),"-"),"")</f>
        <v>㎡/일</v>
      </c>
      <c r="I73" s="227"/>
      <c r="J73" s="229">
        <f>IF($F73="부록4",IFERROR(INDEX(③1일작업량DB!$G$6:$G$169,MATCH(SUBSTITUTE($C73&amp;"|"&amp;$D73,"~","~~"),③1일작업량DB!$J$6:$J$169,0)),""),$I73)</f>
        <v>3000</v>
      </c>
      <c r="K73" s="273">
        <f t="shared" si="15"/>
        <v>1.7</v>
      </c>
      <c r="L73" s="139">
        <f t="shared" si="16"/>
        <v>5</v>
      </c>
      <c r="M73" s="231">
        <v>0</v>
      </c>
      <c r="N73" s="231">
        <v>0</v>
      </c>
      <c r="O73" s="142">
        <f t="shared" si="17"/>
        <v>5</v>
      </c>
      <c r="Q73" s="284">
        <v>1</v>
      </c>
    </row>
    <row r="74" spans="2:17" ht="16" customHeight="1">
      <c r="B74" s="63">
        <v>63</v>
      </c>
      <c r="C74" s="114" t="s">
        <v>291</v>
      </c>
      <c r="D74" s="117" t="s">
        <v>1036</v>
      </c>
      <c r="E74" s="140" t="s">
        <v>1391</v>
      </c>
      <c r="F74" s="118" t="s">
        <v>755</v>
      </c>
      <c r="G74" s="227">
        <v>21212.98</v>
      </c>
      <c r="H74" s="9" t="str">
        <f>IF($F74="부록4",IFERROR(INDEX(③1일작업량DB!$H$6:$H$169,MATCH(SUBSTITUTE($C74&amp;"|"&amp;$D74,"~","~~"),③1일작업량DB!$J$6:$J$169,0)),"-"),"")</f>
        <v>㎡/일</v>
      </c>
      <c r="I74" s="227"/>
      <c r="J74" s="229">
        <f>IF($F74="부록4",IFERROR(INDEX(③1일작업량DB!$G$6:$G$169,MATCH(SUBSTITUTE($C74&amp;"|"&amp;$D74,"~","~~"),③1일작업량DB!$J$6:$J$169,0)),""),$I74)</f>
        <v>4800</v>
      </c>
      <c r="K74" s="273">
        <f t="shared" si="15"/>
        <v>1.7</v>
      </c>
      <c r="L74" s="139">
        <f t="shared" si="16"/>
        <v>2.6</v>
      </c>
      <c r="M74" s="231">
        <v>0</v>
      </c>
      <c r="N74" s="231">
        <v>0</v>
      </c>
      <c r="O74" s="142">
        <f t="shared" si="17"/>
        <v>2.6</v>
      </c>
      <c r="Q74" s="284">
        <v>1</v>
      </c>
    </row>
    <row r="75" spans="2:17" ht="16" customHeight="1">
      <c r="B75" s="63">
        <v>64</v>
      </c>
      <c r="C75" s="114" t="s">
        <v>291</v>
      </c>
      <c r="D75" s="117" t="s">
        <v>1210</v>
      </c>
      <c r="E75" s="140" t="s">
        <v>1392</v>
      </c>
      <c r="F75" s="118" t="s">
        <v>1120</v>
      </c>
      <c r="G75" s="227">
        <v>21212.98</v>
      </c>
      <c r="H75" s="9" t="s">
        <v>833</v>
      </c>
      <c r="I75" s="227">
        <v>3000</v>
      </c>
      <c r="J75" s="229">
        <f>IF($F75="부록4",IFERROR(INDEX(③1일작업량DB!$G$6:$G$169,MATCH(SUBSTITUTE($C75&amp;"|"&amp;$D75,"~","~~"),③1일작업량DB!$J$6:$J$169,0)),""),$I75)</f>
        <v>3000</v>
      </c>
      <c r="K75" s="273">
        <f t="shared" si="15"/>
        <v>1.7</v>
      </c>
      <c r="L75" s="139">
        <f t="shared" si="16"/>
        <v>4.1999999999999993</v>
      </c>
      <c r="M75" s="231">
        <v>0</v>
      </c>
      <c r="N75" s="231">
        <v>0</v>
      </c>
      <c r="O75" s="142">
        <f t="shared" si="17"/>
        <v>4.1999999999999993</v>
      </c>
      <c r="Q75" s="284">
        <v>1</v>
      </c>
    </row>
    <row r="76" spans="2:17" ht="16" customHeight="1">
      <c r="B76" s="63">
        <v>65</v>
      </c>
      <c r="C76" s="114" t="s">
        <v>291</v>
      </c>
      <c r="D76" s="117" t="s">
        <v>1393</v>
      </c>
      <c r="E76" s="140" t="s">
        <v>1394</v>
      </c>
      <c r="F76" s="118" t="s">
        <v>1120</v>
      </c>
      <c r="G76" s="227">
        <v>12652.6</v>
      </c>
      <c r="H76" s="9" t="s">
        <v>833</v>
      </c>
      <c r="I76" s="227">
        <v>1000</v>
      </c>
      <c r="J76" s="229">
        <f>IF($F76="부록4",IFERROR(INDEX(③1일작업량DB!$G$6:$G$169,MATCH(SUBSTITUTE($C76&amp;"|"&amp;$D76,"~","~~"),③1일작업량DB!$J$6:$J$169,0)),""),$I76)</f>
        <v>1000</v>
      </c>
      <c r="K76" s="273">
        <f t="shared" si="15"/>
        <v>1.7</v>
      </c>
      <c r="L76" s="139">
        <f t="shared" si="16"/>
        <v>7.5</v>
      </c>
      <c r="M76" s="231">
        <v>0</v>
      </c>
      <c r="N76" s="231">
        <v>0</v>
      </c>
      <c r="O76" s="142">
        <f t="shared" si="17"/>
        <v>7.5</v>
      </c>
      <c r="Q76" s="284">
        <v>1</v>
      </c>
    </row>
    <row r="77" spans="2:17" ht="16" customHeight="1">
      <c r="B77" s="63">
        <v>66</v>
      </c>
      <c r="C77" s="114" t="s">
        <v>291</v>
      </c>
      <c r="D77" s="117" t="s">
        <v>893</v>
      </c>
      <c r="E77" s="140" t="s">
        <v>1395</v>
      </c>
      <c r="F77" s="118" t="s">
        <v>755</v>
      </c>
      <c r="G77" s="227">
        <v>3946.2</v>
      </c>
      <c r="H77" s="9" t="str">
        <f>IF($F77="부록4",IFERROR(INDEX(③1일작업량DB!$H$6:$H$169,MATCH(SUBSTITUTE($C77&amp;"|"&amp;$D77,"~","~~"),③1일작업량DB!$J$6:$J$169,0)),"-"),"")</f>
        <v>m/일</v>
      </c>
      <c r="I77" s="227"/>
      <c r="J77" s="229">
        <f>IF($F77="부록4",IFERROR(INDEX(③1일작업량DB!$G$6:$G$169,MATCH(SUBSTITUTE($C77&amp;"|"&amp;$D77,"~","~~"),③1일작업량DB!$J$6:$J$169,0)),""),$I77)</f>
        <v>120</v>
      </c>
      <c r="K77" s="273">
        <f t="shared" si="15"/>
        <v>3.4</v>
      </c>
      <c r="L77" s="139">
        <f t="shared" si="16"/>
        <v>9.6999999999999993</v>
      </c>
      <c r="M77" s="231">
        <v>0</v>
      </c>
      <c r="N77" s="231">
        <v>0</v>
      </c>
      <c r="O77" s="142">
        <f t="shared" si="17"/>
        <v>9.6999999999999993</v>
      </c>
      <c r="Q77" s="284">
        <v>2</v>
      </c>
    </row>
    <row r="78" spans="2:17" ht="16" customHeight="1">
      <c r="B78" s="63">
        <v>67</v>
      </c>
      <c r="C78" s="114" t="s">
        <v>291</v>
      </c>
      <c r="D78" s="117" t="s">
        <v>895</v>
      </c>
      <c r="E78" s="140" t="s">
        <v>1396</v>
      </c>
      <c r="F78" s="118" t="s">
        <v>755</v>
      </c>
      <c r="G78" s="227">
        <v>1325.52</v>
      </c>
      <c r="H78" s="9" t="str">
        <f>IF($F78="부록4",IFERROR(INDEX(③1일작업량DB!$H$6:$H$169,MATCH(SUBSTITUTE($C78&amp;"|"&amp;$D78,"~","~~"),③1일작업량DB!$J$6:$J$169,0)),"-"),"")</f>
        <v>㎥/일</v>
      </c>
      <c r="I78" s="227"/>
      <c r="J78" s="229">
        <f>IF($F78="부록4",IFERROR(INDEX(③1일작업량DB!$G$6:$G$169,MATCH(SUBSTITUTE($C78&amp;"|"&amp;$D78,"~","~~"),③1일작업량DB!$J$6:$J$169,0)),""),$I78)</f>
        <v>60</v>
      </c>
      <c r="K78" s="273">
        <f t="shared" si="15"/>
        <v>3.4</v>
      </c>
      <c r="L78" s="139">
        <f t="shared" si="16"/>
        <v>6.5</v>
      </c>
      <c r="M78" s="231">
        <v>0</v>
      </c>
      <c r="N78" s="231">
        <v>0</v>
      </c>
      <c r="O78" s="142">
        <f t="shared" si="17"/>
        <v>6.5</v>
      </c>
      <c r="Q78" s="284">
        <v>2</v>
      </c>
    </row>
    <row r="79" spans="2:17" ht="16" customHeight="1">
      <c r="B79" s="63">
        <v>68</v>
      </c>
      <c r="C79" s="114" t="s">
        <v>291</v>
      </c>
      <c r="D79" s="117" t="s">
        <v>292</v>
      </c>
      <c r="E79" s="140" t="s">
        <v>1397</v>
      </c>
      <c r="F79" s="118" t="s">
        <v>755</v>
      </c>
      <c r="G79" s="227">
        <v>466.43</v>
      </c>
      <c r="H79" s="9" t="str">
        <f>IF($F79="부록4",IFERROR(INDEX(③1일작업량DB!$H$6:$H$169,MATCH(SUBSTITUTE($C79&amp;"|"&amp;$D79,"~","~~"),③1일작업량DB!$J$6:$J$169,0)),"-"),"")</f>
        <v>㎥/일</v>
      </c>
      <c r="I79" s="227"/>
      <c r="J79" s="229">
        <f>IF($F79="부록4",IFERROR(INDEX(③1일작업량DB!$G$6:$G$169,MATCH(SUBSTITUTE($C79&amp;"|"&amp;$D79,"~","~~"),③1일작업량DB!$J$6:$J$169,0)),""),$I79)</f>
        <v>550</v>
      </c>
      <c r="K79" s="273">
        <f t="shared" si="15"/>
        <v>1.7</v>
      </c>
      <c r="L79" s="139">
        <f t="shared" si="16"/>
        <v>0.5</v>
      </c>
      <c r="M79" s="231">
        <v>0</v>
      </c>
      <c r="N79" s="231">
        <v>0</v>
      </c>
      <c r="O79" s="142">
        <f t="shared" si="17"/>
        <v>0.5</v>
      </c>
      <c r="Q79" s="284">
        <v>1</v>
      </c>
    </row>
    <row r="80" spans="2:17" ht="16" customHeight="1">
      <c r="B80" s="63">
        <v>69</v>
      </c>
      <c r="C80" s="114" t="s">
        <v>291</v>
      </c>
      <c r="D80" s="117" t="s">
        <v>1298</v>
      </c>
      <c r="E80" s="140" t="s">
        <v>1398</v>
      </c>
      <c r="F80" s="118" t="s">
        <v>1120</v>
      </c>
      <c r="G80" s="227">
        <v>6627.62</v>
      </c>
      <c r="H80" s="9" t="s">
        <v>833</v>
      </c>
      <c r="I80" s="227">
        <v>100</v>
      </c>
      <c r="J80" s="229">
        <f>IF($F80="부록4",IFERROR(INDEX(③1일작업량DB!$G$6:$G$169,MATCH(SUBSTITUTE($C80&amp;"|"&amp;$D80,"~","~~"),③1일작업량DB!$J$6:$J$169,0)),""),$I80)</f>
        <v>100</v>
      </c>
      <c r="K80" s="273">
        <f t="shared" si="15"/>
        <v>3.4</v>
      </c>
      <c r="L80" s="139">
        <f t="shared" si="16"/>
        <v>19.5</v>
      </c>
      <c r="M80" s="231">
        <v>0</v>
      </c>
      <c r="N80" s="231">
        <v>0</v>
      </c>
      <c r="O80" s="142">
        <f t="shared" si="17"/>
        <v>19.5</v>
      </c>
      <c r="Q80" s="284">
        <v>2</v>
      </c>
    </row>
    <row r="81" spans="2:17" ht="16" customHeight="1">
      <c r="B81" s="63">
        <v>70</v>
      </c>
      <c r="C81" s="114" t="s">
        <v>291</v>
      </c>
      <c r="D81" s="117" t="s">
        <v>905</v>
      </c>
      <c r="E81" s="140" t="s">
        <v>1399</v>
      </c>
      <c r="F81" s="118" t="s">
        <v>755</v>
      </c>
      <c r="G81" s="227">
        <v>2475.4</v>
      </c>
      <c r="H81" s="9" t="str">
        <f>IF($F81="부록4",IFERROR(INDEX(③1일작업량DB!$H$6:$H$169,MATCH(SUBSTITUTE($C81&amp;"|"&amp;$D81,"~","~~"),③1일작업량DB!$J$6:$J$169,0)),"-"),"")</f>
        <v>㎡/일</v>
      </c>
      <c r="I81" s="227"/>
      <c r="J81" s="229">
        <f>IF($F81="부록4",IFERROR(INDEX(③1일작업량DB!$G$6:$G$169,MATCH(SUBSTITUTE($C81&amp;"|"&amp;$D81,"~","~~"),③1일작업량DB!$J$6:$J$169,0)),""),$I81)</f>
        <v>300</v>
      </c>
      <c r="K81" s="273">
        <f t="shared" si="15"/>
        <v>1.7</v>
      </c>
      <c r="L81" s="139">
        <f t="shared" si="16"/>
        <v>4.8999999999999995</v>
      </c>
      <c r="M81" s="231">
        <v>0</v>
      </c>
      <c r="N81" s="231">
        <v>0</v>
      </c>
      <c r="O81" s="142">
        <f t="shared" si="17"/>
        <v>4.8999999999999995</v>
      </c>
      <c r="Q81" s="284">
        <v>1</v>
      </c>
    </row>
    <row r="82" spans="2:17" ht="16" customHeight="1">
      <c r="B82" s="145"/>
      <c r="C82" s="438" t="s">
        <v>1400</v>
      </c>
      <c r="D82" s="169"/>
      <c r="E82" s="439"/>
      <c r="F82" s="149"/>
      <c r="G82" s="440"/>
      <c r="H82" s="151"/>
      <c r="I82" s="440"/>
      <c r="J82" s="441"/>
      <c r="K82" s="276"/>
      <c r="L82" s="155"/>
      <c r="M82" s="442"/>
      <c r="N82" s="442"/>
      <c r="O82" s="156">
        <f>SUM(O83:O93)</f>
        <v>38.4</v>
      </c>
      <c r="Q82" s="284"/>
    </row>
    <row r="83" spans="2:17" ht="16" customHeight="1">
      <c r="B83" s="63">
        <v>71</v>
      </c>
      <c r="C83" s="114" t="s">
        <v>921</v>
      </c>
      <c r="D83" s="117" t="s">
        <v>1222</v>
      </c>
      <c r="E83" s="140" t="s">
        <v>1401</v>
      </c>
      <c r="F83" s="118" t="s">
        <v>1120</v>
      </c>
      <c r="G83" s="227">
        <v>9313</v>
      </c>
      <c r="H83" s="9" t="s">
        <v>1224</v>
      </c>
      <c r="I83" s="227">
        <v>100</v>
      </c>
      <c r="J83" s="229">
        <f>IF($F83="부록4",IFERROR(INDEX(③1일작업량DB!$G$6:$G$169,MATCH(SUBSTITUTE($C83&amp;"|"&amp;$D83,"~","~~"),③1일작업량DB!$J$6:$J$169,0)),""),$I83)</f>
        <v>100</v>
      </c>
      <c r="K83" s="273">
        <f t="shared" ref="K83:K93" si="18">$R$3*$Q83</f>
        <v>5.0999999999999996</v>
      </c>
      <c r="L83" s="139">
        <f t="shared" ref="L83:L93" si="19">IFERROR(IF(AND($G83&gt;0,$J83&gt;0,$K83&gt;0),ROUNDUP($G83/($J83*$K83),1),0),0)</f>
        <v>18.3</v>
      </c>
      <c r="M83" s="231">
        <v>0</v>
      </c>
      <c r="N83" s="231">
        <v>0</v>
      </c>
      <c r="O83" s="142">
        <f t="shared" ref="O83:O93" si="20">$L83+$M83+$N83</f>
        <v>18.3</v>
      </c>
      <c r="Q83" s="284">
        <v>3</v>
      </c>
    </row>
    <row r="84" spans="2:17" ht="16" customHeight="1">
      <c r="B84" s="63">
        <v>72</v>
      </c>
      <c r="C84" s="114" t="s">
        <v>921</v>
      </c>
      <c r="D84" s="117" t="s">
        <v>1402</v>
      </c>
      <c r="E84" s="140" t="s">
        <v>1403</v>
      </c>
      <c r="F84" s="118" t="s">
        <v>1120</v>
      </c>
      <c r="G84" s="227">
        <v>200</v>
      </c>
      <c r="H84" s="9" t="s">
        <v>841</v>
      </c>
      <c r="I84" s="227">
        <v>200</v>
      </c>
      <c r="J84" s="229">
        <f>IF($F84="부록4",IFERROR(INDEX(③1일작업량DB!$G$6:$G$169,MATCH(SUBSTITUTE($C84&amp;"|"&amp;$D84,"~","~~"),③1일작업량DB!$J$6:$J$169,0)),""),$I84)</f>
        <v>200</v>
      </c>
      <c r="K84" s="273">
        <f t="shared" si="18"/>
        <v>1.7</v>
      </c>
      <c r="L84" s="139">
        <f t="shared" si="19"/>
        <v>0.6</v>
      </c>
      <c r="M84" s="231">
        <v>0</v>
      </c>
      <c r="N84" s="231">
        <v>0</v>
      </c>
      <c r="O84" s="142">
        <f t="shared" si="20"/>
        <v>0.6</v>
      </c>
      <c r="Q84" s="284">
        <v>1</v>
      </c>
    </row>
    <row r="85" spans="2:17" ht="16" customHeight="1">
      <c r="B85" s="63">
        <v>73</v>
      </c>
      <c r="C85" s="114" t="s">
        <v>921</v>
      </c>
      <c r="D85" s="117" t="s">
        <v>936</v>
      </c>
      <c r="E85" s="140" t="s">
        <v>1404</v>
      </c>
      <c r="F85" s="118" t="s">
        <v>755</v>
      </c>
      <c r="G85" s="227">
        <v>3</v>
      </c>
      <c r="H85" s="9" t="str">
        <f>IF($F85="부록4",IFERROR(INDEX(③1일작업량DB!$H$6:$H$169,MATCH(SUBSTITUTE($C85&amp;"|"&amp;$D85,"~","~~"),③1일작업량DB!$J$6:$J$169,0)),"-"),"")</f>
        <v>개소/일</v>
      </c>
      <c r="I85" s="227"/>
      <c r="J85" s="229">
        <f>IF($F85="부록4",IFERROR(INDEX(③1일작업량DB!$G$6:$G$169,MATCH(SUBSTITUTE($C85&amp;"|"&amp;$D85,"~","~~"),③1일작업량DB!$J$6:$J$169,0)),""),$I85)</f>
        <v>2</v>
      </c>
      <c r="K85" s="273">
        <f t="shared" si="18"/>
        <v>1.7</v>
      </c>
      <c r="L85" s="139">
        <f t="shared" si="19"/>
        <v>0.9</v>
      </c>
      <c r="M85" s="231">
        <v>0</v>
      </c>
      <c r="N85" s="231">
        <v>0</v>
      </c>
      <c r="O85" s="142">
        <f t="shared" si="20"/>
        <v>0.9</v>
      </c>
      <c r="Q85" s="284">
        <v>1</v>
      </c>
    </row>
    <row r="86" spans="2:17" ht="16" customHeight="1">
      <c r="B86" s="63">
        <v>74</v>
      </c>
      <c r="C86" s="114" t="s">
        <v>921</v>
      </c>
      <c r="D86" s="117" t="s">
        <v>1152</v>
      </c>
      <c r="E86" s="140" t="s">
        <v>1405</v>
      </c>
      <c r="F86" s="118" t="s">
        <v>1120</v>
      </c>
      <c r="G86" s="227">
        <v>144</v>
      </c>
      <c r="H86" s="9" t="s">
        <v>841</v>
      </c>
      <c r="I86" s="227">
        <v>20</v>
      </c>
      <c r="J86" s="229">
        <f>IF($F86="부록4",IFERROR(INDEX(③1일작업량DB!$G$6:$G$169,MATCH(SUBSTITUTE($C86&amp;"|"&amp;$D86,"~","~~"),③1일작업량DB!$J$6:$J$169,0)),""),$I86)</f>
        <v>20</v>
      </c>
      <c r="K86" s="273">
        <f t="shared" si="18"/>
        <v>1.7</v>
      </c>
      <c r="L86" s="139">
        <f t="shared" si="19"/>
        <v>4.3</v>
      </c>
      <c r="M86" s="231">
        <v>0</v>
      </c>
      <c r="N86" s="231">
        <v>0</v>
      </c>
      <c r="O86" s="142">
        <f t="shared" si="20"/>
        <v>4.3</v>
      </c>
      <c r="Q86" s="284">
        <v>1</v>
      </c>
    </row>
    <row r="87" spans="2:17" ht="16" customHeight="1">
      <c r="B87" s="63">
        <v>75</v>
      </c>
      <c r="C87" s="114" t="s">
        <v>921</v>
      </c>
      <c r="D87" s="117" t="s">
        <v>1406</v>
      </c>
      <c r="E87" s="140" t="s">
        <v>1407</v>
      </c>
      <c r="F87" s="118" t="s">
        <v>1120</v>
      </c>
      <c r="G87" s="227">
        <v>9</v>
      </c>
      <c r="H87" s="9" t="s">
        <v>880</v>
      </c>
      <c r="I87" s="227">
        <v>2</v>
      </c>
      <c r="J87" s="229">
        <f>IF($F87="부록4",IFERROR(INDEX(③1일작업량DB!$G$6:$G$169,MATCH(SUBSTITUTE($C87&amp;"|"&amp;$D87,"~","~~"),③1일작업량DB!$J$6:$J$169,0)),""),$I87)</f>
        <v>2</v>
      </c>
      <c r="K87" s="273">
        <f t="shared" si="18"/>
        <v>1.7</v>
      </c>
      <c r="L87" s="139">
        <f t="shared" si="19"/>
        <v>2.7</v>
      </c>
      <c r="M87" s="231">
        <v>0</v>
      </c>
      <c r="N87" s="231">
        <v>0</v>
      </c>
      <c r="O87" s="142">
        <f t="shared" si="20"/>
        <v>2.7</v>
      </c>
      <c r="Q87" s="284">
        <v>1</v>
      </c>
    </row>
    <row r="88" spans="2:17" ht="16" customHeight="1">
      <c r="B88" s="63">
        <v>76</v>
      </c>
      <c r="C88" s="114" t="s">
        <v>921</v>
      </c>
      <c r="D88" s="117" t="s">
        <v>1408</v>
      </c>
      <c r="E88" s="140" t="s">
        <v>1409</v>
      </c>
      <c r="F88" s="118" t="s">
        <v>1120</v>
      </c>
      <c r="G88" s="227">
        <v>6</v>
      </c>
      <c r="H88" s="9" t="s">
        <v>880</v>
      </c>
      <c r="I88" s="227">
        <v>10</v>
      </c>
      <c r="J88" s="229">
        <f>IF($F88="부록4",IFERROR(INDEX(③1일작업량DB!$G$6:$G$169,MATCH(SUBSTITUTE($C88&amp;"|"&amp;$D88,"~","~~"),③1일작업량DB!$J$6:$J$169,0)),""),$I88)</f>
        <v>10</v>
      </c>
      <c r="K88" s="273">
        <f t="shared" si="18"/>
        <v>1.7</v>
      </c>
      <c r="L88" s="139">
        <f t="shared" si="19"/>
        <v>0.4</v>
      </c>
      <c r="M88" s="231">
        <v>0</v>
      </c>
      <c r="N88" s="231">
        <v>0</v>
      </c>
      <c r="O88" s="142">
        <f t="shared" si="20"/>
        <v>0.4</v>
      </c>
      <c r="Q88" s="284">
        <v>1</v>
      </c>
    </row>
    <row r="89" spans="2:17" ht="16" customHeight="1">
      <c r="B89" s="63">
        <v>77</v>
      </c>
      <c r="C89" s="114" t="s">
        <v>921</v>
      </c>
      <c r="D89" s="117" t="s">
        <v>938</v>
      </c>
      <c r="E89" s="140" t="s">
        <v>1410</v>
      </c>
      <c r="F89" s="118" t="s">
        <v>755</v>
      </c>
      <c r="G89" s="227">
        <v>1</v>
      </c>
      <c r="H89" s="9" t="str">
        <f>IF($F89="부록4",IFERROR(INDEX(③1일작업량DB!$H$6:$H$169,MATCH(SUBSTITUTE($C89&amp;"|"&amp;$D89,"~","~~"),③1일작업량DB!$J$6:$J$169,0)),"-"),"")</f>
        <v>식/일</v>
      </c>
      <c r="I89" s="227"/>
      <c r="J89" s="229">
        <f>IF($F89="부록4",IFERROR(INDEX(③1일작업량DB!$G$6:$G$169,MATCH(SUBSTITUTE($C89&amp;"|"&amp;$D89,"~","~~"),③1일작업량DB!$J$6:$J$169,0)),""),$I89)</f>
        <v>0.5</v>
      </c>
      <c r="K89" s="273">
        <f t="shared" si="18"/>
        <v>1.7</v>
      </c>
      <c r="L89" s="139">
        <f t="shared" si="19"/>
        <v>1.2000000000000002</v>
      </c>
      <c r="M89" s="231">
        <v>0</v>
      </c>
      <c r="N89" s="231">
        <v>0</v>
      </c>
      <c r="O89" s="142">
        <f t="shared" si="20"/>
        <v>1.2000000000000002</v>
      </c>
      <c r="Q89" s="284">
        <v>1</v>
      </c>
    </row>
    <row r="90" spans="2:17" ht="16" customHeight="1">
      <c r="B90" s="63">
        <v>78</v>
      </c>
      <c r="C90" s="114" t="s">
        <v>361</v>
      </c>
      <c r="D90" s="117" t="s">
        <v>756</v>
      </c>
      <c r="E90" s="140" t="s">
        <v>1411</v>
      </c>
      <c r="F90" s="118" t="s">
        <v>755</v>
      </c>
      <c r="G90" s="227">
        <v>88.43</v>
      </c>
      <c r="H90" s="9" t="str">
        <f>IF($F90="부록4",IFERROR(INDEX(③1일작업량DB!$H$6:$H$169,MATCH(SUBSTITUTE($C90&amp;"|"&amp;$D90,"~","~~"),③1일작업량DB!$J$6:$J$169,0)),"-"),"")</f>
        <v>㎥/일</v>
      </c>
      <c r="I90" s="227"/>
      <c r="J90" s="229">
        <f>IF($F90="부록4",IFERROR(INDEX(③1일작업량DB!$G$6:$G$169,MATCH(SUBSTITUTE($C90&amp;"|"&amp;$D90,"~","~~"),③1일작업량DB!$J$6:$J$169,0)),""),$I90)</f>
        <v>189</v>
      </c>
      <c r="K90" s="273">
        <f t="shared" si="18"/>
        <v>1.7</v>
      </c>
      <c r="L90" s="139">
        <f t="shared" si="19"/>
        <v>0.30000000000000004</v>
      </c>
      <c r="M90" s="231">
        <v>0</v>
      </c>
      <c r="N90" s="231">
        <v>0</v>
      </c>
      <c r="O90" s="142">
        <f t="shared" si="20"/>
        <v>0.30000000000000004</v>
      </c>
      <c r="Q90" s="284">
        <v>1</v>
      </c>
    </row>
    <row r="91" spans="2:17" ht="16" customHeight="1">
      <c r="B91" s="63">
        <v>79</v>
      </c>
      <c r="C91" s="114" t="s">
        <v>921</v>
      </c>
      <c r="D91" s="117" t="s">
        <v>1412</v>
      </c>
      <c r="E91" s="140" t="s">
        <v>1413</v>
      </c>
      <c r="F91" s="118" t="s">
        <v>1120</v>
      </c>
      <c r="G91" s="227">
        <v>430</v>
      </c>
      <c r="H91" s="9" t="s">
        <v>833</v>
      </c>
      <c r="I91" s="227">
        <v>100</v>
      </c>
      <c r="J91" s="229">
        <f>IF($F91="부록4",IFERROR(INDEX(③1일작업량DB!$G$6:$G$169,MATCH(SUBSTITUTE($C91&amp;"|"&amp;$D91,"~","~~"),③1일작업량DB!$J$6:$J$169,0)),""),$I91)</f>
        <v>100</v>
      </c>
      <c r="K91" s="273">
        <f t="shared" si="18"/>
        <v>1.7</v>
      </c>
      <c r="L91" s="139">
        <f t="shared" si="19"/>
        <v>2.6</v>
      </c>
      <c r="M91" s="231">
        <v>0</v>
      </c>
      <c r="N91" s="231">
        <v>0</v>
      </c>
      <c r="O91" s="142">
        <f t="shared" si="20"/>
        <v>2.6</v>
      </c>
      <c r="Q91" s="284">
        <v>1</v>
      </c>
    </row>
    <row r="92" spans="2:17" ht="16" customHeight="1">
      <c r="B92" s="63">
        <v>80</v>
      </c>
      <c r="C92" s="114" t="s">
        <v>921</v>
      </c>
      <c r="D92" s="117" t="s">
        <v>926</v>
      </c>
      <c r="E92" s="140" t="s">
        <v>1414</v>
      </c>
      <c r="F92" s="118" t="s">
        <v>755</v>
      </c>
      <c r="G92" s="227">
        <v>109</v>
      </c>
      <c r="H92" s="9" t="str">
        <f>IF($F92="부록4",IFERROR(INDEX(③1일작업량DB!$H$6:$H$169,MATCH(SUBSTITUTE($C92&amp;"|"&amp;$D92,"~","~~"),③1일작업량DB!$J$6:$J$169,0)),"-"),"")</f>
        <v>경간/일</v>
      </c>
      <c r="I92" s="227"/>
      <c r="J92" s="229">
        <f>IF($F92="부록4",IFERROR(INDEX(③1일작업량DB!$G$6:$G$169,MATCH(SUBSTITUTE($C92&amp;"|"&amp;$D92,"~","~~"),③1일작업량DB!$J$6:$J$169,0)),""),$I92)</f>
        <v>10</v>
      </c>
      <c r="K92" s="273">
        <f t="shared" si="18"/>
        <v>1.7</v>
      </c>
      <c r="L92" s="139">
        <f t="shared" si="19"/>
        <v>6.5</v>
      </c>
      <c r="M92" s="231">
        <v>0</v>
      </c>
      <c r="N92" s="231">
        <v>0</v>
      </c>
      <c r="O92" s="142">
        <f t="shared" si="20"/>
        <v>6.5</v>
      </c>
      <c r="Q92" s="284">
        <v>1</v>
      </c>
    </row>
    <row r="93" spans="2:17" ht="16" customHeight="1">
      <c r="B93" s="63">
        <v>81</v>
      </c>
      <c r="C93" s="114" t="s">
        <v>921</v>
      </c>
      <c r="D93" s="117" t="s">
        <v>1415</v>
      </c>
      <c r="E93" s="140" t="s">
        <v>1416</v>
      </c>
      <c r="F93" s="118" t="s">
        <v>1120</v>
      </c>
      <c r="G93" s="227">
        <v>1</v>
      </c>
      <c r="H93" s="9" t="s">
        <v>924</v>
      </c>
      <c r="I93" s="227">
        <v>1</v>
      </c>
      <c r="J93" s="229">
        <f>IF($F93="부록4",IFERROR(INDEX(③1일작업량DB!$G$6:$G$169,MATCH(SUBSTITUTE($C93&amp;"|"&amp;$D93,"~","~~"),③1일작업량DB!$J$6:$J$169,0)),""),$I93)</f>
        <v>1</v>
      </c>
      <c r="K93" s="273">
        <f t="shared" si="18"/>
        <v>1.7</v>
      </c>
      <c r="L93" s="139">
        <f t="shared" si="19"/>
        <v>0.6</v>
      </c>
      <c r="M93" s="231">
        <v>0</v>
      </c>
      <c r="N93" s="231">
        <v>0</v>
      </c>
      <c r="O93" s="142">
        <f t="shared" si="20"/>
        <v>0.6</v>
      </c>
      <c r="Q93" s="284">
        <v>1</v>
      </c>
    </row>
    <row r="94" spans="2:17" ht="16" customHeight="1">
      <c r="B94" s="145"/>
      <c r="C94" s="438" t="s">
        <v>1417</v>
      </c>
      <c r="D94" s="169"/>
      <c r="E94" s="439"/>
      <c r="F94" s="149"/>
      <c r="G94" s="440"/>
      <c r="H94" s="151"/>
      <c r="I94" s="440"/>
      <c r="J94" s="441"/>
      <c r="K94" s="276"/>
      <c r="L94" s="155"/>
      <c r="M94" s="442"/>
      <c r="N94" s="442"/>
      <c r="O94" s="156">
        <f>SUM(O95:O99)</f>
        <v>16.5</v>
      </c>
      <c r="Q94" s="284"/>
    </row>
    <row r="95" spans="2:17" ht="16" customHeight="1">
      <c r="B95" s="63">
        <v>83</v>
      </c>
      <c r="C95" s="114" t="s">
        <v>231</v>
      </c>
      <c r="D95" s="117" t="s">
        <v>950</v>
      </c>
      <c r="E95" s="140" t="s">
        <v>1418</v>
      </c>
      <c r="F95" s="118" t="s">
        <v>755</v>
      </c>
      <c r="G95" s="227">
        <v>2095.4</v>
      </c>
      <c r="H95" s="9" t="str">
        <f>IF($F95="부록4",IFERROR(INDEX(③1일작업량DB!$H$6:$H$169,MATCH(SUBSTITUTE($C95&amp;"|"&amp;$D95,"~","~~"),③1일작업량DB!$J$6:$J$169,0)),"-"),"")</f>
        <v>㎥/일</v>
      </c>
      <c r="I95" s="227"/>
      <c r="J95" s="229">
        <f>IF($F95="부록4",IFERROR(INDEX(③1일작업량DB!$G$6:$G$169,MATCH(SUBSTITUTE($C95&amp;"|"&amp;$D95,"~","~~"),③1일작업량DB!$J$6:$J$169,0)),""),$I95)</f>
        <v>349</v>
      </c>
      <c r="K95" s="273">
        <f>$R$3*$Q95</f>
        <v>3.4</v>
      </c>
      <c r="L95" s="139">
        <f>IFERROR(IF(AND($G95&gt;0,$J95&gt;0,$K95&gt;0),ROUNDUP($G95/($J95*$K95),1),0),0)</f>
        <v>1.8</v>
      </c>
      <c r="M95" s="231">
        <v>0</v>
      </c>
      <c r="N95" s="231">
        <v>0</v>
      </c>
      <c r="O95" s="142">
        <f>$L95+$M95+$N95</f>
        <v>1.8</v>
      </c>
      <c r="Q95" s="284">
        <v>2</v>
      </c>
    </row>
    <row r="96" spans="2:17" ht="16" customHeight="1">
      <c r="B96" s="63">
        <v>84</v>
      </c>
      <c r="C96" s="114" t="s">
        <v>231</v>
      </c>
      <c r="D96" s="117" t="s">
        <v>257</v>
      </c>
      <c r="E96" s="140" t="s">
        <v>1419</v>
      </c>
      <c r="F96" s="118" t="s">
        <v>755</v>
      </c>
      <c r="G96" s="227">
        <v>885.1</v>
      </c>
      <c r="H96" s="9" t="str">
        <f>IF($F96="부록4",IFERROR(INDEX(③1일작업량DB!$H$6:$H$169,MATCH(SUBSTITUTE($C96&amp;"|"&amp;$D96,"~","~~"),③1일작업량DB!$J$6:$J$169,0)),"-"),"")</f>
        <v>㎥/일</v>
      </c>
      <c r="I96" s="227"/>
      <c r="J96" s="229">
        <f>IF($F96="부록4",IFERROR(INDEX(③1일작업량DB!$G$6:$G$169,MATCH(SUBSTITUTE($C96&amp;"|"&amp;$D96,"~","~~"),③1일작업량DB!$J$6:$J$169,0)),""),$I96)</f>
        <v>42</v>
      </c>
      <c r="K96" s="273">
        <f>$R$3*$Q96</f>
        <v>3.4</v>
      </c>
      <c r="L96" s="139">
        <f>IFERROR(IF(AND($G96&gt;0,$J96&gt;0,$K96&gt;0),ROUNDUP($G96/($J96*$K96),1),0),0)</f>
        <v>6.1999999999999993</v>
      </c>
      <c r="M96" s="231">
        <v>0</v>
      </c>
      <c r="N96" s="231">
        <v>0</v>
      </c>
      <c r="O96" s="142">
        <f>$L96+$M96+$N96</f>
        <v>6.1999999999999993</v>
      </c>
      <c r="Q96" s="284">
        <v>2</v>
      </c>
    </row>
    <row r="97" spans="2:17" ht="16" customHeight="1">
      <c r="B97" s="63">
        <v>85</v>
      </c>
      <c r="C97" s="114" t="s">
        <v>231</v>
      </c>
      <c r="D97" s="117" t="s">
        <v>827</v>
      </c>
      <c r="E97" s="140" t="s">
        <v>1420</v>
      </c>
      <c r="F97" s="118" t="s">
        <v>755</v>
      </c>
      <c r="G97" s="227">
        <v>657.7</v>
      </c>
      <c r="H97" s="9" t="str">
        <f>IF($F97="부록4",IFERROR(INDEX(③1일작업량DB!$H$6:$H$169,MATCH(SUBSTITUTE($C97&amp;"|"&amp;$D97,"~","~~"),③1일작업량DB!$J$6:$J$169,0)),"-"),"")</f>
        <v>㎥/일</v>
      </c>
      <c r="I97" s="227"/>
      <c r="J97" s="229">
        <f>IF($F97="부록4",IFERROR(INDEX(③1일작업량DB!$G$6:$G$169,MATCH(SUBSTITUTE($C97&amp;"|"&amp;$D97,"~","~~"),③1일작업량DB!$J$6:$J$169,0)),""),$I97)</f>
        <v>60</v>
      </c>
      <c r="K97" s="273">
        <f>$R$3*$Q97</f>
        <v>1.7</v>
      </c>
      <c r="L97" s="139">
        <f>IFERROR(IF(AND($G97&gt;0,$J97&gt;0,$K97&gt;0),ROUNDUP($G97/($J97*$K97),1),0),0)</f>
        <v>6.5</v>
      </c>
      <c r="M97" s="231">
        <v>0</v>
      </c>
      <c r="N97" s="231">
        <v>0</v>
      </c>
      <c r="O97" s="142">
        <f>$L97+$M97+$N97</f>
        <v>6.5</v>
      </c>
      <c r="Q97" s="284">
        <v>1</v>
      </c>
    </row>
    <row r="98" spans="2:17" ht="16" customHeight="1">
      <c r="B98" s="63">
        <v>86</v>
      </c>
      <c r="C98" s="114" t="s">
        <v>231</v>
      </c>
      <c r="D98" s="117" t="s">
        <v>348</v>
      </c>
      <c r="E98" s="140" t="s">
        <v>1421</v>
      </c>
      <c r="F98" s="118" t="s">
        <v>755</v>
      </c>
      <c r="G98" s="227">
        <v>0.5</v>
      </c>
      <c r="H98" s="9" t="str">
        <f>IF($F98="부록4",IFERROR(INDEX(③1일작업량DB!$H$6:$H$169,MATCH(SUBSTITUTE($C98&amp;"|"&amp;$D98,"~","~~"),③1일작업량DB!$J$6:$J$169,0)),"-"),"")</f>
        <v>㎥/일</v>
      </c>
      <c r="I98" s="227"/>
      <c r="J98" s="229">
        <f>IF($F98="부록4",IFERROR(INDEX(③1일작업량DB!$G$6:$G$169,MATCH(SUBSTITUTE($C98&amp;"|"&amp;$D98,"~","~~"),③1일작업량DB!$J$6:$J$169,0)),""),$I98)</f>
        <v>65</v>
      </c>
      <c r="K98" s="273">
        <f>$R$3*$Q98</f>
        <v>1.7</v>
      </c>
      <c r="L98" s="139">
        <f>IFERROR(IF(AND($G98&gt;0,$J98&gt;0,$K98&gt;0),ROUNDUP($G98/($J98*$K98),1),0),0)</f>
        <v>0.1</v>
      </c>
      <c r="M98" s="231">
        <v>0</v>
      </c>
      <c r="N98" s="231">
        <v>0</v>
      </c>
      <c r="O98" s="142">
        <f>$L98+$M98+$N98</f>
        <v>0.1</v>
      </c>
      <c r="Q98" s="284">
        <v>1</v>
      </c>
    </row>
    <row r="99" spans="2:17" ht="15">
      <c r="B99" s="63">
        <v>87</v>
      </c>
      <c r="C99" s="114" t="s">
        <v>231</v>
      </c>
      <c r="D99" s="117" t="s">
        <v>829</v>
      </c>
      <c r="E99" s="140" t="s">
        <v>1422</v>
      </c>
      <c r="F99" s="118" t="s">
        <v>755</v>
      </c>
      <c r="G99" s="227">
        <v>1600.5</v>
      </c>
      <c r="H99" s="9" t="str">
        <f>IF($F99="부록4",IFERROR(INDEX(③1일작업량DB!$H$6:$H$169,MATCH(SUBSTITUTE($C99&amp;"|"&amp;$D99,"~","~~"),③1일작업량DB!$J$6:$J$169,0)),"-"),"")</f>
        <v>㎥/일</v>
      </c>
      <c r="I99" s="227"/>
      <c r="J99" s="229">
        <f>IF($F99="부록4",IFERROR(INDEX(③1일작업량DB!$G$6:$G$169,MATCH(SUBSTITUTE($C99&amp;"|"&amp;$D99,"~","~~"),③1일작업량DB!$J$6:$J$169,0)),""),$I99)</f>
        <v>500</v>
      </c>
      <c r="K99" s="273">
        <f>$R$3*$Q99</f>
        <v>1.7</v>
      </c>
      <c r="L99" s="139">
        <f>IFERROR(IF(AND($G99&gt;0,$J99&gt;0,$K99&gt;0),ROUNDUP($G99/($J99*$K99),1),0),0)</f>
        <v>1.9000000000000001</v>
      </c>
      <c r="M99" s="231">
        <v>0</v>
      </c>
      <c r="N99" s="231">
        <v>0</v>
      </c>
      <c r="O99" s="142">
        <f>$L99+$M99+$N99</f>
        <v>1.9000000000000001</v>
      </c>
      <c r="Q99" s="284">
        <v>1</v>
      </c>
    </row>
    <row r="100" spans="2:17" ht="15">
      <c r="B100" s="145"/>
      <c r="C100" s="438" t="s">
        <v>1423</v>
      </c>
      <c r="D100" s="169"/>
      <c r="E100" s="439"/>
      <c r="F100" s="149"/>
      <c r="G100" s="440"/>
      <c r="H100" s="151"/>
      <c r="I100" s="440"/>
      <c r="J100" s="441"/>
      <c r="K100" s="276"/>
      <c r="L100" s="155"/>
      <c r="M100" s="442"/>
      <c r="N100" s="442"/>
      <c r="O100" s="156">
        <f>SUM(O101:O107)</f>
        <v>54.300000000000004</v>
      </c>
      <c r="Q100" s="284"/>
    </row>
    <row r="101" spans="2:17" ht="30">
      <c r="B101" s="63">
        <v>88</v>
      </c>
      <c r="C101" s="114" t="s">
        <v>269</v>
      </c>
      <c r="D101" s="117" t="s">
        <v>760</v>
      </c>
      <c r="E101" s="140" t="s">
        <v>1424</v>
      </c>
      <c r="F101" s="118" t="s">
        <v>755</v>
      </c>
      <c r="G101" s="227">
        <v>1763.75</v>
      </c>
      <c r="H101" s="9" t="str">
        <f>IF($F101="부록4",IFERROR(INDEX(③1일작업량DB!$H$6:$H$169,MATCH(SUBSTITUTE($C101&amp;"|"&amp;$D101,"~","~~"),③1일작업량DB!$J$6:$J$169,0)),"-"),"")</f>
        <v>m/일</v>
      </c>
      <c r="I101" s="227"/>
      <c r="J101" s="229">
        <f>IF($F101="부록4",IFERROR(INDEX(③1일작업량DB!$G$6:$G$169,MATCH(SUBSTITUTE($C101&amp;"|"&amp;$D101,"~","~~"),③1일작업량DB!$J$6:$J$169,0)),""),$I101)</f>
        <v>43</v>
      </c>
      <c r="K101" s="273">
        <f t="shared" ref="K101:K107" si="21">$R$3*$Q101</f>
        <v>3.4</v>
      </c>
      <c r="L101" s="139">
        <f t="shared" ref="L101:L107" si="22">IFERROR(IF(AND($G101&gt;0,$J101&gt;0,$K101&gt;0),ROUNDUP($G101/($J101*$K101),1),0),0)</f>
        <v>12.1</v>
      </c>
      <c r="M101" s="231">
        <v>0</v>
      </c>
      <c r="N101" s="231">
        <v>0</v>
      </c>
      <c r="O101" s="142">
        <f t="shared" ref="O101:O107" si="23">$L101+$M101+$N101</f>
        <v>12.1</v>
      </c>
      <c r="Q101" s="284">
        <v>2</v>
      </c>
    </row>
    <row r="102" spans="2:17" ht="15">
      <c r="B102" s="63">
        <v>89</v>
      </c>
      <c r="C102" s="114" t="s">
        <v>403</v>
      </c>
      <c r="D102" s="117" t="s">
        <v>911</v>
      </c>
      <c r="E102" s="140" t="s">
        <v>1425</v>
      </c>
      <c r="F102" s="118" t="s">
        <v>755</v>
      </c>
      <c r="G102" s="227">
        <v>67</v>
      </c>
      <c r="H102" s="9" t="str">
        <f>IF($F102="부록4",IFERROR(INDEX(③1일작업량DB!$H$6:$H$169,MATCH(SUBSTITUTE($C102&amp;"|"&amp;$D102,"~","~~"),③1일작업량DB!$J$6:$J$169,0)),"-"),"")</f>
        <v>개소/일</v>
      </c>
      <c r="I102" s="227"/>
      <c r="J102" s="229">
        <f>IF($F102="부록4",IFERROR(INDEX(③1일작업량DB!$G$6:$G$169,MATCH(SUBSTITUTE($C102&amp;"|"&amp;$D102,"~","~~"),③1일작업량DB!$J$6:$J$169,0)),""),$I102)</f>
        <v>8</v>
      </c>
      <c r="K102" s="273">
        <f t="shared" si="21"/>
        <v>1.7</v>
      </c>
      <c r="L102" s="139">
        <f t="shared" si="22"/>
        <v>5</v>
      </c>
      <c r="M102" s="231">
        <v>0</v>
      </c>
      <c r="N102" s="231">
        <v>0</v>
      </c>
      <c r="O102" s="142">
        <f t="shared" si="23"/>
        <v>5</v>
      </c>
      <c r="Q102" s="284">
        <v>1</v>
      </c>
    </row>
    <row r="103" spans="2:17" ht="15">
      <c r="B103" s="63">
        <v>90</v>
      </c>
      <c r="C103" s="114" t="s">
        <v>403</v>
      </c>
      <c r="D103" s="117" t="s">
        <v>915</v>
      </c>
      <c r="E103" s="140" t="s">
        <v>1426</v>
      </c>
      <c r="F103" s="118" t="s">
        <v>755</v>
      </c>
      <c r="G103" s="227">
        <v>149</v>
      </c>
      <c r="H103" s="9" t="str">
        <f>IF($F103="부록4",IFERROR(INDEX(③1일작업량DB!$H$6:$H$169,MATCH(SUBSTITUTE($C103&amp;"|"&amp;$D103,"~","~~"),③1일작업량DB!$J$6:$J$169,0)),"-"),"")</f>
        <v>개소/일</v>
      </c>
      <c r="I103" s="227"/>
      <c r="J103" s="229">
        <f>IF($F103="부록4",IFERROR(INDEX(③1일작업량DB!$G$6:$G$169,MATCH(SUBSTITUTE($C103&amp;"|"&amp;$D103,"~","~~"),③1일작업량DB!$J$6:$J$169,0)),""),$I103)</f>
        <v>12</v>
      </c>
      <c r="K103" s="273">
        <f t="shared" si="21"/>
        <v>1.7</v>
      </c>
      <c r="L103" s="139">
        <f t="shared" si="22"/>
        <v>7.3999999999999995</v>
      </c>
      <c r="M103" s="231">
        <v>0</v>
      </c>
      <c r="N103" s="231">
        <v>0</v>
      </c>
      <c r="O103" s="142">
        <f t="shared" si="23"/>
        <v>7.3999999999999995</v>
      </c>
      <c r="Q103" s="284">
        <v>1</v>
      </c>
    </row>
    <row r="104" spans="2:17" ht="15">
      <c r="B104" s="63">
        <v>91</v>
      </c>
      <c r="C104" s="114" t="s">
        <v>403</v>
      </c>
      <c r="D104" s="117" t="s">
        <v>913</v>
      </c>
      <c r="E104" s="140" t="s">
        <v>1427</v>
      </c>
      <c r="F104" s="118" t="s">
        <v>755</v>
      </c>
      <c r="G104" s="227">
        <v>95</v>
      </c>
      <c r="H104" s="9" t="str">
        <f>IF($F104="부록4",IFERROR(INDEX(③1일작업량DB!$H$6:$H$169,MATCH(SUBSTITUTE($C104&amp;"|"&amp;$D104,"~","~~"),③1일작업량DB!$J$6:$J$169,0)),"-"),"")</f>
        <v>개소/일</v>
      </c>
      <c r="I104" s="227"/>
      <c r="J104" s="229">
        <f>IF($F104="부록4",IFERROR(INDEX(③1일작업량DB!$G$6:$G$169,MATCH(SUBSTITUTE($C104&amp;"|"&amp;$D104,"~","~~"),③1일작업량DB!$J$6:$J$169,0)),""),$I104)</f>
        <v>15</v>
      </c>
      <c r="K104" s="273">
        <f t="shared" si="21"/>
        <v>1.7</v>
      </c>
      <c r="L104" s="139">
        <f t="shared" si="22"/>
        <v>3.8000000000000003</v>
      </c>
      <c r="M104" s="231">
        <v>0</v>
      </c>
      <c r="N104" s="231">
        <v>0</v>
      </c>
      <c r="O104" s="142">
        <f t="shared" si="23"/>
        <v>3.8000000000000003</v>
      </c>
      <c r="Q104" s="284">
        <v>1</v>
      </c>
    </row>
    <row r="105" spans="2:17" ht="15">
      <c r="B105" s="63">
        <v>92</v>
      </c>
      <c r="C105" s="114" t="s">
        <v>403</v>
      </c>
      <c r="D105" s="117" t="s">
        <v>911</v>
      </c>
      <c r="E105" s="140" t="s">
        <v>1428</v>
      </c>
      <c r="F105" s="118" t="s">
        <v>755</v>
      </c>
      <c r="G105" s="227">
        <v>19</v>
      </c>
      <c r="H105" s="9" t="str">
        <f>IF($F105="부록4",IFERROR(INDEX(③1일작업량DB!$H$6:$H$169,MATCH(SUBSTITUTE($C105&amp;"|"&amp;$D105,"~","~~"),③1일작업량DB!$J$6:$J$169,0)),"-"),"")</f>
        <v>개소/일</v>
      </c>
      <c r="I105" s="227"/>
      <c r="J105" s="229">
        <f>IF($F105="부록4",IFERROR(INDEX(③1일작업량DB!$G$6:$G$169,MATCH(SUBSTITUTE($C105&amp;"|"&amp;$D105,"~","~~"),③1일작업량DB!$J$6:$J$169,0)),""),$I105)</f>
        <v>8</v>
      </c>
      <c r="K105" s="273">
        <f t="shared" si="21"/>
        <v>1.7</v>
      </c>
      <c r="L105" s="139">
        <f t="shared" si="22"/>
        <v>1.4000000000000001</v>
      </c>
      <c r="M105" s="231">
        <v>0</v>
      </c>
      <c r="N105" s="231">
        <v>0</v>
      </c>
      <c r="O105" s="142">
        <f t="shared" si="23"/>
        <v>1.4000000000000001</v>
      </c>
      <c r="Q105" s="284">
        <v>1</v>
      </c>
    </row>
    <row r="106" spans="2:17" ht="30">
      <c r="B106" s="63">
        <v>93</v>
      </c>
      <c r="C106" s="114" t="s">
        <v>921</v>
      </c>
      <c r="D106" s="117" t="s">
        <v>1156</v>
      </c>
      <c r="E106" s="140" t="s">
        <v>1429</v>
      </c>
      <c r="F106" s="118" t="s">
        <v>1120</v>
      </c>
      <c r="G106" s="227">
        <v>1852.75</v>
      </c>
      <c r="H106" s="9" t="s">
        <v>841</v>
      </c>
      <c r="I106" s="227">
        <v>200</v>
      </c>
      <c r="J106" s="229">
        <f>IF($F106="부록4",IFERROR(INDEX(③1일작업량DB!$G$6:$G$169,MATCH(SUBSTITUTE($C106&amp;"|"&amp;$D106,"~","~~"),③1일작업량DB!$J$6:$J$169,0)),""),$I106)</f>
        <v>200</v>
      </c>
      <c r="K106" s="273">
        <f t="shared" si="21"/>
        <v>1.7</v>
      </c>
      <c r="L106" s="139">
        <f t="shared" si="22"/>
        <v>5.5</v>
      </c>
      <c r="M106" s="231">
        <v>0</v>
      </c>
      <c r="N106" s="231">
        <v>0</v>
      </c>
      <c r="O106" s="142">
        <f t="shared" si="23"/>
        <v>5.5</v>
      </c>
      <c r="Q106" s="284">
        <v>1</v>
      </c>
    </row>
    <row r="107" spans="2:17" ht="15">
      <c r="B107" s="63">
        <v>94</v>
      </c>
      <c r="C107" s="114" t="s">
        <v>921</v>
      </c>
      <c r="D107" s="117" t="s">
        <v>946</v>
      </c>
      <c r="E107" s="140" t="s">
        <v>1430</v>
      </c>
      <c r="F107" s="118" t="s">
        <v>755</v>
      </c>
      <c r="G107" s="227">
        <v>291</v>
      </c>
      <c r="H107" s="9" t="str">
        <f>IF($F107="부록4",IFERROR(INDEX(③1일작업량DB!$H$6:$H$169,MATCH(SUBSTITUTE($C107&amp;"|"&amp;$D107,"~","~~"),③1일작업량DB!$J$6:$J$169,0)),"-"),"")</f>
        <v>개소/일</v>
      </c>
      <c r="I107" s="227"/>
      <c r="J107" s="229">
        <f>IF($F107="부록4",IFERROR(INDEX(③1일작업량DB!$G$6:$G$169,MATCH(SUBSTITUTE($C107&amp;"|"&amp;$D107,"~","~~"),③1일작업량DB!$J$6:$J$169,0)),""),$I107)</f>
        <v>3</v>
      </c>
      <c r="K107" s="273">
        <f t="shared" si="21"/>
        <v>5.0999999999999996</v>
      </c>
      <c r="L107" s="139">
        <f t="shared" si="22"/>
        <v>19.100000000000001</v>
      </c>
      <c r="M107" s="231">
        <v>0</v>
      </c>
      <c r="N107" s="231">
        <v>0</v>
      </c>
      <c r="O107" s="142">
        <f t="shared" si="23"/>
        <v>19.100000000000001</v>
      </c>
      <c r="Q107" s="284">
        <v>3</v>
      </c>
    </row>
    <row r="108" spans="2:17" ht="15">
      <c r="B108" s="145"/>
      <c r="C108" s="438" t="s">
        <v>1431</v>
      </c>
      <c r="D108" s="169"/>
      <c r="E108" s="439"/>
      <c r="F108" s="149"/>
      <c r="G108" s="440"/>
      <c r="H108" s="151"/>
      <c r="I108" s="440"/>
      <c r="J108" s="441"/>
      <c r="K108" s="276"/>
      <c r="L108" s="155"/>
      <c r="M108" s="442"/>
      <c r="N108" s="442"/>
      <c r="O108" s="156">
        <f>SUM(O109:O116)</f>
        <v>14.2</v>
      </c>
      <c r="Q108" s="284"/>
    </row>
    <row r="109" spans="2:17" ht="30">
      <c r="B109" s="63">
        <v>95</v>
      </c>
      <c r="C109" s="114" t="s">
        <v>269</v>
      </c>
      <c r="D109" s="117" t="s">
        <v>887</v>
      </c>
      <c r="E109" s="140" t="s">
        <v>1432</v>
      </c>
      <c r="F109" s="118" t="s">
        <v>755</v>
      </c>
      <c r="G109" s="227">
        <v>83</v>
      </c>
      <c r="H109" s="9" t="str">
        <f>IF($F109="부록4",IFERROR(INDEX(③1일작업량DB!$H$6:$H$169,MATCH(SUBSTITUTE($C109&amp;"|"&amp;$D109,"~","~~"),③1일작업량DB!$J$6:$J$169,0)),"-"),"")</f>
        <v>개소/일</v>
      </c>
      <c r="I109" s="227"/>
      <c r="J109" s="229">
        <f>IF($F109="부록4",IFERROR(INDEX(③1일작업량DB!$G$6:$G$169,MATCH(SUBSTITUTE($C109&amp;"|"&amp;$D109,"~","~~"),③1일작업량DB!$J$6:$J$169,0)),""),$I109)</f>
        <v>4</v>
      </c>
      <c r="K109" s="273">
        <f t="shared" ref="K109:K116" si="24">$R$3*$Q109</f>
        <v>3.4</v>
      </c>
      <c r="L109" s="139">
        <f t="shared" ref="L109:L116" si="25">IFERROR(IF(AND($G109&gt;0,$J109&gt;0,$K109&gt;0),ROUNDUP($G109/($J109*$K109),1),0),0)</f>
        <v>6.1999999999999993</v>
      </c>
      <c r="M109" s="231">
        <v>0</v>
      </c>
      <c r="N109" s="231">
        <v>0</v>
      </c>
      <c r="O109" s="142">
        <f t="shared" ref="O109:O116" si="26">$L109+$M109+$N109</f>
        <v>6.1999999999999993</v>
      </c>
      <c r="Q109" s="284">
        <v>2</v>
      </c>
    </row>
    <row r="110" spans="2:17" ht="15">
      <c r="B110" s="63">
        <v>96</v>
      </c>
      <c r="C110" s="114" t="s">
        <v>269</v>
      </c>
      <c r="D110" s="117" t="s">
        <v>887</v>
      </c>
      <c r="E110" s="140" t="s">
        <v>1433</v>
      </c>
      <c r="F110" s="118" t="s">
        <v>755</v>
      </c>
      <c r="G110" s="227">
        <v>20</v>
      </c>
      <c r="H110" s="9" t="str">
        <f>IF($F110="부록4",IFERROR(INDEX(③1일작업량DB!$H$6:$H$169,MATCH(SUBSTITUTE($C110&amp;"|"&amp;$D110,"~","~~"),③1일작업량DB!$J$6:$J$169,0)),"-"),"")</f>
        <v>개소/일</v>
      </c>
      <c r="I110" s="227"/>
      <c r="J110" s="229">
        <f>IF($F110="부록4",IFERROR(INDEX(③1일작업량DB!$G$6:$G$169,MATCH(SUBSTITUTE($C110&amp;"|"&amp;$D110,"~","~~"),③1일작업량DB!$J$6:$J$169,0)),""),$I110)</f>
        <v>4</v>
      </c>
      <c r="K110" s="273">
        <f t="shared" si="24"/>
        <v>1.7</v>
      </c>
      <c r="L110" s="139">
        <f t="shared" si="25"/>
        <v>3</v>
      </c>
      <c r="M110" s="231">
        <v>0</v>
      </c>
      <c r="N110" s="231">
        <v>0</v>
      </c>
      <c r="O110" s="142">
        <f t="shared" si="26"/>
        <v>3</v>
      </c>
      <c r="Q110" s="284">
        <v>1</v>
      </c>
    </row>
    <row r="111" spans="2:17" ht="15">
      <c r="B111" s="63">
        <v>97</v>
      </c>
      <c r="C111" s="114" t="s">
        <v>269</v>
      </c>
      <c r="D111" s="117" t="s">
        <v>889</v>
      </c>
      <c r="E111" s="140" t="s">
        <v>1434</v>
      </c>
      <c r="F111" s="118" t="s">
        <v>755</v>
      </c>
      <c r="G111" s="227">
        <v>23</v>
      </c>
      <c r="H111" s="9" t="str">
        <f>IF($F111="부록4",IFERROR(INDEX(③1일작업량DB!$H$6:$H$169,MATCH(SUBSTITUTE($C111&amp;"|"&amp;$D111,"~","~~"),③1일작업량DB!$J$6:$J$169,0)),"-"),"")</f>
        <v>개소/일</v>
      </c>
      <c r="I111" s="227"/>
      <c r="J111" s="229">
        <f>IF($F111="부록4",IFERROR(INDEX(③1일작업량DB!$G$6:$G$169,MATCH(SUBSTITUTE($C111&amp;"|"&amp;$D111,"~","~~"),③1일작업량DB!$J$6:$J$169,0)),""),$I111)</f>
        <v>8</v>
      </c>
      <c r="K111" s="273">
        <f t="shared" si="24"/>
        <v>1.7</v>
      </c>
      <c r="L111" s="139">
        <f t="shared" si="25"/>
        <v>1.7000000000000002</v>
      </c>
      <c r="M111" s="231">
        <v>0</v>
      </c>
      <c r="N111" s="231">
        <v>0</v>
      </c>
      <c r="O111" s="142">
        <f t="shared" si="26"/>
        <v>1.7000000000000002</v>
      </c>
      <c r="Q111" s="284">
        <v>1</v>
      </c>
    </row>
    <row r="112" spans="2:17" ht="30">
      <c r="B112" s="63">
        <v>98</v>
      </c>
      <c r="C112" s="114" t="s">
        <v>269</v>
      </c>
      <c r="D112" s="117" t="s">
        <v>885</v>
      </c>
      <c r="E112" s="140" t="s">
        <v>1435</v>
      </c>
      <c r="F112" s="118" t="s">
        <v>755</v>
      </c>
      <c r="G112" s="227">
        <v>3</v>
      </c>
      <c r="H112" s="9" t="str">
        <f>IF($F112="부록4",IFERROR(INDEX(③1일작업량DB!$H$6:$H$169,MATCH(SUBSTITUTE($C112&amp;"|"&amp;$D112,"~","~~"),③1일작업량DB!$J$6:$J$169,0)),"-"),"")</f>
        <v>개소/일</v>
      </c>
      <c r="I112" s="227"/>
      <c r="J112" s="229">
        <f>IF($F112="부록4",IFERROR(INDEX(③1일작업량DB!$G$6:$G$169,MATCH(SUBSTITUTE($C112&amp;"|"&amp;$D112,"~","~~"),③1일작업량DB!$J$6:$J$169,0)),""),$I112)</f>
        <v>1.5</v>
      </c>
      <c r="K112" s="273">
        <f t="shared" si="24"/>
        <v>1.7</v>
      </c>
      <c r="L112" s="139">
        <f t="shared" si="25"/>
        <v>1.2000000000000002</v>
      </c>
      <c r="M112" s="231">
        <v>0</v>
      </c>
      <c r="N112" s="231">
        <v>0</v>
      </c>
      <c r="O112" s="142">
        <f t="shared" si="26"/>
        <v>1.2000000000000002</v>
      </c>
      <c r="Q112" s="284">
        <v>1</v>
      </c>
    </row>
    <row r="113" spans="2:17" ht="15">
      <c r="B113" s="63">
        <v>99</v>
      </c>
      <c r="C113" s="114" t="s">
        <v>269</v>
      </c>
      <c r="D113" s="117" t="s">
        <v>891</v>
      </c>
      <c r="E113" s="140" t="s">
        <v>1436</v>
      </c>
      <c r="F113" s="118" t="s">
        <v>755</v>
      </c>
      <c r="G113" s="227">
        <v>15</v>
      </c>
      <c r="H113" s="9" t="str">
        <f>IF($F113="부록4",IFERROR(INDEX(③1일작업량DB!$H$6:$H$169,MATCH(SUBSTITUTE($C113&amp;"|"&amp;$D113,"~","~~"),③1일작업량DB!$J$6:$J$169,0)),"-"),"")</f>
        <v>개소/일</v>
      </c>
      <c r="I113" s="227"/>
      <c r="J113" s="229">
        <f>IF($F113="부록4",IFERROR(INDEX(③1일작업량DB!$G$6:$G$169,MATCH(SUBSTITUTE($C113&amp;"|"&amp;$D113,"~","~~"),③1일작업량DB!$J$6:$J$169,0)),""),$I113)</f>
        <v>10</v>
      </c>
      <c r="K113" s="273">
        <f t="shared" si="24"/>
        <v>1.7</v>
      </c>
      <c r="L113" s="139">
        <f t="shared" si="25"/>
        <v>0.9</v>
      </c>
      <c r="M113" s="231">
        <v>0</v>
      </c>
      <c r="N113" s="231">
        <v>0</v>
      </c>
      <c r="O113" s="142">
        <f t="shared" si="26"/>
        <v>0.9</v>
      </c>
      <c r="Q113" s="284">
        <v>1</v>
      </c>
    </row>
    <row r="114" spans="2:17" ht="30">
      <c r="B114" s="63">
        <v>100</v>
      </c>
      <c r="C114" s="114" t="s">
        <v>361</v>
      </c>
      <c r="D114" s="117" t="s">
        <v>756</v>
      </c>
      <c r="E114" s="140" t="s">
        <v>1437</v>
      </c>
      <c r="F114" s="118" t="s">
        <v>755</v>
      </c>
      <c r="G114" s="227">
        <v>16.100000000000001</v>
      </c>
      <c r="H114" s="9" t="str">
        <f>IF($F114="부록4",IFERROR(INDEX(③1일작업량DB!$H$6:$H$169,MATCH(SUBSTITUTE($C114&amp;"|"&amp;$D114,"~","~~"),③1일작업량DB!$J$6:$J$169,0)),"-"),"")</f>
        <v>㎥/일</v>
      </c>
      <c r="I114" s="227"/>
      <c r="J114" s="229">
        <f>IF($F114="부록4",IFERROR(INDEX(③1일작업량DB!$G$6:$G$169,MATCH(SUBSTITUTE($C114&amp;"|"&amp;$D114,"~","~~"),③1일작업량DB!$J$6:$J$169,0)),""),$I114)</f>
        <v>189</v>
      </c>
      <c r="K114" s="273">
        <f t="shared" si="24"/>
        <v>1.7</v>
      </c>
      <c r="L114" s="139">
        <f t="shared" si="25"/>
        <v>0.1</v>
      </c>
      <c r="M114" s="231">
        <v>0</v>
      </c>
      <c r="N114" s="231">
        <v>0</v>
      </c>
      <c r="O114" s="142">
        <f t="shared" si="26"/>
        <v>0.1</v>
      </c>
      <c r="Q114" s="284">
        <v>1</v>
      </c>
    </row>
    <row r="115" spans="2:17" ht="30">
      <c r="B115" s="63">
        <v>101</v>
      </c>
      <c r="C115" s="114" t="s">
        <v>361</v>
      </c>
      <c r="D115" s="117" t="s">
        <v>758</v>
      </c>
      <c r="E115" s="140" t="s">
        <v>1438</v>
      </c>
      <c r="F115" s="118" t="s">
        <v>755</v>
      </c>
      <c r="G115" s="227">
        <v>23.9</v>
      </c>
      <c r="H115" s="9" t="str">
        <f>IF($F115="부록4",IFERROR(INDEX(③1일작업량DB!$H$6:$H$169,MATCH(SUBSTITUTE($C115&amp;"|"&amp;$D115,"~","~~"),③1일작업량DB!$J$6:$J$169,0)),"-"),"")</f>
        <v>㎡/일</v>
      </c>
      <c r="I115" s="227"/>
      <c r="J115" s="229">
        <f>IF($F115="부록4",IFERROR(INDEX(③1일작업량DB!$G$6:$G$169,MATCH(SUBSTITUTE($C115&amp;"|"&amp;$D115,"~","~~"),③1일작업량DB!$J$6:$J$169,0)),""),$I115)</f>
        <v>60</v>
      </c>
      <c r="K115" s="273">
        <f t="shared" si="24"/>
        <v>1.7</v>
      </c>
      <c r="L115" s="139">
        <f t="shared" si="25"/>
        <v>0.30000000000000004</v>
      </c>
      <c r="M115" s="231">
        <v>0</v>
      </c>
      <c r="N115" s="231">
        <v>0</v>
      </c>
      <c r="O115" s="142">
        <f t="shared" si="26"/>
        <v>0.30000000000000004</v>
      </c>
      <c r="Q115" s="284">
        <v>1</v>
      </c>
    </row>
    <row r="116" spans="2:17" ht="15">
      <c r="B116" s="63">
        <v>102</v>
      </c>
      <c r="C116" s="114" t="s">
        <v>921</v>
      </c>
      <c r="D116" s="117" t="s">
        <v>946</v>
      </c>
      <c r="E116" s="140" t="s">
        <v>1439</v>
      </c>
      <c r="F116" s="118" t="s">
        <v>755</v>
      </c>
      <c r="G116" s="227">
        <v>4</v>
      </c>
      <c r="H116" s="9" t="str">
        <f>IF($F116="부록4",IFERROR(INDEX(③1일작업량DB!$H$6:$H$169,MATCH(SUBSTITUTE($C116&amp;"|"&amp;$D116,"~","~~"),③1일작업량DB!$J$6:$J$169,0)),"-"),"")</f>
        <v>개소/일</v>
      </c>
      <c r="I116" s="227"/>
      <c r="J116" s="229">
        <f>IF($F116="부록4",IFERROR(INDEX(③1일작업량DB!$G$6:$G$169,MATCH(SUBSTITUTE($C116&amp;"|"&amp;$D116,"~","~~"),③1일작업량DB!$J$6:$J$169,0)),""),$I116)</f>
        <v>3</v>
      </c>
      <c r="K116" s="273">
        <f t="shared" si="24"/>
        <v>1.7</v>
      </c>
      <c r="L116" s="139">
        <f t="shared" si="25"/>
        <v>0.79999999999999993</v>
      </c>
      <c r="M116" s="231">
        <v>0</v>
      </c>
      <c r="N116" s="231">
        <v>0</v>
      </c>
      <c r="O116" s="142">
        <f t="shared" si="26"/>
        <v>0.79999999999999993</v>
      </c>
      <c r="Q116" s="284">
        <v>1</v>
      </c>
    </row>
    <row r="117" spans="2:17" ht="15">
      <c r="B117" s="145"/>
      <c r="C117" s="438" t="s">
        <v>1440</v>
      </c>
      <c r="D117" s="169"/>
      <c r="E117" s="439"/>
      <c r="F117" s="149"/>
      <c r="G117" s="440"/>
      <c r="H117" s="151"/>
      <c r="I117" s="440"/>
      <c r="J117" s="441"/>
      <c r="K117" s="276"/>
      <c r="L117" s="155"/>
      <c r="M117" s="442"/>
      <c r="N117" s="442"/>
      <c r="O117" s="156">
        <f>SUM(O118:O126)</f>
        <v>23.4</v>
      </c>
      <c r="Q117" s="284"/>
    </row>
    <row r="118" spans="2:17" ht="30">
      <c r="B118" s="63">
        <v>103</v>
      </c>
      <c r="C118" s="114" t="s">
        <v>291</v>
      </c>
      <c r="D118" s="117" t="s">
        <v>893</v>
      </c>
      <c r="E118" s="140" t="s">
        <v>1441</v>
      </c>
      <c r="F118" s="118" t="s">
        <v>755</v>
      </c>
      <c r="G118" s="227">
        <v>4160.6000000000004</v>
      </c>
      <c r="H118" s="9" t="str">
        <f>IF($F118="부록4",IFERROR(INDEX(③1일작업량DB!$H$6:$H$169,MATCH(SUBSTITUTE($C118&amp;"|"&amp;$D118,"~","~~"),③1일작업량DB!$J$6:$J$169,0)),"-"),"")</f>
        <v>m/일</v>
      </c>
      <c r="I118" s="227"/>
      <c r="J118" s="229">
        <f>IF($F118="부록4",IFERROR(INDEX(③1일작업량DB!$G$6:$G$169,MATCH(SUBSTITUTE($C118&amp;"|"&amp;$D118,"~","~~"),③1일작업량DB!$J$6:$J$169,0)),""),$I118)</f>
        <v>120</v>
      </c>
      <c r="K118" s="273">
        <f t="shared" ref="K118:K126" si="27">$R$3*$Q118</f>
        <v>3.4</v>
      </c>
      <c r="L118" s="139">
        <f t="shared" ref="L118:L126" si="28">IFERROR(IF(AND($G118&gt;0,$J118&gt;0,$K118&gt;0),ROUNDUP($G118/($J118*$K118),1),0),0)</f>
        <v>10.199999999999999</v>
      </c>
      <c r="M118" s="231">
        <v>0</v>
      </c>
      <c r="N118" s="231">
        <v>0</v>
      </c>
      <c r="O118" s="142">
        <f t="shared" ref="O118:O126" si="29">$L118+$M118+$N118</f>
        <v>10.199999999999999</v>
      </c>
      <c r="Q118" s="284">
        <v>2</v>
      </c>
    </row>
    <row r="119" spans="2:17" ht="30">
      <c r="B119" s="63">
        <v>104</v>
      </c>
      <c r="C119" s="114" t="s">
        <v>291</v>
      </c>
      <c r="D119" s="117" t="s">
        <v>895</v>
      </c>
      <c r="E119" s="140" t="s">
        <v>1442</v>
      </c>
      <c r="F119" s="118" t="s">
        <v>755</v>
      </c>
      <c r="G119" s="227">
        <v>503.1</v>
      </c>
      <c r="H119" s="9" t="str">
        <f>IF($F119="부록4",IFERROR(INDEX(③1일작업량DB!$H$6:$H$169,MATCH(SUBSTITUTE($C119&amp;"|"&amp;$D119,"~","~~"),③1일작업량DB!$J$6:$J$169,0)),"-"),"")</f>
        <v>㎥/일</v>
      </c>
      <c r="I119" s="227"/>
      <c r="J119" s="229">
        <f>IF($F119="부록4",IFERROR(INDEX(③1일작업량DB!$G$6:$G$169,MATCH(SUBSTITUTE($C119&amp;"|"&amp;$D119,"~","~~"),③1일작업량DB!$J$6:$J$169,0)),""),$I119)</f>
        <v>60</v>
      </c>
      <c r="K119" s="273">
        <f t="shared" si="27"/>
        <v>3.4</v>
      </c>
      <c r="L119" s="139">
        <f t="shared" si="28"/>
        <v>2.5</v>
      </c>
      <c r="M119" s="231">
        <v>0</v>
      </c>
      <c r="N119" s="231">
        <v>0</v>
      </c>
      <c r="O119" s="142">
        <f t="shared" si="29"/>
        <v>2.5</v>
      </c>
      <c r="Q119" s="284">
        <v>2</v>
      </c>
    </row>
    <row r="120" spans="2:17" ht="32.15" customHeight="1">
      <c r="B120" s="63">
        <v>105</v>
      </c>
      <c r="C120" s="114" t="s">
        <v>291</v>
      </c>
      <c r="D120" s="117" t="s">
        <v>292</v>
      </c>
      <c r="E120" s="140" t="s">
        <v>1443</v>
      </c>
      <c r="F120" s="118" t="s">
        <v>755</v>
      </c>
      <c r="G120" s="227">
        <v>763.3</v>
      </c>
      <c r="H120" s="9" t="str">
        <f>IF($F120="부록4",IFERROR(INDEX(③1일작업량DB!$H$6:$H$169,MATCH(SUBSTITUTE($C120&amp;"|"&amp;$D120,"~","~~"),③1일작업량DB!$J$6:$J$169,0)),"-"),"")</f>
        <v>㎥/일</v>
      </c>
      <c r="I120" s="227"/>
      <c r="J120" s="229">
        <f>IF($F120="부록4",IFERROR(INDEX(③1일작업량DB!$G$6:$G$169,MATCH(SUBSTITUTE($C120&amp;"|"&amp;$D120,"~","~~"),③1일작업량DB!$J$6:$J$169,0)),""),$I120)</f>
        <v>550</v>
      </c>
      <c r="K120" s="273">
        <f t="shared" si="27"/>
        <v>1.7</v>
      </c>
      <c r="L120" s="139">
        <f t="shared" si="28"/>
        <v>0.9</v>
      </c>
      <c r="M120" s="231">
        <v>0</v>
      </c>
      <c r="N120" s="231">
        <v>0</v>
      </c>
      <c r="O120" s="142">
        <f t="shared" si="29"/>
        <v>0.9</v>
      </c>
      <c r="Q120" s="284">
        <v>1</v>
      </c>
    </row>
    <row r="121" spans="2:17" ht="15">
      <c r="B121" s="63">
        <v>106</v>
      </c>
      <c r="C121" s="114" t="s">
        <v>291</v>
      </c>
      <c r="D121" s="117" t="s">
        <v>897</v>
      </c>
      <c r="E121" s="140" t="s">
        <v>1203</v>
      </c>
      <c r="F121" s="118" t="s">
        <v>755</v>
      </c>
      <c r="G121" s="227">
        <v>988.7</v>
      </c>
      <c r="H121" s="9" t="str">
        <f>IF($F121="부록4",IFERROR(INDEX(③1일작업량DB!$H$6:$H$169,MATCH(SUBSTITUTE($C121&amp;"|"&amp;$D121,"~","~~"),③1일작업량DB!$J$6:$J$169,0)),"-"),"")</f>
        <v>㎡/일</v>
      </c>
      <c r="I121" s="227"/>
      <c r="J121" s="229">
        <f>IF($F121="부록4",IFERROR(INDEX(③1일작업량DB!$G$6:$G$169,MATCH(SUBSTITUTE($C121&amp;"|"&amp;$D121,"~","~~"),③1일작업량DB!$J$6:$J$169,0)),""),$I121)</f>
        <v>3000</v>
      </c>
      <c r="K121" s="273">
        <f t="shared" si="27"/>
        <v>1.7</v>
      </c>
      <c r="L121" s="139">
        <f t="shared" si="28"/>
        <v>0.2</v>
      </c>
      <c r="M121" s="231">
        <v>0</v>
      </c>
      <c r="N121" s="231">
        <v>0</v>
      </c>
      <c r="O121" s="142">
        <f t="shared" si="29"/>
        <v>0.2</v>
      </c>
      <c r="Q121" s="284">
        <v>1</v>
      </c>
    </row>
    <row r="122" spans="2:17" ht="15">
      <c r="B122" s="63">
        <v>107</v>
      </c>
      <c r="C122" s="114" t="s">
        <v>291</v>
      </c>
      <c r="D122" s="117" t="s">
        <v>761</v>
      </c>
      <c r="E122" s="140" t="s">
        <v>1444</v>
      </c>
      <c r="F122" s="118" t="s">
        <v>755</v>
      </c>
      <c r="G122" s="227">
        <v>988.7</v>
      </c>
      <c r="H122" s="9" t="str">
        <f>IF($F122="부록4",IFERROR(INDEX(③1일작업량DB!$H$6:$H$169,MATCH(SUBSTITUTE($C122&amp;"|"&amp;$D122,"~","~~"),③1일작업량DB!$J$6:$J$169,0)),"-"),"")</f>
        <v>㎡/일</v>
      </c>
      <c r="I122" s="227"/>
      <c r="J122" s="229">
        <f>IF($F122="부록4",IFERROR(INDEX(③1일작업량DB!$G$6:$G$169,MATCH(SUBSTITUTE($C122&amp;"|"&amp;$D122,"~","~~"),③1일작업량DB!$J$6:$J$169,0)),""),$I122)</f>
        <v>4500</v>
      </c>
      <c r="K122" s="273">
        <f t="shared" si="27"/>
        <v>1.7</v>
      </c>
      <c r="L122" s="139">
        <f t="shared" si="28"/>
        <v>0.2</v>
      </c>
      <c r="M122" s="231">
        <v>0</v>
      </c>
      <c r="N122" s="231">
        <v>0</v>
      </c>
      <c r="O122" s="142">
        <f t="shared" si="29"/>
        <v>0.2</v>
      </c>
      <c r="Q122" s="284">
        <v>1</v>
      </c>
    </row>
    <row r="123" spans="2:17" ht="30">
      <c r="B123" s="63">
        <v>108</v>
      </c>
      <c r="C123" s="114" t="s">
        <v>291</v>
      </c>
      <c r="D123" s="117" t="s">
        <v>899</v>
      </c>
      <c r="E123" s="140" t="s">
        <v>1445</v>
      </c>
      <c r="F123" s="118" t="s">
        <v>755</v>
      </c>
      <c r="G123" s="227">
        <v>2321.3000000000002</v>
      </c>
      <c r="H123" s="9" t="str">
        <f>IF($F123="부록4",IFERROR(INDEX(③1일작업량DB!$H$6:$H$169,MATCH(SUBSTITUTE($C123&amp;"|"&amp;$D123,"~","~~"),③1일작업량DB!$J$6:$J$169,0)),"-"),"")</f>
        <v>㎡/일</v>
      </c>
      <c r="I123" s="227"/>
      <c r="J123" s="229">
        <f>IF($F123="부록4",IFERROR(INDEX(③1일작업량DB!$G$6:$G$169,MATCH(SUBSTITUTE($C123&amp;"|"&amp;$D123,"~","~~"),③1일작업량DB!$J$6:$J$169,0)),""),$I123)</f>
        <v>3000</v>
      </c>
      <c r="K123" s="273">
        <f t="shared" si="27"/>
        <v>1.7</v>
      </c>
      <c r="L123" s="139">
        <f t="shared" si="28"/>
        <v>0.5</v>
      </c>
      <c r="M123" s="231">
        <v>0</v>
      </c>
      <c r="N123" s="231">
        <v>0</v>
      </c>
      <c r="O123" s="142">
        <f t="shared" si="29"/>
        <v>0.5</v>
      </c>
      <c r="Q123" s="284">
        <v>1</v>
      </c>
    </row>
    <row r="124" spans="2:17" ht="15">
      <c r="B124" s="63">
        <v>109</v>
      </c>
      <c r="C124" s="114" t="s">
        <v>291</v>
      </c>
      <c r="D124" s="117" t="s">
        <v>1036</v>
      </c>
      <c r="E124" s="140" t="s">
        <v>1446</v>
      </c>
      <c r="F124" s="118" t="s">
        <v>755</v>
      </c>
      <c r="G124" s="227">
        <v>2321.3000000000002</v>
      </c>
      <c r="H124" s="9" t="str">
        <f>IF($F124="부록4",IFERROR(INDEX(③1일작업량DB!$H$6:$H$169,MATCH(SUBSTITUTE($C124&amp;"|"&amp;$D124,"~","~~"),③1일작업량DB!$J$6:$J$169,0)),"-"),"")</f>
        <v>㎡/일</v>
      </c>
      <c r="I124" s="227"/>
      <c r="J124" s="229">
        <f>IF($F124="부록4",IFERROR(INDEX(③1일작업량DB!$G$6:$G$169,MATCH(SUBSTITUTE($C124&amp;"|"&amp;$D124,"~","~~"),③1일작업량DB!$J$6:$J$169,0)),""),$I124)</f>
        <v>4800</v>
      </c>
      <c r="K124" s="273">
        <f t="shared" si="27"/>
        <v>1.7</v>
      </c>
      <c r="L124" s="139">
        <f t="shared" si="28"/>
        <v>0.30000000000000004</v>
      </c>
      <c r="M124" s="231">
        <v>0</v>
      </c>
      <c r="N124" s="231">
        <v>0</v>
      </c>
      <c r="O124" s="142">
        <f t="shared" si="29"/>
        <v>0.30000000000000004</v>
      </c>
      <c r="Q124" s="284">
        <v>1</v>
      </c>
    </row>
    <row r="125" spans="2:17" ht="15">
      <c r="B125" s="63">
        <v>110</v>
      </c>
      <c r="C125" s="114" t="s">
        <v>291</v>
      </c>
      <c r="D125" s="117" t="s">
        <v>1393</v>
      </c>
      <c r="E125" s="140" t="s">
        <v>1447</v>
      </c>
      <c r="F125" s="118" t="s">
        <v>1120</v>
      </c>
      <c r="G125" s="227">
        <v>1756</v>
      </c>
      <c r="H125" s="9" t="s">
        <v>833</v>
      </c>
      <c r="I125" s="227">
        <v>1000</v>
      </c>
      <c r="J125" s="229">
        <f>IF($F125="부록4",IFERROR(INDEX(③1일작업량DB!$G$6:$G$169,MATCH(SUBSTITUTE($C125&amp;"|"&amp;$D125,"~","~~"),③1일작업량DB!$J$6:$J$169,0)),""),$I125)</f>
        <v>1000</v>
      </c>
      <c r="K125" s="273">
        <f t="shared" si="27"/>
        <v>1.7</v>
      </c>
      <c r="L125" s="139">
        <f t="shared" si="28"/>
        <v>1.1000000000000001</v>
      </c>
      <c r="M125" s="231">
        <v>0</v>
      </c>
      <c r="N125" s="231">
        <v>0</v>
      </c>
      <c r="O125" s="142">
        <f t="shared" si="29"/>
        <v>1.1000000000000001</v>
      </c>
      <c r="Q125" s="284">
        <v>1</v>
      </c>
    </row>
    <row r="126" spans="2:17" ht="30">
      <c r="B126" s="63">
        <v>111</v>
      </c>
      <c r="C126" s="114" t="s">
        <v>291</v>
      </c>
      <c r="D126" s="117" t="s">
        <v>1298</v>
      </c>
      <c r="E126" s="140" t="s">
        <v>1448</v>
      </c>
      <c r="F126" s="118" t="s">
        <v>1120</v>
      </c>
      <c r="G126" s="227">
        <v>1273.5999999999999</v>
      </c>
      <c r="H126" s="9" t="s">
        <v>833</v>
      </c>
      <c r="I126" s="227">
        <v>100</v>
      </c>
      <c r="J126" s="229">
        <f>IF($F126="부록4",IFERROR(INDEX(③1일작업량DB!$G$6:$G$169,MATCH(SUBSTITUTE($C126&amp;"|"&amp;$D126,"~","~~"),③1일작업량DB!$J$6:$J$169,0)),""),$I126)</f>
        <v>100</v>
      </c>
      <c r="K126" s="273">
        <f t="shared" si="27"/>
        <v>1.7</v>
      </c>
      <c r="L126" s="139">
        <f t="shared" si="28"/>
        <v>7.5</v>
      </c>
      <c r="M126" s="231">
        <v>0</v>
      </c>
      <c r="N126" s="231">
        <v>0</v>
      </c>
      <c r="O126" s="142">
        <f t="shared" si="29"/>
        <v>7.5</v>
      </c>
      <c r="Q126" s="284">
        <v>1</v>
      </c>
    </row>
    <row r="127" spans="2:17" ht="15">
      <c r="B127" s="145"/>
      <c r="C127" s="438" t="s">
        <v>1449</v>
      </c>
      <c r="D127" s="169"/>
      <c r="E127" s="439"/>
      <c r="F127" s="149"/>
      <c r="G127" s="440"/>
      <c r="H127" s="151"/>
      <c r="I127" s="440"/>
      <c r="J127" s="441"/>
      <c r="K127" s="276"/>
      <c r="L127" s="155"/>
      <c r="M127" s="442"/>
      <c r="N127" s="442"/>
      <c r="O127" s="156">
        <f>SUM(O128:O128)</f>
        <v>12.299999999999999</v>
      </c>
      <c r="Q127" s="284"/>
    </row>
    <row r="128" spans="2:17" ht="30">
      <c r="B128" s="63">
        <v>112</v>
      </c>
      <c r="C128" s="114" t="s">
        <v>921</v>
      </c>
      <c r="D128" s="117" t="s">
        <v>928</v>
      </c>
      <c r="E128" s="140" t="s">
        <v>1450</v>
      </c>
      <c r="F128" s="118" t="s">
        <v>755</v>
      </c>
      <c r="G128" s="227">
        <v>83</v>
      </c>
      <c r="H128" s="9" t="str">
        <f>IF($F128="부록4",IFERROR(INDEX(③1일작업량DB!$H$6:$H$169,MATCH(SUBSTITUTE($C128&amp;"|"&amp;$D128,"~","~~"),③1일작업량DB!$J$6:$J$169,0)),"-"),"")</f>
        <v>개소/일</v>
      </c>
      <c r="I128" s="227"/>
      <c r="J128" s="229">
        <f>IF($F128="부록4",IFERROR(INDEX(③1일작업량DB!$G$6:$G$169,MATCH(SUBSTITUTE($C128&amp;"|"&amp;$D128,"~","~~"),③1일작업량DB!$J$6:$J$169,0)),""),$I128)</f>
        <v>2</v>
      </c>
      <c r="K128" s="273">
        <f>$R$3*$Q128</f>
        <v>3.4</v>
      </c>
      <c r="L128" s="139">
        <f>IFERROR(IF(AND($G128&gt;0,$J128&gt;0,$K128&gt;0),ROUNDUP($G128/($J128*$K128),1),0),0)</f>
        <v>12.299999999999999</v>
      </c>
      <c r="M128" s="231">
        <v>0</v>
      </c>
      <c r="N128" s="231">
        <v>0</v>
      </c>
      <c r="O128" s="142">
        <f>$L128+$M128+$N128</f>
        <v>12.299999999999999</v>
      </c>
      <c r="Q128" s="284">
        <v>2</v>
      </c>
    </row>
    <row r="129" spans="2:17" ht="15">
      <c r="B129" s="145"/>
      <c r="C129" s="438" t="s">
        <v>1451</v>
      </c>
      <c r="D129" s="169"/>
      <c r="E129" s="439"/>
      <c r="F129" s="149"/>
      <c r="G129" s="440"/>
      <c r="H129" s="151"/>
      <c r="I129" s="440"/>
      <c r="J129" s="441"/>
      <c r="K129" s="276"/>
      <c r="L129" s="155"/>
      <c r="M129" s="442"/>
      <c r="N129" s="442"/>
      <c r="O129" s="156">
        <f>SUM(O130:O133)</f>
        <v>10.799999999999999</v>
      </c>
      <c r="Q129" s="284"/>
    </row>
    <row r="130" spans="2:17" ht="15">
      <c r="B130" s="63">
        <v>113</v>
      </c>
      <c r="C130" s="114" t="s">
        <v>231</v>
      </c>
      <c r="D130" s="117" t="s">
        <v>950</v>
      </c>
      <c r="E130" s="140" t="s">
        <v>1452</v>
      </c>
      <c r="F130" s="118" t="s">
        <v>755</v>
      </c>
      <c r="G130" s="227">
        <v>1322.5740000000001</v>
      </c>
      <c r="H130" s="9" t="str">
        <f>IF($F130="부록4",IFERROR(INDEX(③1일작업량DB!$H$6:$H$169,MATCH(SUBSTITUTE($C130&amp;"|"&amp;$D130,"~","~~"),③1일작업량DB!$J$6:$J$169,0)),"-"),"")</f>
        <v>㎥/일</v>
      </c>
      <c r="I130" s="227"/>
      <c r="J130" s="229">
        <f>IF($F130="부록4",IFERROR(INDEX(③1일작업량DB!$G$6:$G$169,MATCH(SUBSTITUTE($C130&amp;"|"&amp;$D130,"~","~~"),③1일작업량DB!$J$6:$J$169,0)),""),$I130)</f>
        <v>349</v>
      </c>
      <c r="K130" s="273">
        <f>$R$3*$Q130</f>
        <v>3.4</v>
      </c>
      <c r="L130" s="139">
        <f>IFERROR(IF(AND($G130&gt;0,$J130&gt;0,$K130&gt;0),ROUNDUP($G130/($J130*$K130),1),0),0)</f>
        <v>1.2000000000000002</v>
      </c>
      <c r="M130" s="231">
        <v>0</v>
      </c>
      <c r="N130" s="231">
        <v>0</v>
      </c>
      <c r="O130" s="142">
        <f>$L130+$M130+$N130</f>
        <v>1.2000000000000002</v>
      </c>
      <c r="Q130" s="284">
        <v>2</v>
      </c>
    </row>
    <row r="131" spans="2:17" ht="15">
      <c r="B131" s="63">
        <v>114</v>
      </c>
      <c r="C131" s="114" t="s">
        <v>231</v>
      </c>
      <c r="D131" s="117" t="s">
        <v>257</v>
      </c>
      <c r="E131" s="140" t="s">
        <v>1419</v>
      </c>
      <c r="F131" s="118" t="s">
        <v>755</v>
      </c>
      <c r="G131" s="227">
        <v>647.02200000000005</v>
      </c>
      <c r="H131" s="9" t="str">
        <f>IF($F131="부록4",IFERROR(INDEX(③1일작업량DB!$H$6:$H$169,MATCH(SUBSTITUTE($C131&amp;"|"&amp;$D131,"~","~~"),③1일작업량DB!$J$6:$J$169,0)),"-"),"")</f>
        <v>㎥/일</v>
      </c>
      <c r="I131" s="227"/>
      <c r="J131" s="229">
        <f>IF($F131="부록4",IFERROR(INDEX(③1일작업량DB!$G$6:$G$169,MATCH(SUBSTITUTE($C131&amp;"|"&amp;$D131,"~","~~"),③1일작업량DB!$J$6:$J$169,0)),""),$I131)</f>
        <v>42</v>
      </c>
      <c r="K131" s="273">
        <f>$R$3*$Q131</f>
        <v>3.4</v>
      </c>
      <c r="L131" s="139">
        <f>IFERROR(IF(AND($G131&gt;0,$J131&gt;0,$K131&gt;0),ROUNDUP($G131/($J131*$K131),1),0),0)</f>
        <v>4.5999999999999996</v>
      </c>
      <c r="M131" s="231">
        <v>0</v>
      </c>
      <c r="N131" s="231">
        <v>0</v>
      </c>
      <c r="O131" s="142">
        <f>$L131+$M131+$N131</f>
        <v>4.5999999999999996</v>
      </c>
      <c r="Q131" s="284">
        <v>2</v>
      </c>
    </row>
    <row r="132" spans="2:17" ht="15">
      <c r="B132" s="63">
        <v>115</v>
      </c>
      <c r="C132" s="114" t="s">
        <v>231</v>
      </c>
      <c r="D132" s="117" t="s">
        <v>257</v>
      </c>
      <c r="E132" s="140" t="s">
        <v>1453</v>
      </c>
      <c r="F132" s="118" t="s">
        <v>755</v>
      </c>
      <c r="G132" s="227">
        <v>653.76</v>
      </c>
      <c r="H132" s="9" t="str">
        <f>IF($F132="부록4",IFERROR(INDEX(③1일작업량DB!$H$6:$H$169,MATCH(SUBSTITUTE($C132&amp;"|"&amp;$D132,"~","~~"),③1일작업량DB!$J$6:$J$169,0)),"-"),"")</f>
        <v>㎥/일</v>
      </c>
      <c r="I132" s="227"/>
      <c r="J132" s="229">
        <f>IF($F132="부록4",IFERROR(INDEX(③1일작업량DB!$G$6:$G$169,MATCH(SUBSTITUTE($C132&amp;"|"&amp;$D132,"~","~~"),③1일작업량DB!$J$6:$J$169,0)),""),$I132)</f>
        <v>42</v>
      </c>
      <c r="K132" s="273">
        <f>$R$3*$Q132</f>
        <v>3.4</v>
      </c>
      <c r="L132" s="139">
        <f>IFERROR(IF(AND($G132&gt;0,$J132&gt;0,$K132&gt;0),ROUNDUP($G132/($J132*$K132),1),0),0)</f>
        <v>4.5999999999999996</v>
      </c>
      <c r="M132" s="231">
        <v>0</v>
      </c>
      <c r="N132" s="231">
        <v>0</v>
      </c>
      <c r="O132" s="142">
        <f>$L132+$M132+$N132</f>
        <v>4.5999999999999996</v>
      </c>
      <c r="Q132" s="284">
        <v>2</v>
      </c>
    </row>
    <row r="133" spans="2:17" ht="30">
      <c r="B133" s="63">
        <v>116</v>
      </c>
      <c r="C133" s="114" t="s">
        <v>231</v>
      </c>
      <c r="D133" s="117" t="s">
        <v>829</v>
      </c>
      <c r="E133" s="140" t="s">
        <v>1454</v>
      </c>
      <c r="F133" s="118" t="s">
        <v>755</v>
      </c>
      <c r="G133" s="227">
        <v>270.73399999999998</v>
      </c>
      <c r="H133" s="9" t="str">
        <f>IF($F133="부록4",IFERROR(INDEX(③1일작업량DB!$H$6:$H$169,MATCH(SUBSTITUTE($C133&amp;"|"&amp;$D133,"~","~~"),③1일작업량DB!$J$6:$J$169,0)),"-"),"")</f>
        <v>㎥/일</v>
      </c>
      <c r="I133" s="227"/>
      <c r="J133" s="229">
        <f>IF($F133="부록4",IFERROR(INDEX(③1일작업량DB!$G$6:$G$169,MATCH(SUBSTITUTE($C133&amp;"|"&amp;$D133,"~","~~"),③1일작업량DB!$J$6:$J$169,0)),""),$I133)</f>
        <v>500</v>
      </c>
      <c r="K133" s="273">
        <f>$R$3*$Q133</f>
        <v>1.7</v>
      </c>
      <c r="L133" s="139">
        <f>IFERROR(IF(AND($G133&gt;0,$J133&gt;0,$K133&gt;0),ROUNDUP($G133/($J133*$K133),1),0),0)</f>
        <v>0.4</v>
      </c>
      <c r="M133" s="231">
        <v>0</v>
      </c>
      <c r="N133" s="231">
        <v>0</v>
      </c>
      <c r="O133" s="142">
        <f>$L133+$M133+$N133</f>
        <v>0.4</v>
      </c>
      <c r="Q133" s="284">
        <v>1</v>
      </c>
    </row>
    <row r="134" spans="2:17" ht="15">
      <c r="B134" s="145"/>
      <c r="C134" s="438" t="s">
        <v>1455</v>
      </c>
      <c r="D134" s="169"/>
      <c r="E134" s="439"/>
      <c r="F134" s="149"/>
      <c r="G134" s="440"/>
      <c r="H134" s="151"/>
      <c r="I134" s="440"/>
      <c r="J134" s="441"/>
      <c r="K134" s="276"/>
      <c r="L134" s="155"/>
      <c r="M134" s="442"/>
      <c r="N134" s="442"/>
      <c r="O134" s="156">
        <f>SUM(O135:O137)</f>
        <v>30.5</v>
      </c>
      <c r="Q134" s="284"/>
    </row>
    <row r="135" spans="2:17" ht="30">
      <c r="B135" s="63">
        <v>117</v>
      </c>
      <c r="C135" s="114" t="s">
        <v>403</v>
      </c>
      <c r="D135" s="117" t="s">
        <v>913</v>
      </c>
      <c r="E135" s="140" t="s">
        <v>1456</v>
      </c>
      <c r="F135" s="118" t="s">
        <v>755</v>
      </c>
      <c r="G135" s="227">
        <v>455</v>
      </c>
      <c r="H135" s="9" t="str">
        <f>IF($F135="부록4",IFERROR(INDEX(③1일작업량DB!$H$6:$H$169,MATCH(SUBSTITUTE($C135&amp;"|"&amp;$D135,"~","~~"),③1일작업량DB!$J$6:$J$169,0)),"-"),"")</f>
        <v>개소/일</v>
      </c>
      <c r="I135" s="227"/>
      <c r="J135" s="229">
        <f>IF($F135="부록4",IFERROR(INDEX(③1일작업량DB!$G$6:$G$169,MATCH(SUBSTITUTE($C135&amp;"|"&amp;$D135,"~","~~"),③1일작업량DB!$J$6:$J$169,0)),""),$I135)</f>
        <v>15</v>
      </c>
      <c r="K135" s="273">
        <f>$R$3*$Q135</f>
        <v>5.0999999999999996</v>
      </c>
      <c r="L135" s="139">
        <f>IFERROR(IF(AND($G135&gt;0,$J135&gt;0,$K135&gt;0),ROUNDUP($G135/($J135*$K135),1),0),0)</f>
        <v>6</v>
      </c>
      <c r="M135" s="231">
        <v>0</v>
      </c>
      <c r="N135" s="231">
        <v>0</v>
      </c>
      <c r="O135" s="142">
        <f>$L135+$M135+$N135</f>
        <v>6</v>
      </c>
      <c r="Q135" s="284">
        <v>3</v>
      </c>
    </row>
    <row r="136" spans="2:17" ht="15">
      <c r="B136" s="63">
        <v>118</v>
      </c>
      <c r="C136" s="114" t="s">
        <v>403</v>
      </c>
      <c r="D136" s="117" t="s">
        <v>911</v>
      </c>
      <c r="E136" s="140" t="s">
        <v>1457</v>
      </c>
      <c r="F136" s="118" t="s">
        <v>755</v>
      </c>
      <c r="G136" s="227">
        <v>597</v>
      </c>
      <c r="H136" s="9" t="str">
        <f>IF($F136="부록4",IFERROR(INDEX(③1일작업량DB!$H$6:$H$169,MATCH(SUBSTITUTE($C136&amp;"|"&amp;$D136,"~","~~"),③1일작업량DB!$J$6:$J$169,0)),"-"),"")</f>
        <v>개소/일</v>
      </c>
      <c r="I136" s="227"/>
      <c r="J136" s="229">
        <f>IF($F136="부록4",IFERROR(INDEX(③1일작업량DB!$G$6:$G$169,MATCH(SUBSTITUTE($C136&amp;"|"&amp;$D136,"~","~~"),③1일작업량DB!$J$6:$J$169,0)),""),$I136)</f>
        <v>8</v>
      </c>
      <c r="K136" s="273">
        <f>$R$3*$Q136</f>
        <v>5.0999999999999996</v>
      </c>
      <c r="L136" s="139">
        <f>IFERROR(IF(AND($G136&gt;0,$J136&gt;0,$K136&gt;0),ROUNDUP($G136/($J136*$K136),1),0),0)</f>
        <v>14.7</v>
      </c>
      <c r="M136" s="231">
        <v>0</v>
      </c>
      <c r="N136" s="231">
        <v>0</v>
      </c>
      <c r="O136" s="142">
        <f>$L136+$M136+$N136</f>
        <v>14.7</v>
      </c>
      <c r="Q136" s="284">
        <v>3</v>
      </c>
    </row>
    <row r="137" spans="2:17" ht="15">
      <c r="B137" s="63">
        <v>119</v>
      </c>
      <c r="C137" s="114" t="s">
        <v>403</v>
      </c>
      <c r="D137" s="117" t="s">
        <v>915</v>
      </c>
      <c r="E137" s="140" t="s">
        <v>1458</v>
      </c>
      <c r="F137" s="118" t="s">
        <v>755</v>
      </c>
      <c r="G137" s="227">
        <v>597</v>
      </c>
      <c r="H137" s="9" t="str">
        <f>IF($F137="부록4",IFERROR(INDEX(③1일작업량DB!$H$6:$H$169,MATCH(SUBSTITUTE($C137&amp;"|"&amp;$D137,"~","~~"),③1일작업량DB!$J$6:$J$169,0)),"-"),"")</f>
        <v>개소/일</v>
      </c>
      <c r="I137" s="227"/>
      <c r="J137" s="229">
        <f>IF($F137="부록4",IFERROR(INDEX(③1일작업량DB!$G$6:$G$169,MATCH(SUBSTITUTE($C137&amp;"|"&amp;$D137,"~","~~"),③1일작업량DB!$J$6:$J$169,0)),""),$I137)</f>
        <v>12</v>
      </c>
      <c r="K137" s="273">
        <f>$R$3*$Q137</f>
        <v>5.0999999999999996</v>
      </c>
      <c r="L137" s="139">
        <f>IFERROR(IF(AND($G137&gt;0,$J137&gt;0,$K137&gt;0),ROUNDUP($G137/($J137*$K137),1),0),0)</f>
        <v>9.7999999999999989</v>
      </c>
      <c r="M137" s="231">
        <v>0</v>
      </c>
      <c r="N137" s="231">
        <v>0</v>
      </c>
      <c r="O137" s="142">
        <f>$L137+$M137+$N137</f>
        <v>9.7999999999999989</v>
      </c>
      <c r="Q137" s="284">
        <v>3</v>
      </c>
    </row>
    <row r="138" spans="2:17" ht="15">
      <c r="B138" s="145"/>
      <c r="C138" s="438" t="s">
        <v>1459</v>
      </c>
      <c r="D138" s="169"/>
      <c r="E138" s="439"/>
      <c r="F138" s="149"/>
      <c r="G138" s="440"/>
      <c r="H138" s="151"/>
      <c r="I138" s="440"/>
      <c r="J138" s="441"/>
      <c r="K138" s="276"/>
      <c r="L138" s="155"/>
      <c r="M138" s="442"/>
      <c r="N138" s="442"/>
      <c r="O138" s="156">
        <f>SUM(O139:O141)</f>
        <v>6.5</v>
      </c>
      <c r="Q138" s="284"/>
    </row>
    <row r="139" spans="2:17" ht="15">
      <c r="B139" s="63">
        <v>120</v>
      </c>
      <c r="C139" s="114" t="s">
        <v>269</v>
      </c>
      <c r="D139" s="117" t="s">
        <v>887</v>
      </c>
      <c r="E139" s="140" t="s">
        <v>1460</v>
      </c>
      <c r="F139" s="118" t="s">
        <v>755</v>
      </c>
      <c r="G139" s="227">
        <v>26</v>
      </c>
      <c r="H139" s="9" t="str">
        <f>IF($F139="부록4",IFERROR(INDEX(③1일작업량DB!$H$6:$H$169,MATCH(SUBSTITUTE($C139&amp;"|"&amp;$D139,"~","~~"),③1일작업량DB!$J$6:$J$169,0)),"-"),"")</f>
        <v>개소/일</v>
      </c>
      <c r="I139" s="227"/>
      <c r="J139" s="229">
        <f>IF($F139="부록4",IFERROR(INDEX(③1일작업량DB!$G$6:$G$169,MATCH(SUBSTITUTE($C139&amp;"|"&amp;$D139,"~","~~"),③1일작업량DB!$J$6:$J$169,0)),""),$I139)</f>
        <v>4</v>
      </c>
      <c r="K139" s="273">
        <f>$R$3*$Q139</f>
        <v>1.7</v>
      </c>
      <c r="L139" s="139">
        <f>IFERROR(IF(AND($G139&gt;0,$J139&gt;0,$K139&gt;0),ROUNDUP($G139/($J139*$K139),1),0),0)</f>
        <v>3.9</v>
      </c>
      <c r="M139" s="231">
        <v>0</v>
      </c>
      <c r="N139" s="231">
        <v>0</v>
      </c>
      <c r="O139" s="142">
        <f>$L139+$M139+$N139</f>
        <v>3.9</v>
      </c>
      <c r="Q139" s="284">
        <v>1</v>
      </c>
    </row>
    <row r="140" spans="2:17" ht="15">
      <c r="B140" s="63">
        <v>121</v>
      </c>
      <c r="C140" s="114" t="s">
        <v>361</v>
      </c>
      <c r="D140" s="117" t="s">
        <v>756</v>
      </c>
      <c r="E140" s="140" t="s">
        <v>1461</v>
      </c>
      <c r="F140" s="118" t="s">
        <v>755</v>
      </c>
      <c r="G140" s="227">
        <v>2.2000000000000002</v>
      </c>
      <c r="H140" s="9" t="str">
        <f>IF($F140="부록4",IFERROR(INDEX(③1일작업량DB!$H$6:$H$169,MATCH(SUBSTITUTE($C140&amp;"|"&amp;$D140,"~","~~"),③1일작업량DB!$J$6:$J$169,0)),"-"),"")</f>
        <v>㎥/일</v>
      </c>
      <c r="I140" s="227"/>
      <c r="J140" s="229">
        <f>IF($F140="부록4",IFERROR(INDEX(③1일작업량DB!$G$6:$G$169,MATCH(SUBSTITUTE($C140&amp;"|"&amp;$D140,"~","~~"),③1일작업량DB!$J$6:$J$169,0)),""),$I140)</f>
        <v>189</v>
      </c>
      <c r="K140" s="273">
        <f>$R$3*$Q140</f>
        <v>1.7</v>
      </c>
      <c r="L140" s="139">
        <f>IFERROR(IF(AND($G140&gt;0,$J140&gt;0,$K140&gt;0),ROUNDUP($G140/($J140*$K140),1),0),0)</f>
        <v>0.1</v>
      </c>
      <c r="M140" s="231">
        <v>0</v>
      </c>
      <c r="N140" s="231">
        <v>0</v>
      </c>
      <c r="O140" s="142">
        <f>$L140+$M140+$N140</f>
        <v>0.1</v>
      </c>
      <c r="Q140" s="284">
        <v>1</v>
      </c>
    </row>
    <row r="141" spans="2:17" ht="15">
      <c r="B141" s="63">
        <v>122</v>
      </c>
      <c r="C141" s="114" t="s">
        <v>921</v>
      </c>
      <c r="D141" s="117" t="s">
        <v>1462</v>
      </c>
      <c r="E141" s="140" t="s">
        <v>1463</v>
      </c>
      <c r="F141" s="118" t="s">
        <v>1120</v>
      </c>
      <c r="G141" s="227">
        <v>83</v>
      </c>
      <c r="H141" s="9" t="s">
        <v>1464</v>
      </c>
      <c r="I141" s="227">
        <v>20</v>
      </c>
      <c r="J141" s="229">
        <f>IF($F141="부록4",IFERROR(INDEX(③1일작업량DB!$G$6:$G$169,MATCH(SUBSTITUTE($C141&amp;"|"&amp;$D141,"~","~~"),③1일작업량DB!$J$6:$J$169,0)),""),$I141)</f>
        <v>20</v>
      </c>
      <c r="K141" s="273">
        <f>$R$3*$Q141</f>
        <v>1.7</v>
      </c>
      <c r="L141" s="139">
        <f>IFERROR(IF(AND($G141&gt;0,$J141&gt;0,$K141&gt;0),ROUNDUP($G141/($J141*$K141),1),0),0)</f>
        <v>2.5</v>
      </c>
      <c r="M141" s="231">
        <v>0</v>
      </c>
      <c r="N141" s="231">
        <v>0</v>
      </c>
      <c r="O141" s="142">
        <f>$L141+$M141+$N141</f>
        <v>2.5</v>
      </c>
      <c r="Q141" s="284">
        <v>1</v>
      </c>
    </row>
    <row r="142" spans="2:17" ht="15">
      <c r="B142" s="145"/>
      <c r="C142" s="438" t="s">
        <v>1465</v>
      </c>
      <c r="D142" s="169"/>
      <c r="E142" s="439"/>
      <c r="F142" s="149"/>
      <c r="G142" s="440"/>
      <c r="H142" s="151"/>
      <c r="I142" s="440"/>
      <c r="J142" s="441"/>
      <c r="K142" s="276"/>
      <c r="L142" s="155"/>
      <c r="M142" s="442"/>
      <c r="N142" s="442"/>
      <c r="O142" s="156">
        <f>SUM(O143:O148)</f>
        <v>14.299999999999999</v>
      </c>
      <c r="Q142" s="284"/>
    </row>
    <row r="143" spans="2:17" ht="15">
      <c r="B143" s="63">
        <v>123</v>
      </c>
      <c r="C143" s="114" t="s">
        <v>291</v>
      </c>
      <c r="D143" s="117" t="s">
        <v>893</v>
      </c>
      <c r="E143" s="140" t="s">
        <v>1466</v>
      </c>
      <c r="F143" s="118" t="s">
        <v>755</v>
      </c>
      <c r="G143" s="227">
        <v>3108</v>
      </c>
      <c r="H143" s="9" t="str">
        <f>IF($F143="부록4",IFERROR(INDEX(③1일작업량DB!$H$6:$H$169,MATCH(SUBSTITUTE($C143&amp;"|"&amp;$D143,"~","~~"),③1일작업량DB!$J$6:$J$169,0)),"-"),"")</f>
        <v>m/일</v>
      </c>
      <c r="I143" s="227"/>
      <c r="J143" s="229">
        <f>IF($F143="부록4",IFERROR(INDEX(③1일작업량DB!$G$6:$G$169,MATCH(SUBSTITUTE($C143&amp;"|"&amp;$D143,"~","~~"),③1일작업량DB!$J$6:$J$169,0)),""),$I143)</f>
        <v>120</v>
      </c>
      <c r="K143" s="273">
        <f t="shared" ref="K143:K148" si="30">$R$3*$Q143</f>
        <v>3.4</v>
      </c>
      <c r="L143" s="139">
        <f t="shared" ref="L143:L148" si="31">IFERROR(IF(AND($G143&gt;0,$J143&gt;0,$K143&gt;0),ROUNDUP($G143/($J143*$K143),1),0),0)</f>
        <v>7.6999999999999993</v>
      </c>
      <c r="M143" s="231">
        <v>0</v>
      </c>
      <c r="N143" s="231">
        <v>0</v>
      </c>
      <c r="O143" s="142">
        <f t="shared" ref="O143:O148" si="32">$L143+$M143+$N143</f>
        <v>7.6999999999999993</v>
      </c>
      <c r="Q143" s="284">
        <v>2</v>
      </c>
    </row>
    <row r="144" spans="2:17" ht="30">
      <c r="B144" s="63">
        <v>124</v>
      </c>
      <c r="C144" s="114" t="s">
        <v>291</v>
      </c>
      <c r="D144" s="117" t="s">
        <v>895</v>
      </c>
      <c r="E144" s="140" t="s">
        <v>1467</v>
      </c>
      <c r="F144" s="118" t="s">
        <v>755</v>
      </c>
      <c r="G144" s="227">
        <v>270.73399999999998</v>
      </c>
      <c r="H144" s="9" t="str">
        <f>IF($F144="부록4",IFERROR(INDEX(③1일작업량DB!$H$6:$H$169,MATCH(SUBSTITUTE($C144&amp;"|"&amp;$D144,"~","~~"),③1일작업량DB!$J$6:$J$169,0)),"-"),"")</f>
        <v>㎥/일</v>
      </c>
      <c r="I144" s="227"/>
      <c r="J144" s="229">
        <f>IF($F144="부록4",IFERROR(INDEX(③1일작업량DB!$G$6:$G$169,MATCH(SUBSTITUTE($C144&amp;"|"&amp;$D144,"~","~~"),③1일작업량DB!$J$6:$J$169,0)),""),$I144)</f>
        <v>60</v>
      </c>
      <c r="K144" s="273">
        <f t="shared" si="30"/>
        <v>3.4</v>
      </c>
      <c r="L144" s="139">
        <f t="shared" si="31"/>
        <v>1.4000000000000001</v>
      </c>
      <c r="M144" s="231">
        <v>0</v>
      </c>
      <c r="N144" s="231">
        <v>0</v>
      </c>
      <c r="O144" s="142">
        <f t="shared" si="32"/>
        <v>1.4000000000000001</v>
      </c>
      <c r="Q144" s="284">
        <v>2</v>
      </c>
    </row>
    <row r="145" spans="2:17" ht="15">
      <c r="B145" s="63">
        <v>125</v>
      </c>
      <c r="C145" s="114" t="s">
        <v>291</v>
      </c>
      <c r="D145" s="117" t="s">
        <v>1036</v>
      </c>
      <c r="E145" s="140" t="s">
        <v>1468</v>
      </c>
      <c r="F145" s="118" t="s">
        <v>755</v>
      </c>
      <c r="G145" s="227">
        <v>80.510000000000005</v>
      </c>
      <c r="H145" s="9" t="str">
        <f>IF($F145="부록4",IFERROR(INDEX(③1일작업량DB!$H$6:$H$169,MATCH(SUBSTITUTE($C145&amp;"|"&amp;$D145,"~","~~"),③1일작업량DB!$J$6:$J$169,0)),"-"),"")</f>
        <v>㎡/일</v>
      </c>
      <c r="I145" s="227"/>
      <c r="J145" s="229">
        <f>IF($F145="부록4",IFERROR(INDEX(③1일작업량DB!$G$6:$G$169,MATCH(SUBSTITUTE($C145&amp;"|"&amp;$D145,"~","~~"),③1일작업량DB!$J$6:$J$169,0)),""),$I145)</f>
        <v>4800</v>
      </c>
      <c r="K145" s="273">
        <f t="shared" si="30"/>
        <v>1.7</v>
      </c>
      <c r="L145" s="139">
        <f t="shared" si="31"/>
        <v>0.1</v>
      </c>
      <c r="M145" s="231">
        <v>0</v>
      </c>
      <c r="N145" s="231">
        <v>0</v>
      </c>
      <c r="O145" s="142">
        <f t="shared" si="32"/>
        <v>0.1</v>
      </c>
      <c r="Q145" s="284">
        <v>1</v>
      </c>
    </row>
    <row r="146" spans="2:17" ht="15">
      <c r="B146" s="63">
        <v>126</v>
      </c>
      <c r="C146" s="114" t="s">
        <v>291</v>
      </c>
      <c r="D146" s="117" t="s">
        <v>899</v>
      </c>
      <c r="E146" s="140" t="s">
        <v>1469</v>
      </c>
      <c r="F146" s="118" t="s">
        <v>755</v>
      </c>
      <c r="G146" s="227">
        <v>80.510000000000005</v>
      </c>
      <c r="H146" s="9" t="str">
        <f>IF($F146="부록4",IFERROR(INDEX(③1일작업량DB!$H$6:$H$169,MATCH(SUBSTITUTE($C146&amp;"|"&amp;$D146,"~","~~"),③1일작업량DB!$J$6:$J$169,0)),"-"),"")</f>
        <v>㎡/일</v>
      </c>
      <c r="I146" s="227"/>
      <c r="J146" s="229">
        <f>IF($F146="부록4",IFERROR(INDEX(③1일작업량DB!$G$6:$G$169,MATCH(SUBSTITUTE($C146&amp;"|"&amp;$D146,"~","~~"),③1일작업량DB!$J$6:$J$169,0)),""),$I146)</f>
        <v>3000</v>
      </c>
      <c r="K146" s="273">
        <f t="shared" si="30"/>
        <v>1.7</v>
      </c>
      <c r="L146" s="139">
        <f t="shared" si="31"/>
        <v>0.1</v>
      </c>
      <c r="M146" s="231">
        <v>0</v>
      </c>
      <c r="N146" s="231">
        <v>0</v>
      </c>
      <c r="O146" s="142">
        <f t="shared" si="32"/>
        <v>0.1</v>
      </c>
      <c r="Q146" s="284">
        <v>1</v>
      </c>
    </row>
    <row r="147" spans="2:17" ht="30">
      <c r="B147" s="63">
        <v>127</v>
      </c>
      <c r="C147" s="114" t="s">
        <v>291</v>
      </c>
      <c r="D147" s="117" t="s">
        <v>1298</v>
      </c>
      <c r="E147" s="140" t="s">
        <v>1470</v>
      </c>
      <c r="F147" s="118" t="s">
        <v>1120</v>
      </c>
      <c r="G147" s="227">
        <v>1333.53</v>
      </c>
      <c r="H147" s="9" t="s">
        <v>833</v>
      </c>
      <c r="I147" s="227">
        <v>100</v>
      </c>
      <c r="J147" s="229">
        <f>IF($F147="부록4",IFERROR(INDEX(③1일작업량DB!$G$6:$G$169,MATCH(SUBSTITUTE($C147&amp;"|"&amp;$D147,"~","~~"),③1일작업량DB!$J$6:$J$169,0)),""),$I147)</f>
        <v>100</v>
      </c>
      <c r="K147" s="273">
        <f t="shared" si="30"/>
        <v>3.4</v>
      </c>
      <c r="L147" s="139">
        <f t="shared" si="31"/>
        <v>4</v>
      </c>
      <c r="M147" s="231">
        <v>0</v>
      </c>
      <c r="N147" s="231">
        <v>0</v>
      </c>
      <c r="O147" s="142">
        <f t="shared" si="32"/>
        <v>4</v>
      </c>
      <c r="Q147" s="284">
        <v>2</v>
      </c>
    </row>
    <row r="148" spans="2:17" ht="15">
      <c r="B148" s="63">
        <v>128</v>
      </c>
      <c r="C148" s="114" t="s">
        <v>231</v>
      </c>
      <c r="D148" s="117" t="s">
        <v>834</v>
      </c>
      <c r="E148" s="140" t="s">
        <v>1471</v>
      </c>
      <c r="F148" s="118" t="s">
        <v>755</v>
      </c>
      <c r="G148" s="227">
        <v>159.74</v>
      </c>
      <c r="H148" s="9" t="str">
        <f>IF($F148="부록4",IFERROR(INDEX(③1일작업량DB!$H$6:$H$169,MATCH(SUBSTITUTE($C148&amp;"|"&amp;$D148,"~","~~"),③1일작업량DB!$J$6:$J$169,0)),"-"),"")</f>
        <v>㎡/일</v>
      </c>
      <c r="I148" s="227"/>
      <c r="J148" s="229">
        <f>IF($F148="부록4",IFERROR(INDEX(③1일작업량DB!$G$6:$G$169,MATCH(SUBSTITUTE($C148&amp;"|"&amp;$D148,"~","~~"),③1일작업량DB!$J$6:$J$169,0)),""),$I148)</f>
        <v>100</v>
      </c>
      <c r="K148" s="273">
        <f t="shared" si="30"/>
        <v>1.7</v>
      </c>
      <c r="L148" s="139">
        <f t="shared" si="31"/>
        <v>1</v>
      </c>
      <c r="M148" s="231">
        <v>0</v>
      </c>
      <c r="N148" s="231">
        <v>0</v>
      </c>
      <c r="O148" s="142">
        <f t="shared" si="32"/>
        <v>1</v>
      </c>
      <c r="Q148" s="284">
        <v>1</v>
      </c>
    </row>
    <row r="149" spans="2:17" ht="15">
      <c r="B149" s="145"/>
      <c r="C149" s="438" t="s">
        <v>1472</v>
      </c>
      <c r="D149" s="169"/>
      <c r="E149" s="439"/>
      <c r="F149" s="149"/>
      <c r="G149" s="440"/>
      <c r="H149" s="151"/>
      <c r="I149" s="440"/>
      <c r="J149" s="441"/>
      <c r="K149" s="276"/>
      <c r="L149" s="155"/>
      <c r="M149" s="442"/>
      <c r="N149" s="442"/>
      <c r="O149" s="156">
        <f>SUM(O150:O156)</f>
        <v>27.7</v>
      </c>
      <c r="Q149" s="284"/>
    </row>
    <row r="150" spans="2:17" ht="30">
      <c r="B150" s="63">
        <v>129</v>
      </c>
      <c r="C150" s="114" t="s">
        <v>403</v>
      </c>
      <c r="D150" s="117" t="s">
        <v>913</v>
      </c>
      <c r="E150" s="140" t="s">
        <v>1473</v>
      </c>
      <c r="F150" s="118" t="s">
        <v>755</v>
      </c>
      <c r="G150" s="227">
        <v>17</v>
      </c>
      <c r="H150" s="9" t="str">
        <f>IF($F150="부록4",IFERROR(INDEX(③1일작업량DB!$H$6:$H$169,MATCH(SUBSTITUTE($C150&amp;"|"&amp;$D150,"~","~~"),③1일작업량DB!$J$6:$J$169,0)),"-"),"")</f>
        <v>개소/일</v>
      </c>
      <c r="I150" s="227"/>
      <c r="J150" s="229">
        <f>IF($F150="부록4",IFERROR(INDEX(③1일작업량DB!$G$6:$G$169,MATCH(SUBSTITUTE($C150&amp;"|"&amp;$D150,"~","~~"),③1일작업량DB!$J$6:$J$169,0)),""),$I150)</f>
        <v>15</v>
      </c>
      <c r="K150" s="273">
        <f t="shared" ref="K150:K156" si="33">$R$3*$Q150</f>
        <v>1.7</v>
      </c>
      <c r="L150" s="139">
        <f t="shared" ref="L150:L156" si="34">IFERROR(IF(AND($G150&gt;0,$J150&gt;0,$K150&gt;0),ROUNDUP($G150/($J150*$K150),1),0),0)</f>
        <v>0.7</v>
      </c>
      <c r="M150" s="231">
        <v>0</v>
      </c>
      <c r="N150" s="231">
        <v>0</v>
      </c>
      <c r="O150" s="142">
        <f t="shared" ref="O150:O156" si="35">$L150+$M150+$N150</f>
        <v>0.7</v>
      </c>
      <c r="Q150" s="284">
        <v>1</v>
      </c>
    </row>
    <row r="151" spans="2:17" ht="15">
      <c r="B151" s="63">
        <v>130</v>
      </c>
      <c r="C151" s="114" t="s">
        <v>403</v>
      </c>
      <c r="D151" s="117" t="s">
        <v>915</v>
      </c>
      <c r="E151" s="140" t="s">
        <v>1474</v>
      </c>
      <c r="F151" s="118" t="s">
        <v>755</v>
      </c>
      <c r="G151" s="227">
        <v>4</v>
      </c>
      <c r="H151" s="9" t="str">
        <f>IF($F151="부록4",IFERROR(INDEX(③1일작업량DB!$H$6:$H$169,MATCH(SUBSTITUTE($C151&amp;"|"&amp;$D151,"~","~~"),③1일작업량DB!$J$6:$J$169,0)),"-"),"")</f>
        <v>개소/일</v>
      </c>
      <c r="I151" s="227"/>
      <c r="J151" s="229">
        <f>IF($F151="부록4",IFERROR(INDEX(③1일작업량DB!$G$6:$G$169,MATCH(SUBSTITUTE($C151&amp;"|"&amp;$D151,"~","~~"),③1일작업량DB!$J$6:$J$169,0)),""),$I151)</f>
        <v>12</v>
      </c>
      <c r="K151" s="273">
        <f t="shared" si="33"/>
        <v>1.7</v>
      </c>
      <c r="L151" s="139">
        <f t="shared" si="34"/>
        <v>0.2</v>
      </c>
      <c r="M151" s="231">
        <v>0</v>
      </c>
      <c r="N151" s="231">
        <v>0</v>
      </c>
      <c r="O151" s="142">
        <f t="shared" si="35"/>
        <v>0.2</v>
      </c>
      <c r="Q151" s="284">
        <v>1</v>
      </c>
    </row>
    <row r="152" spans="2:17" ht="15">
      <c r="B152" s="63">
        <v>131</v>
      </c>
      <c r="C152" s="114" t="s">
        <v>269</v>
      </c>
      <c r="D152" s="117" t="s">
        <v>1475</v>
      </c>
      <c r="E152" s="140" t="s">
        <v>1476</v>
      </c>
      <c r="F152" s="118" t="s">
        <v>1120</v>
      </c>
      <c r="G152" s="227">
        <v>1073</v>
      </c>
      <c r="H152" s="9" t="s">
        <v>841</v>
      </c>
      <c r="I152" s="227">
        <v>30</v>
      </c>
      <c r="J152" s="229">
        <f>IF($F152="부록4",IFERROR(INDEX(③1일작업량DB!$G$6:$G$169,MATCH(SUBSTITUTE($C152&amp;"|"&amp;$D152,"~","~~"),③1일작업량DB!$J$6:$J$169,0)),""),$I152)</f>
        <v>30</v>
      </c>
      <c r="K152" s="273">
        <f t="shared" si="33"/>
        <v>3.4</v>
      </c>
      <c r="L152" s="139">
        <f t="shared" si="34"/>
        <v>10.6</v>
      </c>
      <c r="M152" s="231">
        <v>0</v>
      </c>
      <c r="N152" s="231">
        <v>0</v>
      </c>
      <c r="O152" s="142">
        <f t="shared" si="35"/>
        <v>10.6</v>
      </c>
      <c r="Q152" s="284">
        <v>2</v>
      </c>
    </row>
    <row r="153" spans="2:17" ht="15">
      <c r="B153" s="63">
        <v>132</v>
      </c>
      <c r="C153" s="114" t="s">
        <v>907</v>
      </c>
      <c r="D153" s="117" t="s">
        <v>908</v>
      </c>
      <c r="E153" s="140" t="s">
        <v>1477</v>
      </c>
      <c r="F153" s="118" t="s">
        <v>755</v>
      </c>
      <c r="G153" s="227">
        <v>8.32</v>
      </c>
      <c r="H153" s="9" t="str">
        <f>IF($F153="부록4",IFERROR(INDEX(③1일작업량DB!$H$6:$H$169,MATCH(SUBSTITUTE($C153&amp;"|"&amp;$D153,"~","~~"),③1일작업량DB!$J$6:$J$169,0)),"-"),"")</f>
        <v>㎥/일</v>
      </c>
      <c r="I153" s="227"/>
      <c r="J153" s="229">
        <f>IF($F153="부록4",IFERROR(INDEX(③1일작업량DB!$G$6:$G$169,MATCH(SUBSTITUTE($C153&amp;"|"&amp;$D153,"~","~~"),③1일작업량DB!$J$6:$J$169,0)),""),$I153)</f>
        <v>25</v>
      </c>
      <c r="K153" s="273">
        <f t="shared" si="33"/>
        <v>1.7</v>
      </c>
      <c r="L153" s="139">
        <f t="shared" si="34"/>
        <v>0.2</v>
      </c>
      <c r="M153" s="231">
        <v>0</v>
      </c>
      <c r="N153" s="231">
        <v>0</v>
      </c>
      <c r="O153" s="142">
        <f t="shared" si="35"/>
        <v>0.2</v>
      </c>
      <c r="Q153" s="284">
        <v>1</v>
      </c>
    </row>
    <row r="154" spans="2:17" ht="15">
      <c r="B154" s="63">
        <v>133</v>
      </c>
      <c r="C154" s="114" t="s">
        <v>907</v>
      </c>
      <c r="D154" s="117" t="s">
        <v>910</v>
      </c>
      <c r="E154" s="140" t="s">
        <v>1478</v>
      </c>
      <c r="F154" s="118" t="s">
        <v>755</v>
      </c>
      <c r="G154" s="227">
        <v>106.04</v>
      </c>
      <c r="H154" s="9" t="str">
        <f>IF($F154="부록4",IFERROR(INDEX(③1일작업량DB!$H$6:$H$169,MATCH(SUBSTITUTE($C154&amp;"|"&amp;$D154,"~","~~"),③1일작업량DB!$J$6:$J$169,0)),"-"),"")</f>
        <v>㎥/일</v>
      </c>
      <c r="I154" s="227"/>
      <c r="J154" s="229">
        <f>IF($F154="부록4",IFERROR(INDEX(③1일작업량DB!$G$6:$G$169,MATCH(SUBSTITUTE($C154&amp;"|"&amp;$D154,"~","~~"),③1일작업량DB!$J$6:$J$169,0)),""),$I154)</f>
        <v>18</v>
      </c>
      <c r="K154" s="273">
        <f t="shared" si="33"/>
        <v>1.7</v>
      </c>
      <c r="L154" s="139">
        <f t="shared" si="34"/>
        <v>3.5</v>
      </c>
      <c r="M154" s="231">
        <v>0</v>
      </c>
      <c r="N154" s="231">
        <v>0</v>
      </c>
      <c r="O154" s="142">
        <f t="shared" si="35"/>
        <v>3.5</v>
      </c>
      <c r="Q154" s="284">
        <v>1</v>
      </c>
    </row>
    <row r="155" spans="2:17" ht="30">
      <c r="B155" s="63">
        <v>134</v>
      </c>
      <c r="C155" s="114" t="s">
        <v>388</v>
      </c>
      <c r="D155" s="117" t="s">
        <v>389</v>
      </c>
      <c r="E155" s="140" t="s">
        <v>1479</v>
      </c>
      <c r="F155" s="118" t="s">
        <v>755</v>
      </c>
      <c r="G155" s="227">
        <v>295</v>
      </c>
      <c r="H155" s="9" t="str">
        <f>IF($F155="부록4",IFERROR(INDEX(③1일작업량DB!$H$6:$H$169,MATCH(SUBSTITUTE($C155&amp;"|"&amp;$D155,"~","~~"),③1일작업량DB!$J$6:$J$169,0)),"-"),"")</f>
        <v>㎡/일</v>
      </c>
      <c r="I155" s="227"/>
      <c r="J155" s="229">
        <f>IF($F155="부록4",IFERROR(INDEX(③1일작업량DB!$G$6:$G$169,MATCH(SUBSTITUTE($C155&amp;"|"&amp;$D155,"~","~~"),③1일작업량DB!$J$6:$J$169,0)),""),$I155)</f>
        <v>27</v>
      </c>
      <c r="K155" s="273">
        <f t="shared" si="33"/>
        <v>1.7</v>
      </c>
      <c r="L155" s="139">
        <f t="shared" si="34"/>
        <v>6.5</v>
      </c>
      <c r="M155" s="231">
        <v>0</v>
      </c>
      <c r="N155" s="231">
        <v>0</v>
      </c>
      <c r="O155" s="142">
        <f t="shared" si="35"/>
        <v>6.5</v>
      </c>
      <c r="Q155" s="284">
        <v>1</v>
      </c>
    </row>
    <row r="156" spans="2:17" ht="15">
      <c r="B156" s="63">
        <v>135</v>
      </c>
      <c r="C156" s="114" t="s">
        <v>907</v>
      </c>
      <c r="D156" s="117" t="s">
        <v>1480</v>
      </c>
      <c r="E156" s="140" t="s">
        <v>1481</v>
      </c>
      <c r="F156" s="118" t="s">
        <v>1120</v>
      </c>
      <c r="G156" s="227">
        <v>306</v>
      </c>
      <c r="H156" s="9" t="s">
        <v>833</v>
      </c>
      <c r="I156" s="227">
        <v>30</v>
      </c>
      <c r="J156" s="229">
        <f>IF($F156="부록4",IFERROR(INDEX(③1일작업량DB!$G$6:$G$169,MATCH(SUBSTITUTE($C156&amp;"|"&amp;$D156,"~","~~"),③1일작업량DB!$J$6:$J$169,0)),""),$I156)</f>
        <v>30</v>
      </c>
      <c r="K156" s="273">
        <f t="shared" si="33"/>
        <v>1.7</v>
      </c>
      <c r="L156" s="139">
        <f t="shared" si="34"/>
        <v>6</v>
      </c>
      <c r="M156" s="231">
        <v>0</v>
      </c>
      <c r="N156" s="231">
        <v>0</v>
      </c>
      <c r="O156" s="142">
        <f t="shared" si="35"/>
        <v>6</v>
      </c>
      <c r="Q156" s="284">
        <v>1</v>
      </c>
    </row>
    <row r="157" spans="2:17" ht="15">
      <c r="B157" s="313" t="s">
        <v>430</v>
      </c>
      <c r="C157" s="114"/>
      <c r="D157" s="117"/>
      <c r="E157" s="140"/>
      <c r="F157" s="118"/>
      <c r="G157" s="227"/>
      <c r="H157" s="9"/>
      <c r="I157" s="227"/>
      <c r="J157" s="229"/>
      <c r="K157" s="235"/>
      <c r="L157" s="139">
        <f>SUMIF($B$6:$B$156,"&gt;0",L6:L156)</f>
        <v>740.50000000000034</v>
      </c>
      <c r="M157" s="231">
        <f>SUMIF($B$6:$B$156,"&gt;0",M6:M156)</f>
        <v>0</v>
      </c>
      <c r="N157" s="231">
        <f>SUMIF($B$6:$B$156,"&gt;0",N6:N156)</f>
        <v>0</v>
      </c>
      <c r="O157" s="142">
        <f>O5+O13+O26+O39+O42+O53+O67+O82+O94+O100+O108+O117+O127+O129+O134+O138+O142+O149</f>
        <v>740.49999999999989</v>
      </c>
    </row>
    <row r="158" spans="2:17">
      <c r="B158" t="s">
        <v>1482</v>
      </c>
    </row>
    <row r="159" spans="2:17">
      <c r="B159" t="s">
        <v>1493</v>
      </c>
    </row>
    <row r="160" spans="2:17" s="329" customFormat="1">
      <c r="B160" t="s">
        <v>1494</v>
      </c>
    </row>
    <row r="161" spans="2:2" s="329" customFormat="1">
      <c r="B161" t="s">
        <v>1672</v>
      </c>
    </row>
    <row r="162" spans="2:2">
      <c r="B162" s="237" t="s">
        <v>1492</v>
      </c>
    </row>
    <row r="163" spans="2:2">
      <c r="B163" t="s">
        <v>1483</v>
      </c>
    </row>
    <row r="164" spans="2:2">
      <c r="B164" t="s">
        <v>1495</v>
      </c>
    </row>
    <row r="165" spans="2:2">
      <c r="B165" t="s">
        <v>1484</v>
      </c>
    </row>
    <row r="166" spans="2:2">
      <c r="B166" t="s">
        <v>1485</v>
      </c>
    </row>
    <row r="167" spans="2:2">
      <c r="B167" t="s">
        <v>1486</v>
      </c>
    </row>
    <row r="168" spans="2:2">
      <c r="B168" t="s">
        <v>1487</v>
      </c>
    </row>
    <row r="169" spans="2:2">
      <c r="B169" t="s">
        <v>1488</v>
      </c>
    </row>
    <row r="170" spans="2:2">
      <c r="B170" t="s">
        <v>1489</v>
      </c>
    </row>
    <row r="171" spans="2:2">
      <c r="B171" t="s">
        <v>1490</v>
      </c>
    </row>
    <row r="172" spans="2:2">
      <c r="B172" t="s">
        <v>1491</v>
      </c>
    </row>
  </sheetData>
  <mergeCells count="1">
    <mergeCell ref="A1:N1"/>
  </mergeCells>
  <phoneticPr fontId="84" type="noConversion"/>
  <dataValidations count="3">
    <dataValidation type="list" allowBlank="1" sqref="F5:F98" xr:uid="{B0021145-0146-43D8-A8BA-8E8F2FB53662}">
      <formula1>"부록4,품셈,실적,기타"</formula1>
      <formula2>0</formula2>
    </dataValidation>
    <dataValidation type="list" allowBlank="1" sqref="M5:M98" xr:uid="{EC639FDE-89DC-4983-8468-B51BAC500A4C}">
      <formula1>"0,0.5,1,2,3,5,7"</formula1>
      <formula2>0</formula2>
    </dataValidation>
    <dataValidation type="list" allowBlank="1" sqref="N5:N98" xr:uid="{4D0C1A04-B9B5-4C25-80F2-5476A2AAE2C2}">
      <formula1>"0,1,2,11,14,15"</formula1>
      <formula2>0</formula2>
    </dataValidation>
  </dataValidations>
  <printOptions horizontalCentered="1"/>
  <pageMargins left="0.31496111111111108" right="0.31496111111111108" top="0.47244166666666665" bottom="0.47244166666666665" header="0.19685069444444445" footer="0.19685069444444445"/>
  <pageSetup paperSize="9" scale="71" fitToHeight="4" orientation="landscape" r:id="rId1"/>
  <headerFooter>
    <oddHeader>&amp;C&amp;"맑은 고딕,굵게"&amp;11연천군 신서공공하수처리시설 증설 외 2개사업 — 적정 공사기간 산정</oddHeader>
    <oddFooter>&amp;L&amp;"맑은 고딕"&amp;8④-3 노동리 작업일수  (동절기 미반영 기준)&amp;R&amp;"맑은 고딕"&amp;8&amp;P / &amp;N</oddFooter>
  </headerFooter>
  <rowBreaks count="4" manualBreakCount="4">
    <brk id="42" max="18" man="1"/>
    <brk id="80" max="18" man="1"/>
    <brk id="114" max="18" man="1"/>
    <brk id="144" max="18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BBCAE393-3253-4100-8FBE-0E31863E9A6C}">
          <x14:formula1>
            <xm:f>③1일작업량DB!$E$6:$E$112</xm:f>
          </x14:formula1>
          <x14:formula2>
            <xm:f>0</xm:f>
          </x14:formula2>
          <xm:sqref>D5:D98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</sheetPr>
  <dimension ref="A1:AF120"/>
  <sheetViews>
    <sheetView view="pageBreakPreview" zoomScale="60" zoomScaleNormal="85" workbookViewId="0">
      <selection activeCell="F57" sqref="F57"/>
    </sheetView>
  </sheetViews>
  <sheetFormatPr defaultColWidth="8.69140625" defaultRowHeight="14.6"/>
  <cols>
    <col min="1" max="1" width="3" customWidth="1"/>
    <col min="2" max="2" width="4" customWidth="1"/>
    <col min="3" max="3" width="13" customWidth="1"/>
    <col min="4" max="4" width="24.84375" customWidth="1"/>
    <col min="5" max="5" width="27.69140625" customWidth="1"/>
    <col min="6" max="6" width="8" customWidth="1"/>
    <col min="7" max="7" width="14.84375" customWidth="1"/>
    <col min="8" max="8" width="12" customWidth="1"/>
    <col min="9" max="9" width="9" customWidth="1"/>
    <col min="10" max="10" width="10" customWidth="1"/>
    <col min="11" max="11" width="11" customWidth="1"/>
    <col min="12" max="12" width="12" customWidth="1"/>
    <col min="13" max="14" width="11" hidden="1" customWidth="1"/>
    <col min="15" max="15" width="12" customWidth="1"/>
    <col min="16" max="16" width="9" customWidth="1"/>
    <col min="17" max="17" width="26.3828125" bestFit="1" customWidth="1"/>
    <col min="18" max="18" width="6" customWidth="1"/>
    <col min="19" max="19" width="12.84375" customWidth="1"/>
    <col min="20" max="20" width="7" customWidth="1"/>
    <col min="21" max="22" width="11" customWidth="1"/>
    <col min="25" max="25" width="11.3046875" bestFit="1" customWidth="1"/>
  </cols>
  <sheetData>
    <row r="1" spans="1:32" ht="25.5" customHeight="1">
      <c r="A1" s="225" t="s">
        <v>1497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</row>
    <row r="2" spans="1:32">
      <c r="B2" s="1" t="s">
        <v>1498</v>
      </c>
    </row>
    <row r="4" spans="1:32">
      <c r="B4" s="237" t="s">
        <v>1499</v>
      </c>
    </row>
    <row r="5" spans="1:32" ht="26.9" customHeight="1">
      <c r="B5" s="237" t="s">
        <v>1500</v>
      </c>
      <c r="C5" s="237"/>
      <c r="D5" s="237" t="s">
        <v>1501</v>
      </c>
      <c r="E5" s="237" t="s">
        <v>436</v>
      </c>
      <c r="F5" s="237"/>
      <c r="G5" s="237"/>
      <c r="H5" s="237"/>
      <c r="I5" s="237"/>
      <c r="J5" s="237"/>
      <c r="K5" s="237"/>
      <c r="L5" s="237"/>
      <c r="M5" s="237"/>
      <c r="N5" s="393" t="s">
        <v>1690</v>
      </c>
      <c r="O5" s="393" t="s">
        <v>1689</v>
      </c>
      <c r="P5" s="393" t="s">
        <v>1691</v>
      </c>
      <c r="Y5" s="394" t="s">
        <v>1718</v>
      </c>
    </row>
    <row r="6" spans="1:32" ht="15" customHeight="1">
      <c r="B6" t="s">
        <v>1502</v>
      </c>
      <c r="C6" s="238">
        <f>①공사개요!$C$10</f>
        <v>46357</v>
      </c>
      <c r="D6" s="239">
        <f>①공사개요!$C$14</f>
        <v>60</v>
      </c>
      <c r="E6" s="238">
        <f>C6+D6</f>
        <v>46417</v>
      </c>
      <c r="F6" t="s">
        <v>1519</v>
      </c>
      <c r="G6" t="s">
        <v>1520</v>
      </c>
      <c r="N6">
        <f>MATCH($C6+$O6-1,'⑤-1 동절기순연축'!$B$5:$B$124,1)</f>
        <v>2</v>
      </c>
      <c r="O6" s="421">
        <f>①공사개요!$C$14</f>
        <v>60</v>
      </c>
      <c r="P6" cm="1">
        <f t="array" ref="P6">INDEX('⑤-1 동절기순연축'!$F$5:$F$124,$N6)-IF(INDEX('⑤-1 동절기순연축'!$E$5:$E$124,$N6)&gt;0,INDEX('⑤-1 동절기순연축'!$B$5:$B$124,$N6)+INDEX('⑤-1 동절기순연축'!$C$5:$C$124,$N6)-1-($C6+$O6-1),0)</f>
        <v>0</v>
      </c>
      <c r="Y6" s="390" t="s">
        <v>1779</v>
      </c>
      <c r="Z6" s="423">
        <v>0.2</v>
      </c>
    </row>
    <row r="7" spans="1:32" ht="15" customHeight="1">
      <c r="B7" t="s">
        <v>1503</v>
      </c>
      <c r="C7" s="238">
        <f>EDATE($C$6,6)</f>
        <v>46539</v>
      </c>
      <c r="D7" s="239">
        <f>①공사개요!$C$14</f>
        <v>60</v>
      </c>
      <c r="E7" s="238">
        <f>C7+D7</f>
        <v>46599</v>
      </c>
      <c r="F7" t="s">
        <v>1521</v>
      </c>
      <c r="G7" t="s">
        <v>1522</v>
      </c>
      <c r="N7">
        <f>MATCH($C7+$O7-1,'⑤-1 동절기순연축'!$B$5:$B$124,1)</f>
        <v>6</v>
      </c>
      <c r="O7" s="421">
        <v>0</v>
      </c>
      <c r="P7" cm="1">
        <f t="array" ref="P7">INDEX('⑤-1 동절기순연축'!$F$5:$F$124,$N7)-IF(INDEX('⑤-1 동절기순연축'!$E$5:$E$124,$N7)&gt;0,INDEX('⑤-1 동절기순연축'!$B$5:$B$124,$N7)+INDEX('⑤-1 동절기순연축'!$C$5:$C$124,$N7)-1-($C7+$O7-1),0)</f>
        <v>92</v>
      </c>
      <c r="Y7" s="390" t="s">
        <v>1692</v>
      </c>
      <c r="Z7" s="240">
        <f>MIN($C$13*$Z$6,0.95)</f>
        <v>0.15000000000000002</v>
      </c>
    </row>
    <row r="8" spans="1:32" ht="15" customHeight="1">
      <c r="B8" t="s">
        <v>1504</v>
      </c>
      <c r="C8" s="238">
        <f>EDATE($C$7,3)</f>
        <v>46631</v>
      </c>
      <c r="D8" s="239">
        <f>①공사개요!$C$14</f>
        <v>60</v>
      </c>
      <c r="E8" s="238">
        <f>C8+D8</f>
        <v>46691</v>
      </c>
      <c r="F8" t="s">
        <v>1523</v>
      </c>
      <c r="G8" t="s">
        <v>1524</v>
      </c>
      <c r="N8">
        <f>MATCH($C8+$O8-1,'⑤-1 동절기순연축'!$B$5:$B$124,1)</f>
        <v>9</v>
      </c>
      <c r="O8" s="421">
        <v>0</v>
      </c>
      <c r="P8" cm="1">
        <f t="array" ref="P8">INDEX('⑤-1 동절기순연축'!$F$5:$F$124,$N8)-IF(INDEX('⑤-1 동절기순연축'!$E$5:$E$124,$N8)&gt;0,INDEX('⑤-1 동절기순연축'!$B$5:$B$124,$N8)+INDEX('⑤-1 동절기순연축'!$C$5:$C$124,$N8)-1-($C8+$O8-1),0)</f>
        <v>184</v>
      </c>
      <c r="Y8" s="390" t="s">
        <v>1693</v>
      </c>
      <c r="Z8" s="240">
        <f>MIN($C$12*$Z$6,0.95)</f>
        <v>0.1</v>
      </c>
    </row>
    <row r="9" spans="1:32">
      <c r="Y9" s="390" t="s">
        <v>1694</v>
      </c>
      <c r="Z9" s="423">
        <v>1</v>
      </c>
    </row>
    <row r="10" spans="1:32" ht="30" customHeight="1">
      <c r="B10" s="237" t="s">
        <v>1505</v>
      </c>
      <c r="Y10" s="424" t="s">
        <v>1719</v>
      </c>
    </row>
    <row r="11" spans="1:32">
      <c r="B11" t="s">
        <v>764</v>
      </c>
      <c r="C11" s="240">
        <v>0</v>
      </c>
      <c r="D11" t="s">
        <v>1506</v>
      </c>
      <c r="Y11" s="424" t="s">
        <v>1720</v>
      </c>
    </row>
    <row r="12" spans="1:32" ht="16" customHeight="1">
      <c r="B12" t="s">
        <v>1507</v>
      </c>
      <c r="C12" s="240">
        <v>0.5</v>
      </c>
      <c r="D12" t="s">
        <v>1508</v>
      </c>
      <c r="Q12" s="391" t="s">
        <v>1687</v>
      </c>
    </row>
    <row r="13" spans="1:32" ht="16" customHeight="1">
      <c r="B13" t="s">
        <v>808</v>
      </c>
      <c r="C13" s="240">
        <v>0.75</v>
      </c>
      <c r="D13" t="s">
        <v>1509</v>
      </c>
      <c r="Q13" s="391" t="s">
        <v>1688</v>
      </c>
      <c r="Y13" s="394" t="s">
        <v>1695</v>
      </c>
    </row>
    <row r="14" spans="1:32" ht="16" customHeight="1">
      <c r="Q14" s="394" t="s">
        <v>1680</v>
      </c>
      <c r="Y14" s="390" t="s">
        <v>1696</v>
      </c>
      <c r="Z14" s="417">
        <f>$W$80</f>
        <v>1425.1999999999971</v>
      </c>
      <c r="AA14" t="s">
        <v>1758</v>
      </c>
    </row>
    <row r="15" spans="1:32" ht="50.05" customHeight="1">
      <c r="B15" s="548" t="s">
        <v>434</v>
      </c>
      <c r="C15" s="548" t="s">
        <v>1500</v>
      </c>
      <c r="D15" s="548" t="s">
        <v>1510</v>
      </c>
      <c r="E15" s="548" t="s">
        <v>1511</v>
      </c>
      <c r="F15" s="548" t="s">
        <v>435</v>
      </c>
      <c r="G15" s="548" t="s">
        <v>432</v>
      </c>
      <c r="H15" s="548" t="s">
        <v>433</v>
      </c>
      <c r="I15" s="548" t="s">
        <v>1512</v>
      </c>
      <c r="J15" s="548" t="s">
        <v>1728</v>
      </c>
      <c r="K15" s="548" t="s">
        <v>1513</v>
      </c>
      <c r="L15" s="548" t="s">
        <v>1514</v>
      </c>
      <c r="M15" s="548" t="s">
        <v>1515</v>
      </c>
      <c r="N15" s="310" t="s">
        <v>1516</v>
      </c>
      <c r="O15" s="310" t="s">
        <v>1517</v>
      </c>
      <c r="P15" s="310" t="s">
        <v>1518</v>
      </c>
      <c r="Q15" s="395" t="s">
        <v>1681</v>
      </c>
      <c r="R15" s="395" t="s">
        <v>1682</v>
      </c>
      <c r="S15" s="395" t="s">
        <v>1683</v>
      </c>
      <c r="T15" s="395" t="s">
        <v>1684</v>
      </c>
      <c r="U15" s="395" t="s">
        <v>1685</v>
      </c>
      <c r="V15" s="462" t="s">
        <v>1761</v>
      </c>
      <c r="W15" s="395" t="s">
        <v>1686</v>
      </c>
      <c r="X15" s="400"/>
      <c r="Y15" s="395" t="s">
        <v>1697</v>
      </c>
      <c r="Z15" s="284">
        <f>$Z$14/365*12</f>
        <v>46.855890410958807</v>
      </c>
      <c r="AA15" t="s">
        <v>1711</v>
      </c>
      <c r="AB15" t="s">
        <v>1712</v>
      </c>
      <c r="AC15" t="s">
        <v>1713</v>
      </c>
      <c r="AD15" t="s">
        <v>1714</v>
      </c>
      <c r="AE15" t="s">
        <v>1715</v>
      </c>
      <c r="AF15" t="s">
        <v>1757</v>
      </c>
    </row>
    <row r="16" spans="1:32" ht="16" customHeight="1">
      <c r="B16" s="63">
        <v>1</v>
      </c>
      <c r="C16" s="114" t="s">
        <v>1502</v>
      </c>
      <c r="D16" s="117" t="s">
        <v>1525</v>
      </c>
      <c r="E16" s="241" t="s">
        <v>1572</v>
      </c>
      <c r="F16" s="263">
        <f>ROUND('④-2 횡산소규모 작업일수'!O5/$Z$26,1)</f>
        <v>8.1</v>
      </c>
      <c r="G16" s="7" t="s">
        <v>764</v>
      </c>
      <c r="H16" s="269">
        <f t="shared" ref="H16:H37" si="0">IF($G16="순차(FS)",$C$11,IF($G16="부분중첩(SS)",$Z$24,$Z$23))</f>
        <v>0</v>
      </c>
      <c r="I16" s="273">
        <v>0</v>
      </c>
      <c r="J16" s="274">
        <f t="shared" ref="J16:J37" si="1">ROUND($F16*$Z$20,1)</f>
        <v>5.9</v>
      </c>
      <c r="K16" s="30">
        <f t="shared" ref="K16:K37" si="2">$F16+$J16</f>
        <v>14</v>
      </c>
      <c r="L16" s="32">
        <f t="shared" ref="L16:L41" si="3">IF($AA16="START",1,IF($AA16="FS",INDEX($M$16:$M$77,MATCH($AB16,$B$16:$B$77,0))+1,IF($AA16="FS-",INDEX($M$16:$M$77,MATCH($AB16,$B$16:$B$77,0))-$AE16,IF($AA16="시운전",$AE16,INDEX($L$16:$L$77,MATCH($AB16,$B$16:$B$77,0))+ROUND(INDEX($K$16:$K$77,MATCH($AB16,$B$16:$B$77,0))*IF($AE16="",1-$H16,$AE16),0)))))</f>
        <v>148</v>
      </c>
      <c r="M16" s="30">
        <f t="shared" ref="M16:M42" si="4">IF($AD16="",$L16+$K16-1,INDEX($M$16:$M$77,MATCH($AD16,$B$16:$B$77,0)))</f>
        <v>287.10000000000002</v>
      </c>
      <c r="N16" s="245">
        <f t="shared" ref="N16:N37" si="5">$E$6+$L16-1</f>
        <v>46564</v>
      </c>
      <c r="O16" s="246">
        <f t="shared" ref="O16:O37" si="6">$E$6+$M16-1</f>
        <v>46703.1</v>
      </c>
      <c r="P16" s="121"/>
      <c r="Q16" s="410">
        <f t="shared" ref="Q16:Q42" si="7">$P$6+$L16</f>
        <v>148</v>
      </c>
      <c r="R16" s="182">
        <f>COUNTIF('⑤-1 동절기순연축'!$F$5:$F$124,"&lt;"&amp;$Q16)+1</f>
        <v>8</v>
      </c>
      <c r="S16" s="396" cm="1">
        <f t="array" ref="S16">INDEX('⑤-1 동절기순연축'!$B$5:$B$124,$R16)+$Q16-INDEX('⑤-1 동절기순연축'!$F$5:$F$124,$R16)+INDEX('⑤-1 동절기순연축'!$E$5:$E$124,$R16)-1</f>
        <v>46594</v>
      </c>
      <c r="T16" s="414">
        <f t="shared" ref="T16:T43" si="8">$P$6+$M16</f>
        <v>287.10000000000002</v>
      </c>
      <c r="U16" s="185">
        <f>COUNTIF('⑤-1 동절기순연축'!$F$5:$F$124,"&lt;"&amp;$T16)+1</f>
        <v>16</v>
      </c>
      <c r="V16" s="396" cm="1">
        <f t="array" ref="V16">IF($AF16="Y",$S16+$K16-1,INDEX('⑤-1 동절기순연축'!$B$5:$B$124,$U16)+$T16-INDEX('⑤-1 동절기순연축'!$F$5:$F$124,$U16)+INDEX('⑤-1 동절기순연축'!$E$5:$E$124,$U16)-1)</f>
        <v>46824.1</v>
      </c>
      <c r="W16" s="417">
        <f>$V16-$S16+1</f>
        <v>231.09999999999854</v>
      </c>
      <c r="Y16" s="390" t="s">
        <v>1698</v>
      </c>
      <c r="Z16" s="425" cm="1">
        <f t="array" ref="Z16">SUMPRODUCT(('⑤-1 동절기순연축'!$D$5:$D$124="중지")*('⑤-1 동절기순연축'!$B$5:$B$124&gt;=$S$80)*('⑤-1 동절기순연축'!$B$5:$B$124&lt;=$V$80)*'⑤-1 동절기순연축'!$C$5:$C$124)</f>
        <v>361</v>
      </c>
      <c r="AA16" t="s">
        <v>1717</v>
      </c>
      <c r="AB16">
        <v>10</v>
      </c>
      <c r="AD16">
        <v>3</v>
      </c>
      <c r="AE16">
        <f>$Z$37</f>
        <v>0.4</v>
      </c>
    </row>
    <row r="17" spans="2:31" ht="16" customHeight="1">
      <c r="B17" s="63">
        <v>2</v>
      </c>
      <c r="C17" s="114" t="s">
        <v>1502</v>
      </c>
      <c r="D17" s="117" t="s">
        <v>1526</v>
      </c>
      <c r="E17" s="242" t="s">
        <v>1573</v>
      </c>
      <c r="F17" s="263">
        <f>ROUND('④-2 횡산소규모 작업일수'!O64/$Z$26,1)</f>
        <v>31.6</v>
      </c>
      <c r="G17" s="7" t="s">
        <v>808</v>
      </c>
      <c r="H17" s="269">
        <f t="shared" si="0"/>
        <v>0.15000000000000002</v>
      </c>
      <c r="I17" s="273">
        <f t="shared" ref="I17:I37" si="9">ROUND(MIN($F16,$F17)*$H17,0)</f>
        <v>1</v>
      </c>
      <c r="J17" s="274">
        <f t="shared" si="1"/>
        <v>22.9</v>
      </c>
      <c r="K17" s="30">
        <f t="shared" si="2"/>
        <v>54.5</v>
      </c>
      <c r="L17" s="32">
        <f t="shared" si="3"/>
        <v>160</v>
      </c>
      <c r="M17" s="30">
        <f t="shared" si="4"/>
        <v>287.10000000000002</v>
      </c>
      <c r="N17" s="245">
        <f t="shared" si="5"/>
        <v>46576</v>
      </c>
      <c r="O17" s="246">
        <f t="shared" si="6"/>
        <v>46703.1</v>
      </c>
      <c r="P17" s="121"/>
      <c r="Q17" s="410">
        <f t="shared" si="7"/>
        <v>160</v>
      </c>
      <c r="R17" s="182">
        <f>COUNTIF('⑤-1 동절기순연축'!$F$5:$F$124,"&lt;"&amp;$Q17)+1</f>
        <v>9</v>
      </c>
      <c r="S17" s="396" cm="1">
        <f t="array" ref="S17">INDEX('⑤-1 동절기순연축'!$B$5:$B$124,$R17)+$Q17-INDEX('⑤-1 동절기순연축'!$F$5:$F$124,$R17)+INDEX('⑤-1 동절기순연축'!$E$5:$E$124,$R17)-1</f>
        <v>46606</v>
      </c>
      <c r="T17" s="414">
        <f t="shared" si="8"/>
        <v>287.10000000000002</v>
      </c>
      <c r="U17" s="185">
        <f>COUNTIF('⑤-1 동절기순연축'!$F$5:$F$124,"&lt;"&amp;$T17)+1</f>
        <v>16</v>
      </c>
      <c r="V17" s="396" cm="1">
        <f t="array" ref="V17">IF($AF17="Y",$S17+$K17-1,INDEX('⑤-1 동절기순연축'!$B$5:$B$124,$U17)+$T17-INDEX('⑤-1 동절기순연축'!$F$5:$F$124,$U17)+INDEX('⑤-1 동절기순연축'!$E$5:$E$124,$U17)-1)</f>
        <v>46824.1</v>
      </c>
      <c r="W17" s="417">
        <f t="shared" ref="W17:W42" si="10">$V17-$S17+1</f>
        <v>219.09999999999854</v>
      </c>
      <c r="Y17" s="390" t="s">
        <v>1699</v>
      </c>
      <c r="Z17" s="284" cm="1">
        <f t="array" ref="Z17">SUMPRODUCT(('⑤-1 동절기순연축'!$D$5:$D$124="중지")*('⑤-1 동절기순연축'!$B$5:$B$124&gt;=$S$80)*('⑤-1 동절기순연축'!$B$5:$B$124&lt;=$V$80))/3</f>
        <v>4</v>
      </c>
      <c r="AA17" t="s">
        <v>1717</v>
      </c>
      <c r="AB17">
        <v>1</v>
      </c>
      <c r="AD17">
        <v>3</v>
      </c>
    </row>
    <row r="18" spans="2:31" ht="16" customHeight="1">
      <c r="B18" s="63">
        <v>3</v>
      </c>
      <c r="C18" s="114" t="s">
        <v>1502</v>
      </c>
      <c r="D18" s="117" t="s">
        <v>1527</v>
      </c>
      <c r="E18" s="243" t="s">
        <v>1574</v>
      </c>
      <c r="F18" s="263">
        <f>ROUND('④-2 횡산소규모 작업일수'!O17/$Z$26,1)</f>
        <v>45.9</v>
      </c>
      <c r="G18" s="7" t="s">
        <v>1507</v>
      </c>
      <c r="H18" s="269">
        <f t="shared" si="0"/>
        <v>0.1</v>
      </c>
      <c r="I18" s="273">
        <f t="shared" si="9"/>
        <v>3</v>
      </c>
      <c r="J18" s="274">
        <f t="shared" si="1"/>
        <v>33.200000000000003</v>
      </c>
      <c r="K18" s="30">
        <f t="shared" si="2"/>
        <v>79.099999999999994</v>
      </c>
      <c r="L18" s="32">
        <f t="shared" si="3"/>
        <v>209</v>
      </c>
      <c r="M18" s="30">
        <f t="shared" si="4"/>
        <v>287.10000000000002</v>
      </c>
      <c r="N18" s="245">
        <f t="shared" si="5"/>
        <v>46625</v>
      </c>
      <c r="O18" s="246">
        <f t="shared" si="6"/>
        <v>46703.1</v>
      </c>
      <c r="P18" s="121"/>
      <c r="Q18" s="410">
        <f t="shared" si="7"/>
        <v>209</v>
      </c>
      <c r="R18" s="182">
        <f>COUNTIF('⑤-1 동절기순연축'!$F$5:$F$124,"&lt;"&amp;$Q18)+1</f>
        <v>10</v>
      </c>
      <c r="S18" s="396" cm="1">
        <f t="array" ref="S18">INDEX('⑤-1 동절기순연축'!$B$5:$B$124,$R18)+$Q18-INDEX('⑤-1 동절기순연축'!$F$5:$F$124,$R18)+INDEX('⑤-1 동절기순연축'!$E$5:$E$124,$R18)-1</f>
        <v>46655</v>
      </c>
      <c r="T18" s="414">
        <f t="shared" si="8"/>
        <v>287.10000000000002</v>
      </c>
      <c r="U18" s="185">
        <f>COUNTIF('⑤-1 동절기순연축'!$F$5:$F$124,"&lt;"&amp;$T18)+1</f>
        <v>16</v>
      </c>
      <c r="V18" s="396" cm="1">
        <f t="array" ref="V18">IF($AF18="Y",$S18+$K18-1,INDEX('⑤-1 동절기순연축'!$B$5:$B$124,$U18)+$T18-INDEX('⑤-1 동절기순연축'!$F$5:$F$124,$U18)+INDEX('⑤-1 동절기순연축'!$E$5:$E$124,$U18)-1)</f>
        <v>46824.1</v>
      </c>
      <c r="W18" s="417">
        <f t="shared" si="10"/>
        <v>170.09999999999854</v>
      </c>
      <c r="Y18" s="390" t="s">
        <v>1700</v>
      </c>
      <c r="Z18" s="417">
        <f>$Z$14-$Z$16</f>
        <v>1064.1999999999971</v>
      </c>
      <c r="AA18" t="s">
        <v>1717</v>
      </c>
      <c r="AB18">
        <v>2</v>
      </c>
    </row>
    <row r="19" spans="2:31" ht="16" customHeight="1">
      <c r="B19" s="63">
        <v>4</v>
      </c>
      <c r="C19" s="114" t="s">
        <v>1502</v>
      </c>
      <c r="D19" s="117" t="s">
        <v>1528</v>
      </c>
      <c r="E19" s="242" t="s">
        <v>1575</v>
      </c>
      <c r="F19" s="263">
        <f>ROUND('④-2 횡산소규모 작업일수'!O36/$Z$26,1)</f>
        <v>15.1</v>
      </c>
      <c r="G19" s="7" t="s">
        <v>1507</v>
      </c>
      <c r="H19" s="269">
        <f t="shared" si="0"/>
        <v>0.1</v>
      </c>
      <c r="I19" s="273">
        <f t="shared" si="9"/>
        <v>2</v>
      </c>
      <c r="J19" s="274">
        <f t="shared" si="1"/>
        <v>10.9</v>
      </c>
      <c r="K19" s="30">
        <f t="shared" si="2"/>
        <v>26</v>
      </c>
      <c r="L19" s="32">
        <f t="shared" si="3"/>
        <v>280</v>
      </c>
      <c r="M19" s="30">
        <f t="shared" si="4"/>
        <v>305</v>
      </c>
      <c r="N19" s="245">
        <f t="shared" si="5"/>
        <v>46696</v>
      </c>
      <c r="O19" s="246">
        <f t="shared" si="6"/>
        <v>46721</v>
      </c>
      <c r="P19" s="121"/>
      <c r="Q19" s="410">
        <f t="shared" si="7"/>
        <v>280</v>
      </c>
      <c r="R19" s="182">
        <f>COUNTIF('⑤-1 동절기순연축'!$F$5:$F$124,"&lt;"&amp;$Q19)+1</f>
        <v>16</v>
      </c>
      <c r="S19" s="396" cm="1">
        <f t="array" ref="S19">INDEX('⑤-1 동절기순연축'!$B$5:$B$124,$R19)+$Q19-INDEX('⑤-1 동절기순연축'!$F$5:$F$124,$R19)+INDEX('⑤-1 동절기순연축'!$E$5:$E$124,$R19)-1</f>
        <v>46817</v>
      </c>
      <c r="T19" s="414">
        <f t="shared" si="8"/>
        <v>305</v>
      </c>
      <c r="U19" s="185">
        <f>COUNTIF('⑤-1 동절기순연축'!$F$5:$F$124,"&lt;"&amp;$T19)+1</f>
        <v>16</v>
      </c>
      <c r="V19" s="396" cm="1">
        <f t="array" ref="V19">IF($AF19="Y",$S19+$K19-1,INDEX('⑤-1 동절기순연축'!$B$5:$B$124,$U19)+$T19-INDEX('⑤-1 동절기순연축'!$F$5:$F$124,$U19)+INDEX('⑤-1 동절기순연축'!$E$5:$E$124,$U19)-1)</f>
        <v>46842</v>
      </c>
      <c r="W19" s="417">
        <f t="shared" si="10"/>
        <v>26</v>
      </c>
      <c r="Y19" s="426" t="s">
        <v>1701</v>
      </c>
      <c r="Z19" s="284">
        <f>$Z$18/365*12</f>
        <v>34.987397260273873</v>
      </c>
      <c r="AA19" t="s">
        <v>1717</v>
      </c>
      <c r="AB19">
        <v>3</v>
      </c>
    </row>
    <row r="20" spans="2:31" ht="16" customHeight="1">
      <c r="B20" s="63">
        <v>5</v>
      </c>
      <c r="C20" s="114" t="s">
        <v>1502</v>
      </c>
      <c r="D20" s="117" t="s">
        <v>1529</v>
      </c>
      <c r="E20" s="243" t="s">
        <v>1576</v>
      </c>
      <c r="F20" s="263">
        <f>ROUND('④-2 횡산소규모 작업일수'!O46/$Z$26,1)</f>
        <v>48.4</v>
      </c>
      <c r="G20" s="7" t="s">
        <v>808</v>
      </c>
      <c r="H20" s="269">
        <f t="shared" si="0"/>
        <v>0.15000000000000002</v>
      </c>
      <c r="I20" s="273">
        <f t="shared" si="9"/>
        <v>2</v>
      </c>
      <c r="J20" s="274">
        <f t="shared" si="1"/>
        <v>35</v>
      </c>
      <c r="K20" s="30">
        <f t="shared" si="2"/>
        <v>83.4</v>
      </c>
      <c r="L20" s="32">
        <f t="shared" si="3"/>
        <v>302</v>
      </c>
      <c r="M20" s="30">
        <f t="shared" si="4"/>
        <v>384.4</v>
      </c>
      <c r="N20" s="245">
        <f t="shared" si="5"/>
        <v>46718</v>
      </c>
      <c r="O20" s="246">
        <f t="shared" si="6"/>
        <v>46800.4</v>
      </c>
      <c r="P20" s="121"/>
      <c r="Q20" s="410">
        <f t="shared" si="7"/>
        <v>302</v>
      </c>
      <c r="R20" s="182">
        <f>COUNTIF('⑤-1 동절기순연축'!$F$5:$F$124,"&lt;"&amp;$Q20)+1</f>
        <v>16</v>
      </c>
      <c r="S20" s="396" cm="1">
        <f t="array" ref="S20">INDEX('⑤-1 동절기순연축'!$B$5:$B$124,$R20)+$Q20-INDEX('⑤-1 동절기순연축'!$F$5:$F$124,$R20)+INDEX('⑤-1 동절기순연축'!$E$5:$E$124,$R20)-1</f>
        <v>46839</v>
      </c>
      <c r="T20" s="414">
        <f t="shared" si="8"/>
        <v>384.4</v>
      </c>
      <c r="U20" s="185">
        <f>COUNTIF('⑤-1 동절기순연축'!$F$5:$F$124,"&lt;"&amp;$T20)+1</f>
        <v>19</v>
      </c>
      <c r="V20" s="396" cm="1">
        <f t="array" ref="V20">IF($AF20="Y",$S20+$K20-1,INDEX('⑤-1 동절기순연축'!$B$5:$B$124,$U20)+$T20-INDEX('⑤-1 동절기순연축'!$F$5:$F$124,$U20)+INDEX('⑤-1 동절기순연축'!$E$5:$E$124,$U20)-1)</f>
        <v>46921.4</v>
      </c>
      <c r="W20" s="417">
        <f t="shared" si="10"/>
        <v>83.400000000001455</v>
      </c>
      <c r="Y20" s="390" t="s">
        <v>1726</v>
      </c>
      <c r="Z20" s="454">
        <f>SUMIFS(②비작업일수!$J$8:$J$52,②비작업일수!$D$8:$D$52,"&lt;&gt;12",②비작업일수!$D$8:$D$52,"&lt;&gt;1",②비작업일수!$D$8:$D$52,"&lt;&gt;2")/(SUMIFS(②비작업일수!$E$8:$E$52,②비작업일수!$D$8:$D$52,"&lt;&gt;12",②비작업일수!$D$8:$D$52,"&lt;&gt;1",②비작업일수!$D$8:$D$52,"&lt;&gt;2")-SUMIFS(②비작업일수!$J$8:$J$52,②비작업일수!$D$8:$D$52,"&lt;&gt;12",②비작업일수!$D$8:$D$52,"&lt;&gt;1",②비작업일수!$D$8:$D$52,"&lt;&gt;2"))</f>
        <v>0.72360778954560967</v>
      </c>
      <c r="AA20" t="s">
        <v>1717</v>
      </c>
      <c r="AB20">
        <v>4</v>
      </c>
    </row>
    <row r="21" spans="2:31" ht="16" customHeight="1">
      <c r="B21" s="63">
        <v>6</v>
      </c>
      <c r="C21" s="114" t="s">
        <v>1502</v>
      </c>
      <c r="D21" s="117" t="s">
        <v>1530</v>
      </c>
      <c r="E21" s="242" t="s">
        <v>1577</v>
      </c>
      <c r="F21" s="263">
        <f>ROUND('④-2 횡산소규모 작업일수'!O75/$Z$26,1)</f>
        <v>5.3</v>
      </c>
      <c r="G21" s="7" t="s">
        <v>764</v>
      </c>
      <c r="H21" s="269">
        <f t="shared" si="0"/>
        <v>0</v>
      </c>
      <c r="I21" s="273">
        <f t="shared" si="9"/>
        <v>0</v>
      </c>
      <c r="J21" s="274">
        <f t="shared" si="1"/>
        <v>3.8</v>
      </c>
      <c r="K21" s="30">
        <f t="shared" si="2"/>
        <v>9.1</v>
      </c>
      <c r="L21" s="32">
        <f t="shared" si="3"/>
        <v>385</v>
      </c>
      <c r="M21" s="30">
        <f t="shared" si="4"/>
        <v>393.1</v>
      </c>
      <c r="N21" s="245">
        <f t="shared" si="5"/>
        <v>46801</v>
      </c>
      <c r="O21" s="246">
        <f t="shared" si="6"/>
        <v>46809.1</v>
      </c>
      <c r="P21" s="121"/>
      <c r="Q21" s="410">
        <f t="shared" si="7"/>
        <v>385</v>
      </c>
      <c r="R21" s="182">
        <f>COUNTIF('⑤-1 동절기순연축'!$F$5:$F$124,"&lt;"&amp;$Q21)+1</f>
        <v>19</v>
      </c>
      <c r="S21" s="396" cm="1">
        <f t="array" ref="S21">INDEX('⑤-1 동절기순연축'!$B$5:$B$124,$R21)+$Q21-INDEX('⑤-1 동절기순연축'!$F$5:$F$124,$R21)+INDEX('⑤-1 동절기순연축'!$E$5:$E$124,$R21)-1</f>
        <v>46922</v>
      </c>
      <c r="T21" s="414">
        <f t="shared" si="8"/>
        <v>393.1</v>
      </c>
      <c r="U21" s="185">
        <f>COUNTIF('⑤-1 동절기순연축'!$F$5:$F$124,"&lt;"&amp;$T21)+1</f>
        <v>19</v>
      </c>
      <c r="V21" s="396" cm="1">
        <f t="array" ref="V21">IF($AF21="Y",$S21+$K21-1,INDEX('⑤-1 동절기순연축'!$B$5:$B$124,$U21)+$T21-INDEX('⑤-1 동절기순연축'!$F$5:$F$124,$U21)+INDEX('⑤-1 동절기순연축'!$E$5:$E$124,$U21)-1)</f>
        <v>46930.1</v>
      </c>
      <c r="W21" s="417">
        <f t="shared" si="10"/>
        <v>9.0999999999985448</v>
      </c>
      <c r="Y21" s="424" t="s">
        <v>1727</v>
      </c>
      <c r="AA21" t="s">
        <v>1717</v>
      </c>
      <c r="AB21">
        <v>5</v>
      </c>
    </row>
    <row r="22" spans="2:31" ht="16" customHeight="1">
      <c r="B22" s="63">
        <v>7</v>
      </c>
      <c r="C22" s="114" t="s">
        <v>1502</v>
      </c>
      <c r="D22" s="117" t="s">
        <v>1531</v>
      </c>
      <c r="E22" s="243" t="s">
        <v>1578</v>
      </c>
      <c r="F22" s="263">
        <f>ROUND('④-2 횡산소규모 작업일수'!O93/$Z$26,1)</f>
        <v>25.1</v>
      </c>
      <c r="G22" s="7" t="s">
        <v>808</v>
      </c>
      <c r="H22" s="269">
        <f t="shared" si="0"/>
        <v>0.15000000000000002</v>
      </c>
      <c r="I22" s="273">
        <f t="shared" si="9"/>
        <v>1</v>
      </c>
      <c r="J22" s="274">
        <f t="shared" si="1"/>
        <v>18.2</v>
      </c>
      <c r="K22" s="30">
        <f t="shared" si="2"/>
        <v>43.3</v>
      </c>
      <c r="L22" s="32">
        <f t="shared" si="3"/>
        <v>393</v>
      </c>
      <c r="M22" s="30">
        <f t="shared" si="4"/>
        <v>435.3</v>
      </c>
      <c r="N22" s="245">
        <f t="shared" si="5"/>
        <v>46809</v>
      </c>
      <c r="O22" s="246">
        <f t="shared" si="6"/>
        <v>46851.3</v>
      </c>
      <c r="P22" s="121"/>
      <c r="Q22" s="410">
        <f t="shared" si="7"/>
        <v>393</v>
      </c>
      <c r="R22" s="182">
        <f>COUNTIF('⑤-1 동절기순연축'!$F$5:$F$124,"&lt;"&amp;$Q22)+1</f>
        <v>19</v>
      </c>
      <c r="S22" s="396" cm="1">
        <f t="array" ref="S22">INDEX('⑤-1 동절기순연축'!$B$5:$B$124,$R22)+$Q22-INDEX('⑤-1 동절기순연축'!$F$5:$F$124,$R22)+INDEX('⑤-1 동절기순연축'!$E$5:$E$124,$R22)-1</f>
        <v>46930</v>
      </c>
      <c r="T22" s="414">
        <f t="shared" si="8"/>
        <v>435.3</v>
      </c>
      <c r="U22" s="185">
        <f>COUNTIF('⑤-1 동절기순연축'!$F$5:$F$124,"&lt;"&amp;$T22)+1</f>
        <v>21</v>
      </c>
      <c r="V22" s="396" cm="1">
        <f t="array" ref="V22">IF($AF22="Y",$S22+$K22-1,INDEX('⑤-1 동절기순연축'!$B$5:$B$124,$U22)+$T22-INDEX('⑤-1 동절기순연축'!$F$5:$F$124,$U22)+INDEX('⑤-1 동절기순연축'!$E$5:$E$124,$U22)-1)</f>
        <v>46972.3</v>
      </c>
      <c r="W22" s="417">
        <f t="shared" si="10"/>
        <v>43.30000000000291</v>
      </c>
      <c r="Y22" s="390" t="s">
        <v>1751</v>
      </c>
      <c r="Z22" s="423">
        <v>0.2</v>
      </c>
      <c r="AA22" t="s">
        <v>1717</v>
      </c>
      <c r="AB22">
        <v>6</v>
      </c>
    </row>
    <row r="23" spans="2:31" ht="16" customHeight="1">
      <c r="B23" s="63">
        <v>8</v>
      </c>
      <c r="C23" s="114" t="s">
        <v>1502</v>
      </c>
      <c r="D23" s="117" t="s">
        <v>1532</v>
      </c>
      <c r="E23" s="242" t="s">
        <v>1579</v>
      </c>
      <c r="F23" s="263">
        <f>ROUND('④-2 횡산소규모 작업일수'!O107/$Z$26,1)</f>
        <v>51.3</v>
      </c>
      <c r="G23" s="7" t="s">
        <v>1507</v>
      </c>
      <c r="H23" s="269">
        <f t="shared" si="0"/>
        <v>0.1</v>
      </c>
      <c r="I23" s="273">
        <f t="shared" si="9"/>
        <v>3</v>
      </c>
      <c r="J23" s="274">
        <f t="shared" si="1"/>
        <v>37.1</v>
      </c>
      <c r="K23" s="30">
        <f t="shared" si="2"/>
        <v>88.4</v>
      </c>
      <c r="L23" s="32">
        <f t="shared" si="3"/>
        <v>1</v>
      </c>
      <c r="M23" s="30">
        <f t="shared" si="4"/>
        <v>299.3</v>
      </c>
      <c r="N23" s="245">
        <f t="shared" si="5"/>
        <v>46417</v>
      </c>
      <c r="O23" s="246">
        <f t="shared" si="6"/>
        <v>46715.3</v>
      </c>
      <c r="P23" s="121"/>
      <c r="Q23" s="410">
        <f t="shared" si="7"/>
        <v>1</v>
      </c>
      <c r="R23" s="182">
        <f>COUNTIF('⑤-1 동절기순연축'!$F$5:$F$124,"&lt;"&amp;$Q23)+1</f>
        <v>4</v>
      </c>
      <c r="S23" s="396" cm="1">
        <f t="array" ref="S23">INDEX('⑤-1 동절기순연축'!$B$5:$B$124,$R23)+$Q23-INDEX('⑤-1 동절기순연축'!$F$5:$F$124,$R23)+INDEX('⑤-1 동절기순연축'!$E$5:$E$124,$R23)-1</f>
        <v>46447</v>
      </c>
      <c r="T23" s="414">
        <f t="shared" si="8"/>
        <v>299.3</v>
      </c>
      <c r="U23" s="185">
        <f>COUNTIF('⑤-1 동절기순연축'!$F$5:$F$124,"&lt;"&amp;$T23)+1</f>
        <v>16</v>
      </c>
      <c r="V23" s="396" cm="1">
        <f t="array" ref="V23">IF($AF23="Y",$S23+$K23-1,INDEX('⑤-1 동절기순연축'!$B$5:$B$124,$U23)+$T23-INDEX('⑤-1 동절기순연축'!$F$5:$F$124,$U23)+INDEX('⑤-1 동절기순연축'!$E$5:$E$124,$U23)-1)</f>
        <v>46836.3</v>
      </c>
      <c r="W23" s="417">
        <f t="shared" si="10"/>
        <v>390.30000000000291</v>
      </c>
      <c r="Y23" s="390" t="s">
        <v>1752</v>
      </c>
      <c r="Z23">
        <f>MIN($C$13*$Z$22,0.95)</f>
        <v>0.15000000000000002</v>
      </c>
      <c r="AA23" t="s">
        <v>1716</v>
      </c>
      <c r="AD23">
        <v>11</v>
      </c>
    </row>
    <row r="24" spans="2:31" ht="16" customHeight="1">
      <c r="B24" s="63">
        <v>9</v>
      </c>
      <c r="C24" s="114" t="s">
        <v>1502</v>
      </c>
      <c r="D24" s="117" t="s">
        <v>1533</v>
      </c>
      <c r="E24" s="244" t="s">
        <v>1580</v>
      </c>
      <c r="F24" s="263">
        <f>ROUND('④-2 횡산소규모 작업일수'!O135/$Z$26,1)</f>
        <v>10.6</v>
      </c>
      <c r="G24" s="7" t="s">
        <v>808</v>
      </c>
      <c r="H24" s="269">
        <f t="shared" si="0"/>
        <v>0.15000000000000002</v>
      </c>
      <c r="I24" s="273">
        <f t="shared" si="9"/>
        <v>2</v>
      </c>
      <c r="J24" s="274">
        <f t="shared" si="1"/>
        <v>7.7</v>
      </c>
      <c r="K24" s="30">
        <f t="shared" si="2"/>
        <v>18.3</v>
      </c>
      <c r="L24" s="32">
        <f t="shared" si="3"/>
        <v>76</v>
      </c>
      <c r="M24" s="30">
        <f t="shared" si="4"/>
        <v>299.3</v>
      </c>
      <c r="N24" s="245">
        <f t="shared" si="5"/>
        <v>46492</v>
      </c>
      <c r="O24" s="246">
        <f t="shared" si="6"/>
        <v>46715.3</v>
      </c>
      <c r="P24" s="121"/>
      <c r="Q24" s="410">
        <f t="shared" si="7"/>
        <v>76</v>
      </c>
      <c r="R24" s="182">
        <f>COUNTIF('⑤-1 동절기순연축'!$F$5:$F$124,"&lt;"&amp;$Q24)+1</f>
        <v>6</v>
      </c>
      <c r="S24" s="396" cm="1">
        <f t="array" ref="S24">INDEX('⑤-1 동절기순연축'!$B$5:$B$124,$R24)+$Q24-INDEX('⑤-1 동절기순연축'!$F$5:$F$124,$R24)+INDEX('⑤-1 동절기순연축'!$E$5:$E$124,$R24)-1</f>
        <v>46522</v>
      </c>
      <c r="T24" s="414">
        <f t="shared" si="8"/>
        <v>299.3</v>
      </c>
      <c r="U24" s="185">
        <f>COUNTIF('⑤-1 동절기순연축'!$F$5:$F$124,"&lt;"&amp;$T24)+1</f>
        <v>16</v>
      </c>
      <c r="V24" s="396" cm="1">
        <f t="array" ref="V24">IF($AF24="Y",$S24+$K24-1,INDEX('⑤-1 동절기순연축'!$B$5:$B$124,$U24)+$T24-INDEX('⑤-1 동절기순연축'!$F$5:$F$124,$U24)+INDEX('⑤-1 동절기순연축'!$E$5:$E$124,$U24)-1)</f>
        <v>46836.3</v>
      </c>
      <c r="W24" s="417">
        <f t="shared" si="10"/>
        <v>315.30000000000291</v>
      </c>
      <c r="Y24" s="390" t="s">
        <v>1753</v>
      </c>
      <c r="Z24">
        <f>MIN($C$12*$Z$22,0.95)</f>
        <v>0.1</v>
      </c>
      <c r="AA24" t="s">
        <v>1717</v>
      </c>
      <c r="AB24">
        <v>8</v>
      </c>
      <c r="AD24">
        <v>11</v>
      </c>
    </row>
    <row r="25" spans="2:31" ht="16" customHeight="1">
      <c r="B25" s="63">
        <v>10</v>
      </c>
      <c r="C25" s="114" t="s">
        <v>1502</v>
      </c>
      <c r="D25" s="117" t="s">
        <v>1534</v>
      </c>
      <c r="E25" s="244" t="s">
        <v>1581</v>
      </c>
      <c r="F25" s="263">
        <f>ROUND('④-2 횡산소규모 작업일수'!O116/$Z$26,1)</f>
        <v>80.900000000000006</v>
      </c>
      <c r="G25" s="7" t="s">
        <v>808</v>
      </c>
      <c r="H25" s="269">
        <f t="shared" si="0"/>
        <v>0.15000000000000002</v>
      </c>
      <c r="I25" s="273">
        <f t="shared" si="9"/>
        <v>2</v>
      </c>
      <c r="J25" s="274">
        <f t="shared" si="1"/>
        <v>58.5</v>
      </c>
      <c r="K25" s="30">
        <f t="shared" si="2"/>
        <v>139.4</v>
      </c>
      <c r="L25" s="32">
        <f t="shared" si="3"/>
        <v>92</v>
      </c>
      <c r="M25" s="30">
        <f t="shared" si="4"/>
        <v>230.4</v>
      </c>
      <c r="N25" s="245">
        <f t="shared" si="5"/>
        <v>46508</v>
      </c>
      <c r="O25" s="246">
        <f t="shared" si="6"/>
        <v>46646.400000000001</v>
      </c>
      <c r="P25" s="121"/>
      <c r="Q25" s="410">
        <f t="shared" si="7"/>
        <v>92</v>
      </c>
      <c r="R25" s="182">
        <f>COUNTIF('⑤-1 동절기순연축'!$F$5:$F$124,"&lt;"&amp;$Q25)+1</f>
        <v>6</v>
      </c>
      <c r="S25" s="396" cm="1">
        <f t="array" ref="S25">INDEX('⑤-1 동절기순연축'!$B$5:$B$124,$R25)+$Q25-INDEX('⑤-1 동절기순연축'!$F$5:$F$124,$R25)+INDEX('⑤-1 동절기순연축'!$E$5:$E$124,$R25)-1</f>
        <v>46538</v>
      </c>
      <c r="T25" s="414">
        <f t="shared" si="8"/>
        <v>230.4</v>
      </c>
      <c r="U25" s="185">
        <f>COUNTIF('⑤-1 동절기순연축'!$F$5:$F$124,"&lt;"&amp;$T25)+1</f>
        <v>11</v>
      </c>
      <c r="V25" s="396" cm="1">
        <f t="array" ref="V25">IF($AF25="Y",$S25+$K25-1,INDEX('⑤-1 동절기순연축'!$B$5:$B$124,$U25)+$T25-INDEX('⑤-1 동절기순연축'!$F$5:$F$124,$U25)+INDEX('⑤-1 동절기순연축'!$E$5:$E$124,$U25)-1)</f>
        <v>46676.4</v>
      </c>
      <c r="W25" s="417">
        <f t="shared" si="10"/>
        <v>139.40000000000146</v>
      </c>
      <c r="Y25" s="424" t="s">
        <v>1754</v>
      </c>
      <c r="AA25" t="s">
        <v>1717</v>
      </c>
      <c r="AB25">
        <v>9</v>
      </c>
    </row>
    <row r="26" spans="2:31" ht="16" customHeight="1">
      <c r="B26" s="63">
        <v>11</v>
      </c>
      <c r="C26" s="114" t="s">
        <v>1502</v>
      </c>
      <c r="D26" s="117" t="s">
        <v>1535</v>
      </c>
      <c r="E26" s="244" t="s">
        <v>1582</v>
      </c>
      <c r="F26" s="263">
        <f>ROUND('④-2 횡산소규모 작업일수'!O126/$Z$26,1)</f>
        <v>52.4</v>
      </c>
      <c r="G26" s="7" t="s">
        <v>808</v>
      </c>
      <c r="H26" s="269">
        <f t="shared" si="0"/>
        <v>0.15000000000000002</v>
      </c>
      <c r="I26" s="273">
        <f t="shared" si="9"/>
        <v>8</v>
      </c>
      <c r="J26" s="274">
        <f t="shared" si="1"/>
        <v>37.9</v>
      </c>
      <c r="K26" s="30">
        <f t="shared" si="2"/>
        <v>90.3</v>
      </c>
      <c r="L26" s="32">
        <f t="shared" si="3"/>
        <v>210</v>
      </c>
      <c r="M26" s="30">
        <f t="shared" si="4"/>
        <v>299.3</v>
      </c>
      <c r="N26" s="245">
        <f t="shared" si="5"/>
        <v>46626</v>
      </c>
      <c r="O26" s="246">
        <f t="shared" si="6"/>
        <v>46715.3</v>
      </c>
      <c r="P26" s="121"/>
      <c r="Q26" s="410">
        <f t="shared" si="7"/>
        <v>210</v>
      </c>
      <c r="R26" s="182">
        <f>COUNTIF('⑤-1 동절기순연축'!$F$5:$F$124,"&lt;"&amp;$Q26)+1</f>
        <v>10</v>
      </c>
      <c r="S26" s="396" cm="1">
        <f t="array" ref="S26">INDEX('⑤-1 동절기순연축'!$B$5:$B$124,$R26)+$Q26-INDEX('⑤-1 동절기순연축'!$F$5:$F$124,$R26)+INDEX('⑤-1 동절기순연축'!$E$5:$E$124,$R26)-1</f>
        <v>46656</v>
      </c>
      <c r="T26" s="414">
        <f t="shared" si="8"/>
        <v>299.3</v>
      </c>
      <c r="U26" s="185">
        <f>COUNTIF('⑤-1 동절기순연축'!$F$5:$F$124,"&lt;"&amp;$T26)+1</f>
        <v>16</v>
      </c>
      <c r="V26" s="396" cm="1">
        <f t="array" ref="V26">IF($AF26="Y",$S26+$K26-1,INDEX('⑤-1 동절기순연축'!$B$5:$B$124,$U26)+$T26-INDEX('⑤-1 동절기순연축'!$F$5:$F$124,$U26)+INDEX('⑤-1 동절기순연축'!$E$5:$E$124,$U26)-1)</f>
        <v>46836.3</v>
      </c>
      <c r="W26" s="417">
        <f t="shared" si="10"/>
        <v>181.30000000000291</v>
      </c>
      <c r="Y26" s="390" t="s">
        <v>1755</v>
      </c>
      <c r="Z26" s="423">
        <v>0.7</v>
      </c>
      <c r="AA26" t="s">
        <v>1717</v>
      </c>
      <c r="AB26">
        <v>10</v>
      </c>
    </row>
    <row r="27" spans="2:31" ht="16" customHeight="1">
      <c r="B27" s="63">
        <v>12</v>
      </c>
      <c r="C27" s="114" t="s">
        <v>1502</v>
      </c>
      <c r="D27" s="117" t="s">
        <v>1536</v>
      </c>
      <c r="E27" s="244" t="s">
        <v>1583</v>
      </c>
      <c r="F27" s="263">
        <f>ROUND('④-2 횡산소규모 작업일수'!O137/$Z$26,1)</f>
        <v>38.299999999999997</v>
      </c>
      <c r="G27" s="7" t="s">
        <v>1507</v>
      </c>
      <c r="H27" s="269">
        <f t="shared" si="0"/>
        <v>0.1</v>
      </c>
      <c r="I27" s="273">
        <f t="shared" si="9"/>
        <v>4</v>
      </c>
      <c r="J27" s="274">
        <f t="shared" si="1"/>
        <v>27.7</v>
      </c>
      <c r="K27" s="30">
        <f t="shared" si="2"/>
        <v>66</v>
      </c>
      <c r="L27" s="32">
        <f t="shared" si="3"/>
        <v>291</v>
      </c>
      <c r="M27" s="30">
        <f t="shared" si="4"/>
        <v>356</v>
      </c>
      <c r="N27" s="245">
        <f t="shared" si="5"/>
        <v>46707</v>
      </c>
      <c r="O27" s="246">
        <f t="shared" si="6"/>
        <v>46772</v>
      </c>
      <c r="P27" s="121"/>
      <c r="Q27" s="410">
        <f t="shared" si="7"/>
        <v>291</v>
      </c>
      <c r="R27" s="182">
        <f>COUNTIF('⑤-1 동절기순연축'!$F$5:$F$124,"&lt;"&amp;$Q27)+1</f>
        <v>16</v>
      </c>
      <c r="S27" s="396" cm="1">
        <f t="array" ref="S27">INDEX('⑤-1 동절기순연축'!$B$5:$B$124,$R27)+$Q27-INDEX('⑤-1 동절기순연축'!$F$5:$F$124,$R27)+INDEX('⑤-1 동절기순연축'!$E$5:$E$124,$R27)-1</f>
        <v>46828</v>
      </c>
      <c r="T27" s="414">
        <f t="shared" si="8"/>
        <v>356</v>
      </c>
      <c r="U27" s="185">
        <f>COUNTIF('⑤-1 동절기순연축'!$F$5:$F$124,"&lt;"&amp;$T27)+1</f>
        <v>18</v>
      </c>
      <c r="V27" s="396" cm="1">
        <f t="array" ref="V27">IF($AF27="Y",$S27+$K27-1,INDEX('⑤-1 동절기순연축'!$B$5:$B$124,$U27)+$T27-INDEX('⑤-1 동절기순연축'!$F$5:$F$124,$U27)+INDEX('⑤-1 동절기순연축'!$E$5:$E$124,$U27)-1)</f>
        <v>46893</v>
      </c>
      <c r="W27" s="417">
        <f t="shared" si="10"/>
        <v>66</v>
      </c>
      <c r="Y27" s="424" t="s">
        <v>1756</v>
      </c>
      <c r="AA27" t="s">
        <v>1717</v>
      </c>
      <c r="AB27">
        <v>11</v>
      </c>
    </row>
    <row r="28" spans="2:31" ht="16" customHeight="1">
      <c r="B28" s="63">
        <v>13</v>
      </c>
      <c r="C28" s="114" t="s">
        <v>1502</v>
      </c>
      <c r="D28" s="117" t="s">
        <v>1537</v>
      </c>
      <c r="E28" s="244" t="s">
        <v>1584</v>
      </c>
      <c r="F28" s="263">
        <f>ROUND('④-2 횡산소규모 작업일수'!O152/$Z$26,1)</f>
        <v>50.1</v>
      </c>
      <c r="G28" s="7" t="s">
        <v>808</v>
      </c>
      <c r="H28" s="269">
        <f t="shared" si="0"/>
        <v>0.15000000000000002</v>
      </c>
      <c r="I28" s="273">
        <f t="shared" si="9"/>
        <v>6</v>
      </c>
      <c r="J28" s="274">
        <f t="shared" si="1"/>
        <v>36.299999999999997</v>
      </c>
      <c r="K28" s="30">
        <f t="shared" si="2"/>
        <v>86.4</v>
      </c>
      <c r="L28" s="32">
        <f t="shared" si="3"/>
        <v>347</v>
      </c>
      <c r="M28" s="30">
        <f t="shared" si="4"/>
        <v>432.4</v>
      </c>
      <c r="N28" s="245">
        <f t="shared" si="5"/>
        <v>46763</v>
      </c>
      <c r="O28" s="246">
        <f t="shared" si="6"/>
        <v>46848.4</v>
      </c>
      <c r="P28" s="121"/>
      <c r="Q28" s="410">
        <f t="shared" si="7"/>
        <v>347</v>
      </c>
      <c r="R28" s="182">
        <f>COUNTIF('⑤-1 동절기순연축'!$F$5:$F$124,"&lt;"&amp;$Q28)+1</f>
        <v>18</v>
      </c>
      <c r="S28" s="396" cm="1">
        <f t="array" ref="S28">INDEX('⑤-1 동절기순연축'!$B$5:$B$124,$R28)+$Q28-INDEX('⑤-1 동절기순연축'!$F$5:$F$124,$R28)+INDEX('⑤-1 동절기순연축'!$E$5:$E$124,$R28)-1</f>
        <v>46884</v>
      </c>
      <c r="T28" s="414">
        <f t="shared" si="8"/>
        <v>432.4</v>
      </c>
      <c r="U28" s="185">
        <f>COUNTIF('⑤-1 동절기순연축'!$F$5:$F$124,"&lt;"&amp;$T28)+1</f>
        <v>21</v>
      </c>
      <c r="V28" s="396" cm="1">
        <f t="array" ref="V28">IF($AF28="Y",$S28+$K28-1,INDEX('⑤-1 동절기순연축'!$B$5:$B$124,$U28)+$T28-INDEX('⑤-1 동절기순연축'!$F$5:$F$124,$U28)+INDEX('⑤-1 동절기순연축'!$E$5:$E$124,$U28)-1)</f>
        <v>46969.4</v>
      </c>
      <c r="W28" s="417">
        <f t="shared" si="10"/>
        <v>86.400000000001455</v>
      </c>
      <c r="AA28" t="s">
        <v>1717</v>
      </c>
      <c r="AB28">
        <v>12</v>
      </c>
    </row>
    <row r="29" spans="2:31" ht="16" customHeight="1">
      <c r="B29" s="63">
        <v>14</v>
      </c>
      <c r="C29" s="114" t="s">
        <v>1502</v>
      </c>
      <c r="D29" s="117" t="s">
        <v>1538</v>
      </c>
      <c r="E29" s="244" t="s">
        <v>1585</v>
      </c>
      <c r="F29" s="263">
        <f>ROUND('④-2 횡산소규모 작업일수'!O165/$Z$26,1)</f>
        <v>4.3</v>
      </c>
      <c r="G29" s="7" t="s">
        <v>1507</v>
      </c>
      <c r="H29" s="269">
        <f t="shared" si="0"/>
        <v>0.1</v>
      </c>
      <c r="I29" s="273">
        <f t="shared" si="9"/>
        <v>0</v>
      </c>
      <c r="J29" s="274">
        <f t="shared" si="1"/>
        <v>3.1</v>
      </c>
      <c r="K29" s="30">
        <f t="shared" si="2"/>
        <v>7.4</v>
      </c>
      <c r="L29" s="32">
        <f t="shared" si="3"/>
        <v>291</v>
      </c>
      <c r="M29" s="30">
        <f t="shared" si="4"/>
        <v>314.5</v>
      </c>
      <c r="N29" s="245">
        <f t="shared" si="5"/>
        <v>46707</v>
      </c>
      <c r="O29" s="246">
        <f t="shared" si="6"/>
        <v>46730.5</v>
      </c>
      <c r="P29" s="121"/>
      <c r="Q29" s="410">
        <f t="shared" si="7"/>
        <v>291</v>
      </c>
      <c r="R29" s="182">
        <f>COUNTIF('⑤-1 동절기순연축'!$F$5:$F$124,"&lt;"&amp;$Q29)+1</f>
        <v>16</v>
      </c>
      <c r="S29" s="396" cm="1">
        <f t="array" ref="S29">INDEX('⑤-1 동절기순연축'!$B$5:$B$124,$R29)+$Q29-INDEX('⑤-1 동절기순연축'!$F$5:$F$124,$R29)+INDEX('⑤-1 동절기순연축'!$E$5:$E$124,$R29)-1</f>
        <v>46828</v>
      </c>
      <c r="T29" s="414">
        <f t="shared" si="8"/>
        <v>314.5</v>
      </c>
      <c r="U29" s="185">
        <f>COUNTIF('⑤-1 동절기순연축'!$F$5:$F$124,"&lt;"&amp;$T29)+1</f>
        <v>17</v>
      </c>
      <c r="V29" s="396" cm="1">
        <f t="array" ref="V29">IF($AF29="Y",$S29+$K29-1,INDEX('⑤-1 동절기순연축'!$B$5:$B$124,$U29)+$T29-INDEX('⑤-1 동절기순연축'!$F$5:$F$124,$U29)+INDEX('⑤-1 동절기순연축'!$E$5:$E$124,$U29)-1)</f>
        <v>46851.5</v>
      </c>
      <c r="W29" s="417">
        <f t="shared" si="10"/>
        <v>24.5</v>
      </c>
      <c r="Y29" s="237" t="s">
        <v>1766</v>
      </c>
      <c r="AA29" t="s">
        <v>1717</v>
      </c>
      <c r="AB29">
        <v>11</v>
      </c>
      <c r="AD29">
        <v>16</v>
      </c>
    </row>
    <row r="30" spans="2:31" ht="16" customHeight="1">
      <c r="B30" s="63">
        <v>15</v>
      </c>
      <c r="C30" s="114" t="s">
        <v>1502</v>
      </c>
      <c r="D30" s="117" t="s">
        <v>1539</v>
      </c>
      <c r="E30" s="243" t="s">
        <v>1586</v>
      </c>
      <c r="F30" s="263">
        <f>ROUND('④-2 횡산소규모 작업일수'!O179/$Z$26,1)</f>
        <v>2.6</v>
      </c>
      <c r="G30" s="7" t="s">
        <v>808</v>
      </c>
      <c r="H30" s="269">
        <f t="shared" si="0"/>
        <v>0.15000000000000002</v>
      </c>
      <c r="I30" s="273">
        <f t="shared" si="9"/>
        <v>0</v>
      </c>
      <c r="J30" s="274">
        <f t="shared" si="1"/>
        <v>1.9</v>
      </c>
      <c r="K30" s="30">
        <f t="shared" si="2"/>
        <v>4.5</v>
      </c>
      <c r="L30" s="32">
        <f t="shared" si="3"/>
        <v>297</v>
      </c>
      <c r="M30" s="30">
        <f t="shared" si="4"/>
        <v>314.5</v>
      </c>
      <c r="N30" s="245">
        <f t="shared" si="5"/>
        <v>46713</v>
      </c>
      <c r="O30" s="246">
        <f t="shared" si="6"/>
        <v>46730.5</v>
      </c>
      <c r="P30" s="121"/>
      <c r="Q30" s="410">
        <f t="shared" si="7"/>
        <v>297</v>
      </c>
      <c r="R30" s="182">
        <f>COUNTIF('⑤-1 동절기순연축'!$F$5:$F$124,"&lt;"&amp;$Q30)+1</f>
        <v>16</v>
      </c>
      <c r="S30" s="396" cm="1">
        <f t="array" ref="S30">INDEX('⑤-1 동절기순연축'!$B$5:$B$124,$R30)+$Q30-INDEX('⑤-1 동절기순연축'!$F$5:$F$124,$R30)+INDEX('⑤-1 동절기순연축'!$E$5:$E$124,$R30)-1</f>
        <v>46834</v>
      </c>
      <c r="T30" s="414">
        <f t="shared" si="8"/>
        <v>314.5</v>
      </c>
      <c r="U30" s="185">
        <f>COUNTIF('⑤-1 동절기순연축'!$F$5:$F$124,"&lt;"&amp;$T30)+1</f>
        <v>17</v>
      </c>
      <c r="V30" s="396" cm="1">
        <f t="array" ref="V30">IF($AF30="Y",$S30+$K30-1,INDEX('⑤-1 동절기순연축'!$B$5:$B$124,$U30)+$T30-INDEX('⑤-1 동절기순연축'!$F$5:$F$124,$U30)+INDEX('⑤-1 동절기순연축'!$E$5:$E$124,$U30)-1)</f>
        <v>46851.5</v>
      </c>
      <c r="W30" s="417">
        <f t="shared" si="10"/>
        <v>18.5</v>
      </c>
      <c r="Y30" t="s">
        <v>1767</v>
      </c>
      <c r="Z30" s="465">
        <f>$M$22+1</f>
        <v>436.3</v>
      </c>
      <c r="AA30" t="s">
        <v>1717</v>
      </c>
      <c r="AB30">
        <v>14</v>
      </c>
      <c r="AD30">
        <v>16</v>
      </c>
    </row>
    <row r="31" spans="2:31" ht="16" customHeight="1">
      <c r="B31" s="63">
        <v>16</v>
      </c>
      <c r="C31" s="114" t="s">
        <v>1502</v>
      </c>
      <c r="D31" s="117" t="s">
        <v>1540</v>
      </c>
      <c r="E31" s="242" t="s">
        <v>1587</v>
      </c>
      <c r="F31" s="263">
        <f>ROUND('④-2 횡산소규모 작업일수'!O171/$Z$26,1)</f>
        <v>8.4</v>
      </c>
      <c r="G31" s="7" t="s">
        <v>1507</v>
      </c>
      <c r="H31" s="269">
        <f t="shared" si="0"/>
        <v>0.1</v>
      </c>
      <c r="I31" s="273">
        <f t="shared" si="9"/>
        <v>0</v>
      </c>
      <c r="J31" s="274">
        <f t="shared" si="1"/>
        <v>6.1</v>
      </c>
      <c r="K31" s="30">
        <f t="shared" si="2"/>
        <v>14.5</v>
      </c>
      <c r="L31" s="32">
        <f t="shared" si="3"/>
        <v>301</v>
      </c>
      <c r="M31" s="30">
        <f t="shared" si="4"/>
        <v>314.5</v>
      </c>
      <c r="N31" s="245">
        <f t="shared" si="5"/>
        <v>46717</v>
      </c>
      <c r="O31" s="246">
        <f t="shared" si="6"/>
        <v>46730.5</v>
      </c>
      <c r="P31" s="121"/>
      <c r="Q31" s="410">
        <f t="shared" si="7"/>
        <v>301</v>
      </c>
      <c r="R31" s="182">
        <f>COUNTIF('⑤-1 동절기순연축'!$F$5:$F$124,"&lt;"&amp;$Q31)+1</f>
        <v>16</v>
      </c>
      <c r="S31" s="396" cm="1">
        <f t="array" ref="S31">INDEX('⑤-1 동절기순연축'!$B$5:$B$124,$R31)+$Q31-INDEX('⑤-1 동절기순연축'!$F$5:$F$124,$R31)+INDEX('⑤-1 동절기순연축'!$E$5:$E$124,$R31)-1</f>
        <v>46838</v>
      </c>
      <c r="T31" s="414">
        <f t="shared" si="8"/>
        <v>314.5</v>
      </c>
      <c r="U31" s="185">
        <f>COUNTIF('⑤-1 동절기순연축'!$F$5:$F$124,"&lt;"&amp;$T31)+1</f>
        <v>17</v>
      </c>
      <c r="V31" s="396" cm="1">
        <f t="array" ref="V31">IF($AF31="Y",$S31+$K31-1,INDEX('⑤-1 동절기순연축'!$B$5:$B$124,$U31)+$T31-INDEX('⑤-1 동절기순연축'!$F$5:$F$124,$U31)+INDEX('⑤-1 동절기순연축'!$E$5:$E$124,$U31)-1)</f>
        <v>46851.5</v>
      </c>
      <c r="W31" s="417">
        <f t="shared" si="10"/>
        <v>14.5</v>
      </c>
      <c r="Y31" t="s">
        <v>1768</v>
      </c>
      <c r="Z31" s="465">
        <f>$M$28+1</f>
        <v>433.4</v>
      </c>
      <c r="AA31" t="s">
        <v>1717</v>
      </c>
      <c r="AB31">
        <v>15</v>
      </c>
    </row>
    <row r="32" spans="2:31" ht="16" customHeight="1">
      <c r="B32" s="63">
        <v>17</v>
      </c>
      <c r="C32" s="114" t="s">
        <v>1502</v>
      </c>
      <c r="D32" s="117" t="s">
        <v>1541</v>
      </c>
      <c r="E32" s="244" t="s">
        <v>1588</v>
      </c>
      <c r="F32" s="263">
        <f>ROUND('④-2 횡산소규모 작업일수'!O187/$Z$26,1)</f>
        <v>37.1</v>
      </c>
      <c r="G32" s="7" t="s">
        <v>1507</v>
      </c>
      <c r="H32" s="269">
        <f t="shared" si="0"/>
        <v>0.1</v>
      </c>
      <c r="I32" s="273">
        <f t="shared" si="9"/>
        <v>1</v>
      </c>
      <c r="J32" s="274">
        <f t="shared" si="1"/>
        <v>26.8</v>
      </c>
      <c r="K32" s="30">
        <f t="shared" si="2"/>
        <v>63.900000000000006</v>
      </c>
      <c r="L32" s="32">
        <f t="shared" si="3"/>
        <v>134</v>
      </c>
      <c r="M32" s="30">
        <f t="shared" si="4"/>
        <v>366.1</v>
      </c>
      <c r="N32" s="245">
        <f t="shared" si="5"/>
        <v>46550</v>
      </c>
      <c r="O32" s="246">
        <f t="shared" si="6"/>
        <v>46782.1</v>
      </c>
      <c r="P32" s="121"/>
      <c r="Q32" s="410">
        <f t="shared" si="7"/>
        <v>134</v>
      </c>
      <c r="R32" s="182">
        <f>COUNTIF('⑤-1 동절기순연축'!$F$5:$F$124,"&lt;"&amp;$Q32)+1</f>
        <v>8</v>
      </c>
      <c r="S32" s="396" cm="1">
        <f t="array" ref="S32">INDEX('⑤-1 동절기순연축'!$B$5:$B$124,$R32)+$Q32-INDEX('⑤-1 동절기순연축'!$F$5:$F$124,$R32)+INDEX('⑤-1 동절기순연축'!$E$5:$E$124,$R32)-1</f>
        <v>46580</v>
      </c>
      <c r="T32" s="414">
        <f t="shared" si="8"/>
        <v>366.1</v>
      </c>
      <c r="U32" s="185">
        <f>COUNTIF('⑤-1 동절기순연축'!$F$5:$F$124,"&lt;"&amp;$T32)+1</f>
        <v>18</v>
      </c>
      <c r="V32" s="396" cm="1">
        <f t="array" ref="V32">IF($AF32="Y",$S32+$K32-1,INDEX('⑤-1 동절기순연축'!$B$5:$B$124,$U32)+$T32-INDEX('⑤-1 동절기순연축'!$F$5:$F$124,$U32)+INDEX('⑤-1 동절기순연축'!$E$5:$E$124,$U32)-1)</f>
        <v>46903.1</v>
      </c>
      <c r="W32" s="417">
        <f t="shared" si="10"/>
        <v>324.09999999999854</v>
      </c>
      <c r="Y32" t="s">
        <v>1769</v>
      </c>
      <c r="Z32">
        <f>ROUND($L$32+($M$37-$L$32+1)*$Z$33,0)</f>
        <v>308</v>
      </c>
      <c r="AA32" t="s">
        <v>1717</v>
      </c>
      <c r="AB32">
        <v>10</v>
      </c>
      <c r="AD32">
        <v>20</v>
      </c>
      <c r="AE32">
        <v>0.3</v>
      </c>
    </row>
    <row r="33" spans="2:32" ht="16" customHeight="1">
      <c r="B33" s="63">
        <v>18</v>
      </c>
      <c r="C33" s="114" t="s">
        <v>1502</v>
      </c>
      <c r="D33" s="117" t="s">
        <v>1542</v>
      </c>
      <c r="E33" s="244" t="s">
        <v>1589</v>
      </c>
      <c r="F33" s="263">
        <f>ROUND('④-2 횡산소규모 작업일수'!O196/$Z$26,1)</f>
        <v>39.9</v>
      </c>
      <c r="G33" s="7" t="s">
        <v>808</v>
      </c>
      <c r="H33" s="269">
        <f t="shared" si="0"/>
        <v>0.15000000000000002</v>
      </c>
      <c r="I33" s="273">
        <f t="shared" si="9"/>
        <v>6</v>
      </c>
      <c r="J33" s="274">
        <f t="shared" si="1"/>
        <v>28.9</v>
      </c>
      <c r="K33" s="30">
        <f t="shared" si="2"/>
        <v>68.8</v>
      </c>
      <c r="L33" s="32">
        <f t="shared" si="3"/>
        <v>188</v>
      </c>
      <c r="M33" s="30">
        <f t="shared" si="4"/>
        <v>255.8</v>
      </c>
      <c r="N33" s="245">
        <f t="shared" si="5"/>
        <v>46604</v>
      </c>
      <c r="O33" s="246">
        <f t="shared" si="6"/>
        <v>46671.8</v>
      </c>
      <c r="P33" s="121"/>
      <c r="Q33" s="410">
        <f t="shared" si="7"/>
        <v>188</v>
      </c>
      <c r="R33" s="182">
        <f>COUNTIF('⑤-1 동절기순연축'!$F$5:$F$124,"&lt;"&amp;$Q33)+1</f>
        <v>10</v>
      </c>
      <c r="S33" s="396" cm="1">
        <f t="array" ref="S33">INDEX('⑤-1 동절기순연축'!$B$5:$B$124,$R33)+$Q33-INDEX('⑤-1 동절기순연축'!$F$5:$F$124,$R33)+INDEX('⑤-1 동절기순연축'!$E$5:$E$124,$R33)-1</f>
        <v>46634</v>
      </c>
      <c r="T33" s="414">
        <f t="shared" si="8"/>
        <v>255.8</v>
      </c>
      <c r="U33" s="185">
        <f>COUNTIF('⑤-1 동절기순연축'!$F$5:$F$124,"&lt;"&amp;$T33)+1</f>
        <v>12</v>
      </c>
      <c r="V33" s="396" cm="1">
        <f t="array" ref="V33">IF($AF33="Y",$S33+$K33-1,INDEX('⑤-1 동절기순연축'!$B$5:$B$124,$U33)+$T33-INDEX('⑤-1 동절기순연축'!$F$5:$F$124,$U33)+INDEX('⑤-1 동절기순연축'!$E$5:$E$124,$U33)-1)</f>
        <v>46701.8</v>
      </c>
      <c r="W33" s="417">
        <f t="shared" si="10"/>
        <v>68.80000000000291</v>
      </c>
      <c r="Y33" t="s">
        <v>1770</v>
      </c>
      <c r="Z33" s="466">
        <v>0.5</v>
      </c>
      <c r="AA33" t="s">
        <v>1717</v>
      </c>
      <c r="AB33">
        <v>17</v>
      </c>
    </row>
    <row r="34" spans="2:32" ht="16" customHeight="1">
      <c r="B34" s="63">
        <v>19</v>
      </c>
      <c r="C34" s="114" t="s">
        <v>1502</v>
      </c>
      <c r="D34" s="117" t="s">
        <v>1543</v>
      </c>
      <c r="E34" s="244" t="s">
        <v>1590</v>
      </c>
      <c r="F34" s="263">
        <f>ROUND('④-2 횡산소규모 작업일수'!O205/$Z$26,1)</f>
        <v>60.6</v>
      </c>
      <c r="G34" s="7" t="s">
        <v>808</v>
      </c>
      <c r="H34" s="269">
        <f t="shared" si="0"/>
        <v>0.15000000000000002</v>
      </c>
      <c r="I34" s="273">
        <f t="shared" si="9"/>
        <v>6</v>
      </c>
      <c r="J34" s="274">
        <f t="shared" si="1"/>
        <v>43.9</v>
      </c>
      <c r="K34" s="30">
        <f t="shared" si="2"/>
        <v>104.5</v>
      </c>
      <c r="L34" s="32">
        <f t="shared" si="3"/>
        <v>246</v>
      </c>
      <c r="M34" s="30">
        <f t="shared" si="4"/>
        <v>349.5</v>
      </c>
      <c r="N34" s="245">
        <f t="shared" si="5"/>
        <v>46662</v>
      </c>
      <c r="O34" s="246">
        <f t="shared" si="6"/>
        <v>46765.5</v>
      </c>
      <c r="P34" s="121"/>
      <c r="Q34" s="410">
        <f t="shared" si="7"/>
        <v>246</v>
      </c>
      <c r="R34" s="182">
        <f>COUNTIF('⑤-1 동절기순연축'!$F$5:$F$124,"&lt;"&amp;$Q34)+1</f>
        <v>12</v>
      </c>
      <c r="S34" s="396" cm="1">
        <f t="array" ref="S34">INDEX('⑤-1 동절기순연축'!$B$5:$B$124,$R34)+$Q34-INDEX('⑤-1 동절기순연축'!$F$5:$F$124,$R34)+INDEX('⑤-1 동절기순연축'!$E$5:$E$124,$R34)-1</f>
        <v>46692</v>
      </c>
      <c r="T34" s="414">
        <f t="shared" si="8"/>
        <v>349.5</v>
      </c>
      <c r="U34" s="185">
        <f>COUNTIF('⑤-1 동절기순연축'!$F$5:$F$124,"&lt;"&amp;$T34)+1</f>
        <v>18</v>
      </c>
      <c r="V34" s="396" cm="1">
        <f t="array" ref="V34">IF($AF34="Y",$S34+$K34-1,INDEX('⑤-1 동절기순연축'!$B$5:$B$124,$U34)+$T34-INDEX('⑤-1 동절기순연축'!$F$5:$F$124,$U34)+INDEX('⑤-1 동절기순연축'!$E$5:$E$124,$U34)-1)</f>
        <v>46886.5</v>
      </c>
      <c r="W34" s="417">
        <f t="shared" si="10"/>
        <v>195.5</v>
      </c>
      <c r="Y34" t="s">
        <v>1771</v>
      </c>
      <c r="Z34" s="465">
        <f>MAX($M$39,$M$40)+1</f>
        <v>438.1</v>
      </c>
      <c r="AA34" t="s">
        <v>1717</v>
      </c>
      <c r="AB34">
        <v>18</v>
      </c>
    </row>
    <row r="35" spans="2:32" ht="16" customHeight="1">
      <c r="B35" s="63">
        <v>20</v>
      </c>
      <c r="C35" s="114" t="s">
        <v>1502</v>
      </c>
      <c r="D35" s="117" t="s">
        <v>1544</v>
      </c>
      <c r="E35" s="244" t="s">
        <v>1591</v>
      </c>
      <c r="F35" s="263">
        <f>ROUND('④-2 횡산소규모 작업일수'!O210/$Z$26,1)</f>
        <v>18.600000000000001</v>
      </c>
      <c r="G35" s="7" t="s">
        <v>808</v>
      </c>
      <c r="H35" s="269">
        <f t="shared" si="0"/>
        <v>0.15000000000000002</v>
      </c>
      <c r="I35" s="273">
        <f t="shared" si="9"/>
        <v>3</v>
      </c>
      <c r="J35" s="274">
        <f t="shared" si="1"/>
        <v>13.5</v>
      </c>
      <c r="K35" s="30">
        <f t="shared" si="2"/>
        <v>32.1</v>
      </c>
      <c r="L35" s="32">
        <f t="shared" si="3"/>
        <v>335</v>
      </c>
      <c r="M35" s="30">
        <f t="shared" si="4"/>
        <v>366.1</v>
      </c>
      <c r="N35" s="245">
        <f t="shared" si="5"/>
        <v>46751</v>
      </c>
      <c r="O35" s="246">
        <f t="shared" si="6"/>
        <v>46782.1</v>
      </c>
      <c r="P35" s="121"/>
      <c r="Q35" s="410">
        <f t="shared" si="7"/>
        <v>335</v>
      </c>
      <c r="R35" s="182">
        <f>COUNTIF('⑤-1 동절기순연축'!$F$5:$F$124,"&lt;"&amp;$Q35)+1</f>
        <v>17</v>
      </c>
      <c r="S35" s="396" cm="1">
        <f t="array" ref="S35">INDEX('⑤-1 동절기순연축'!$B$5:$B$124,$R35)+$Q35-INDEX('⑤-1 동절기순연축'!$F$5:$F$124,$R35)+INDEX('⑤-1 동절기순연축'!$E$5:$E$124,$R35)-1</f>
        <v>46872</v>
      </c>
      <c r="T35" s="414">
        <f t="shared" si="8"/>
        <v>366.1</v>
      </c>
      <c r="U35" s="185">
        <f>COUNTIF('⑤-1 동절기순연축'!$F$5:$F$124,"&lt;"&amp;$T35)+1</f>
        <v>18</v>
      </c>
      <c r="V35" s="396" cm="1">
        <f t="array" ref="V35">IF($AF35="Y",$S35+$K35-1,INDEX('⑤-1 동절기순연축'!$B$5:$B$124,$U35)+$T35-INDEX('⑤-1 동절기순연축'!$F$5:$F$124,$U35)+INDEX('⑤-1 동절기순연축'!$E$5:$E$124,$U35)-1)</f>
        <v>46903.1</v>
      </c>
      <c r="W35" s="417">
        <f t="shared" si="10"/>
        <v>32.099999999998545</v>
      </c>
      <c r="Y35" s="237" t="s">
        <v>1772</v>
      </c>
      <c r="Z35" s="237">
        <f>MAX($Z$30,$Z$31,$Z$32,$Z$34)</f>
        <v>438.1</v>
      </c>
      <c r="AA35" t="s">
        <v>1717</v>
      </c>
      <c r="AB35">
        <v>19</v>
      </c>
    </row>
    <row r="36" spans="2:32" ht="16" customHeight="1">
      <c r="B36" s="63">
        <v>21</v>
      </c>
      <c r="C36" s="114" t="s">
        <v>1502</v>
      </c>
      <c r="D36" s="117" t="s">
        <v>1545</v>
      </c>
      <c r="E36" s="244" t="s">
        <v>1592</v>
      </c>
      <c r="F36" s="263">
        <f>ROUND('④-2 횡산소규모 작업일수'!O223/$Z$26,1)</f>
        <v>52.3</v>
      </c>
      <c r="G36" s="7" t="s">
        <v>1507</v>
      </c>
      <c r="H36" s="269">
        <f t="shared" si="0"/>
        <v>0.1</v>
      </c>
      <c r="I36" s="273">
        <f t="shared" si="9"/>
        <v>2</v>
      </c>
      <c r="J36" s="274">
        <f t="shared" si="1"/>
        <v>37.799999999999997</v>
      </c>
      <c r="K36" s="30">
        <f t="shared" si="2"/>
        <v>90.1</v>
      </c>
      <c r="L36" s="32">
        <f t="shared" si="3"/>
        <v>364</v>
      </c>
      <c r="M36" s="30">
        <f t="shared" si="4"/>
        <v>453.1</v>
      </c>
      <c r="N36" s="245">
        <f t="shared" si="5"/>
        <v>46780</v>
      </c>
      <c r="O36" s="246">
        <f t="shared" si="6"/>
        <v>46869.1</v>
      </c>
      <c r="P36" s="121"/>
      <c r="Q36" s="410">
        <f t="shared" si="7"/>
        <v>364</v>
      </c>
      <c r="R36" s="182">
        <f>COUNTIF('⑤-1 동절기순연축'!$F$5:$F$124,"&lt;"&amp;$Q36)+1</f>
        <v>18</v>
      </c>
      <c r="S36" s="396" cm="1">
        <f t="array" ref="S36">INDEX('⑤-1 동절기순연축'!$B$5:$B$124,$R36)+$Q36-INDEX('⑤-1 동절기순연축'!$F$5:$F$124,$R36)+INDEX('⑤-1 동절기순연축'!$E$5:$E$124,$R36)-1</f>
        <v>46901</v>
      </c>
      <c r="T36" s="414">
        <f t="shared" si="8"/>
        <v>453.1</v>
      </c>
      <c r="U36" s="185">
        <f>COUNTIF('⑤-1 동절기순연축'!$F$5:$F$124,"&lt;"&amp;$T36)+1</f>
        <v>21</v>
      </c>
      <c r="V36" s="396" cm="1">
        <f t="array" ref="V36">IF($AF36="Y",$S36+$K36-1,INDEX('⑤-1 동절기순연축'!$B$5:$B$124,$U36)+$T36-INDEX('⑤-1 동절기순연축'!$F$5:$F$124,$U36)+INDEX('⑤-1 동절기순연축'!$E$5:$E$124,$U36)-1)</f>
        <v>46990.1</v>
      </c>
      <c r="W36" s="417">
        <f t="shared" si="10"/>
        <v>90.099999999998545</v>
      </c>
      <c r="Y36" s="467" t="s">
        <v>1773</v>
      </c>
      <c r="AA36" t="s">
        <v>1717</v>
      </c>
      <c r="AB36">
        <v>20</v>
      </c>
    </row>
    <row r="37" spans="2:32" ht="16" customHeight="1">
      <c r="B37" s="63">
        <v>22</v>
      </c>
      <c r="C37" s="114" t="s">
        <v>1502</v>
      </c>
      <c r="D37" s="117" t="s">
        <v>1546</v>
      </c>
      <c r="E37" s="244" t="s">
        <v>1593</v>
      </c>
      <c r="F37" s="263">
        <f>ROUND('④-2 횡산소규모 작업일수'!O239/$Z$26,1)</f>
        <v>24</v>
      </c>
      <c r="G37" s="7" t="s">
        <v>808</v>
      </c>
      <c r="H37" s="269">
        <f t="shared" si="0"/>
        <v>0.15000000000000002</v>
      </c>
      <c r="I37" s="273">
        <f t="shared" si="9"/>
        <v>4</v>
      </c>
      <c r="J37" s="274">
        <f t="shared" si="1"/>
        <v>17.399999999999999</v>
      </c>
      <c r="K37" s="30">
        <f t="shared" si="2"/>
        <v>41.4</v>
      </c>
      <c r="L37" s="32">
        <f t="shared" si="3"/>
        <v>441</v>
      </c>
      <c r="M37" s="30">
        <f t="shared" si="4"/>
        <v>481.4</v>
      </c>
      <c r="N37" s="245">
        <f t="shared" si="5"/>
        <v>46857</v>
      </c>
      <c r="O37" s="246">
        <f t="shared" si="6"/>
        <v>46897.4</v>
      </c>
      <c r="P37" s="121"/>
      <c r="Q37" s="410">
        <f t="shared" si="7"/>
        <v>441</v>
      </c>
      <c r="R37" s="182">
        <f>COUNTIF('⑤-1 동절기순연축'!$F$5:$F$124,"&lt;"&amp;$Q37)+1</f>
        <v>21</v>
      </c>
      <c r="S37" s="396" cm="1">
        <f t="array" ref="S37">INDEX('⑤-1 동절기순연축'!$B$5:$B$124,$R37)+$Q37-INDEX('⑤-1 동절기순연축'!$F$5:$F$124,$R37)+INDEX('⑤-1 동절기순연축'!$E$5:$E$124,$R37)-1</f>
        <v>46978</v>
      </c>
      <c r="T37" s="414">
        <f t="shared" si="8"/>
        <v>481.4</v>
      </c>
      <c r="U37" s="185">
        <f>COUNTIF('⑤-1 동절기순연축'!$F$5:$F$124,"&lt;"&amp;$T37)+1</f>
        <v>22</v>
      </c>
      <c r="V37" s="396" cm="1">
        <f t="array" ref="V37">IF($AF37="Y",$S37+$K37-1,INDEX('⑤-1 동절기순연축'!$B$5:$B$124,$U37)+$T37-INDEX('⑤-1 동절기순연축'!$F$5:$F$124,$U37)+INDEX('⑤-1 동절기순연축'!$E$5:$E$124,$U37)-1)</f>
        <v>47018.400000000001</v>
      </c>
      <c r="W37" s="417">
        <f t="shared" si="10"/>
        <v>41.400000000001455</v>
      </c>
      <c r="Y37" t="s">
        <v>1775</v>
      </c>
      <c r="Z37" s="466">
        <v>0.4</v>
      </c>
      <c r="AA37" t="s">
        <v>1717</v>
      </c>
      <c r="AB37">
        <v>21</v>
      </c>
    </row>
    <row r="38" spans="2:32" ht="16" customHeight="1">
      <c r="B38" s="63">
        <v>23</v>
      </c>
      <c r="C38" s="114" t="s">
        <v>1502</v>
      </c>
      <c r="D38" s="117" t="s">
        <v>1704</v>
      </c>
      <c r="E38" s="244"/>
      <c r="F38" s="427">
        <v>180</v>
      </c>
      <c r="G38" s="7"/>
      <c r="H38" s="269"/>
      <c r="I38" s="273"/>
      <c r="J38" s="274">
        <v>0</v>
      </c>
      <c r="K38" s="30">
        <f>$F38+$J38</f>
        <v>180</v>
      </c>
      <c r="L38" s="32">
        <f t="shared" si="3"/>
        <v>288.10000000000002</v>
      </c>
      <c r="M38" s="30">
        <f t="shared" si="4"/>
        <v>467.1</v>
      </c>
      <c r="N38" s="245"/>
      <c r="O38" s="246"/>
      <c r="P38" s="121"/>
      <c r="Q38" s="410">
        <f t="shared" si="7"/>
        <v>288.10000000000002</v>
      </c>
      <c r="R38" s="182">
        <f>COUNTIF('⑤-1 동절기순연축'!$F$5:$F$124,"&lt;"&amp;$Q38)+1</f>
        <v>16</v>
      </c>
      <c r="S38" s="396" cm="1">
        <f t="array" ref="S38">INDEX('⑤-1 동절기순연축'!$B$5:$B$124,$R38)+$Q38-INDEX('⑤-1 동절기순연축'!$F$5:$F$124,$R38)+INDEX('⑤-1 동절기순연축'!$E$5:$E$124,$R38)-1</f>
        <v>46825.1</v>
      </c>
      <c r="T38" s="414">
        <f t="shared" si="8"/>
        <v>467.1</v>
      </c>
      <c r="U38" s="185">
        <f>COUNTIF('⑤-1 동절기순연축'!$F$5:$F$124,"&lt;"&amp;$T38)+1</f>
        <v>22</v>
      </c>
      <c r="V38" s="396" cm="1">
        <f t="array" ref="V38">IF($AF38="Y",$S38+$K38-1,INDEX('⑤-1 동절기순연축'!$B$5:$B$124,$U38)+$T38-INDEX('⑤-1 동절기순연축'!$F$5:$F$124,$U38)+INDEX('⑤-1 동절기순연축'!$E$5:$E$124,$U38)-1)</f>
        <v>47004.1</v>
      </c>
      <c r="W38" s="417">
        <f t="shared" si="10"/>
        <v>180</v>
      </c>
      <c r="Y38" s="424" t="s">
        <v>1776</v>
      </c>
      <c r="AA38" t="s">
        <v>1759</v>
      </c>
      <c r="AB38">
        <v>3</v>
      </c>
      <c r="AE38" s="422"/>
    </row>
    <row r="39" spans="2:32" ht="16" customHeight="1">
      <c r="B39" s="63">
        <v>24</v>
      </c>
      <c r="C39" s="114" t="s">
        <v>1502</v>
      </c>
      <c r="D39" s="117" t="s">
        <v>1705</v>
      </c>
      <c r="E39" s="244"/>
      <c r="F39" s="427">
        <v>150</v>
      </c>
      <c r="G39" s="7"/>
      <c r="H39" s="269"/>
      <c r="I39" s="273"/>
      <c r="J39" s="274">
        <v>0</v>
      </c>
      <c r="K39" s="30">
        <f>$F39+$J39</f>
        <v>150</v>
      </c>
      <c r="L39" s="32">
        <f t="shared" si="3"/>
        <v>288.10000000000002</v>
      </c>
      <c r="M39" s="30">
        <f t="shared" si="4"/>
        <v>437.1</v>
      </c>
      <c r="N39" s="245"/>
      <c r="O39" s="246"/>
      <c r="P39" s="121"/>
      <c r="Q39" s="410">
        <f t="shared" si="7"/>
        <v>288.10000000000002</v>
      </c>
      <c r="R39" s="182">
        <f>COUNTIF('⑤-1 동절기순연축'!$F$5:$F$124,"&lt;"&amp;$Q39)+1</f>
        <v>16</v>
      </c>
      <c r="S39" s="396" cm="1">
        <f t="array" ref="S39">INDEX('⑤-1 동절기순연축'!$B$5:$B$124,$R39)+$Q39-INDEX('⑤-1 동절기순연축'!$F$5:$F$124,$R39)+INDEX('⑤-1 동절기순연축'!$E$5:$E$124,$R39)-1</f>
        <v>46825.1</v>
      </c>
      <c r="T39" s="414">
        <f t="shared" si="8"/>
        <v>437.1</v>
      </c>
      <c r="U39" s="185">
        <f>COUNTIF('⑤-1 동절기순연축'!$F$5:$F$124,"&lt;"&amp;$T39)+1</f>
        <v>21</v>
      </c>
      <c r="V39" s="396" cm="1">
        <f t="array" ref="V39">IF($AF39="Y",$S39+$K39-1,INDEX('⑤-1 동절기순연축'!$B$5:$B$124,$U39)+$T39-INDEX('⑤-1 동절기순연축'!$F$5:$F$124,$U39)+INDEX('⑤-1 동절기순연축'!$E$5:$E$124,$U39)-1)</f>
        <v>46974.1</v>
      </c>
      <c r="W39" s="417">
        <f t="shared" si="10"/>
        <v>150</v>
      </c>
      <c r="Y39" t="s">
        <v>1777</v>
      </c>
      <c r="Z39" s="466">
        <v>0.6</v>
      </c>
      <c r="AA39" t="s">
        <v>1759</v>
      </c>
      <c r="AB39">
        <v>3</v>
      </c>
      <c r="AE39" s="422"/>
    </row>
    <row r="40" spans="2:32" ht="16" customHeight="1">
      <c r="B40" s="63">
        <v>25</v>
      </c>
      <c r="C40" s="114" t="s">
        <v>1502</v>
      </c>
      <c r="D40" s="117" t="s">
        <v>1706</v>
      </c>
      <c r="E40" s="244"/>
      <c r="F40" s="427">
        <v>120</v>
      </c>
      <c r="G40" s="7"/>
      <c r="H40" s="269"/>
      <c r="I40" s="273"/>
      <c r="J40" s="274">
        <v>0</v>
      </c>
      <c r="K40" s="30">
        <f>$F40+$J40</f>
        <v>120</v>
      </c>
      <c r="L40" s="32">
        <f t="shared" si="3"/>
        <v>288.10000000000002</v>
      </c>
      <c r="M40" s="30">
        <f t="shared" si="4"/>
        <v>407.1</v>
      </c>
      <c r="N40" s="245"/>
      <c r="O40" s="246"/>
      <c r="P40" s="121"/>
      <c r="Q40" s="410">
        <f t="shared" si="7"/>
        <v>288.10000000000002</v>
      </c>
      <c r="R40" s="182">
        <f>COUNTIF('⑤-1 동절기순연축'!$F$5:$F$124,"&lt;"&amp;$Q40)+1</f>
        <v>16</v>
      </c>
      <c r="S40" s="396" cm="1">
        <f t="array" ref="S40">INDEX('⑤-1 동절기순연축'!$B$5:$B$124,$R40)+$Q40-INDEX('⑤-1 동절기순연축'!$F$5:$F$124,$R40)+INDEX('⑤-1 동절기순연축'!$E$5:$E$124,$R40)-1</f>
        <v>46825.1</v>
      </c>
      <c r="T40" s="414">
        <f t="shared" si="8"/>
        <v>407.1</v>
      </c>
      <c r="U40" s="185">
        <f>COUNTIF('⑤-1 동절기순연축'!$F$5:$F$124,"&lt;"&amp;$T40)+1</f>
        <v>20</v>
      </c>
      <c r="V40" s="396" cm="1">
        <f t="array" ref="V40">IF($AF40="Y",$S40+$K40-1,INDEX('⑤-1 동절기순연축'!$B$5:$B$124,$U40)+$T40-INDEX('⑤-1 동절기순연축'!$F$5:$F$124,$U40)+INDEX('⑤-1 동절기순연축'!$E$5:$E$124,$U40)-1)</f>
        <v>46944.1</v>
      </c>
      <c r="W40" s="417">
        <f t="shared" si="10"/>
        <v>120</v>
      </c>
      <c r="Y40" s="424" t="s">
        <v>1778</v>
      </c>
      <c r="AA40" t="s">
        <v>1759</v>
      </c>
      <c r="AB40">
        <v>3</v>
      </c>
      <c r="AE40" s="422"/>
    </row>
    <row r="41" spans="2:32" ht="16" customHeight="1">
      <c r="B41" s="63">
        <v>26</v>
      </c>
      <c r="C41" s="114" t="s">
        <v>1502</v>
      </c>
      <c r="D41" s="117" t="s">
        <v>1707</v>
      </c>
      <c r="E41" s="244"/>
      <c r="F41" s="427">
        <v>60</v>
      </c>
      <c r="G41" s="7"/>
      <c r="H41" s="269"/>
      <c r="I41" s="273"/>
      <c r="J41" s="274">
        <v>0</v>
      </c>
      <c r="K41" s="30">
        <f>$F41+$J41</f>
        <v>60</v>
      </c>
      <c r="L41" s="32">
        <f t="shared" si="3"/>
        <v>407.1</v>
      </c>
      <c r="M41" s="30">
        <f t="shared" si="4"/>
        <v>466.1</v>
      </c>
      <c r="N41" s="245"/>
      <c r="O41" s="246"/>
      <c r="P41" s="121"/>
      <c r="Q41" s="410">
        <f t="shared" si="7"/>
        <v>407.1</v>
      </c>
      <c r="R41" s="182">
        <f>COUNTIF('⑤-1 동절기순연축'!$F$5:$F$124,"&lt;"&amp;$Q41)+1</f>
        <v>20</v>
      </c>
      <c r="S41" s="396" cm="1">
        <f t="array" ref="S41">INDEX('⑤-1 동절기순연축'!$B$5:$B$124,$R41)+$Q41-INDEX('⑤-1 동절기순연축'!$F$5:$F$124,$R41)+INDEX('⑤-1 동절기순연축'!$E$5:$E$124,$R41)-1</f>
        <v>46944.1</v>
      </c>
      <c r="T41" s="414">
        <f t="shared" si="8"/>
        <v>466.1</v>
      </c>
      <c r="U41" s="185">
        <f>COUNTIF('⑤-1 동절기순연축'!$F$5:$F$124,"&lt;"&amp;$T41)+1</f>
        <v>22</v>
      </c>
      <c r="V41" s="396" cm="1">
        <f t="array" ref="V41">IF($AF41="Y",$S41+$K41-1,INDEX('⑤-1 동절기순연축'!$B$5:$B$124,$U41)+$T41-INDEX('⑤-1 동절기순연축'!$F$5:$F$124,$U41)+INDEX('⑤-1 동절기순연축'!$E$5:$E$124,$U41)-1)</f>
        <v>47003.1</v>
      </c>
      <c r="W41" s="417">
        <f t="shared" si="10"/>
        <v>60</v>
      </c>
      <c r="Y41" t="s">
        <v>1780</v>
      </c>
      <c r="Z41" s="423">
        <v>0.11</v>
      </c>
      <c r="AA41" t="s">
        <v>1760</v>
      </c>
      <c r="AB41">
        <v>23</v>
      </c>
      <c r="AE41" s="422">
        <v>60</v>
      </c>
    </row>
    <row r="42" spans="2:32" ht="16" customHeight="1">
      <c r="B42" s="63">
        <v>27</v>
      </c>
      <c r="C42" s="114" t="s">
        <v>1502</v>
      </c>
      <c r="D42" s="117" t="s">
        <v>1708</v>
      </c>
      <c r="E42" s="244"/>
      <c r="F42" s="427">
        <v>120</v>
      </c>
      <c r="G42" s="7"/>
      <c r="H42" s="269"/>
      <c r="I42" s="273"/>
      <c r="J42" s="274">
        <v>0</v>
      </c>
      <c r="K42" s="30">
        <f>$F42+$J42</f>
        <v>120</v>
      </c>
      <c r="L42" s="32">
        <f>$Z$35</f>
        <v>438.1</v>
      </c>
      <c r="M42" s="30">
        <f t="shared" si="4"/>
        <v>557.1</v>
      </c>
      <c r="N42" s="245"/>
      <c r="O42" s="246"/>
      <c r="P42" s="121"/>
      <c r="Q42" s="410">
        <f t="shared" si="7"/>
        <v>438.1</v>
      </c>
      <c r="R42" s="182">
        <f>COUNTIF('⑤-1 동절기순연축'!$F$5:$F$124,"&lt;"&amp;$Q42)+1</f>
        <v>21</v>
      </c>
      <c r="S42" s="396" cm="1">
        <f t="array" ref="S42">INDEX('⑤-1 동절기순연축'!$B$5:$B$124,$R42)+$Q42-INDEX('⑤-1 동절기순연축'!$F$5:$F$124,$R42)+INDEX('⑤-1 동절기순연축'!$E$5:$E$124,$R42)-1</f>
        <v>46975.1</v>
      </c>
      <c r="T42" s="414">
        <f t="shared" si="8"/>
        <v>557.1</v>
      </c>
      <c r="U42" s="185">
        <f>COUNTIF('⑤-1 동절기순연축'!$F$5:$F$124,"&lt;"&amp;$T42)+1</f>
        <v>28</v>
      </c>
      <c r="V42" s="396" cm="1">
        <f t="array" ref="V42">IF($AF42="Y",$S42+$K42-1,INDEX('⑤-1 동절기순연축'!$B$5:$B$124,$U42)+$T42-INDEX('⑤-1 동절기순연축'!$F$5:$F$124,$U42)+INDEX('⑤-1 동절기순연축'!$E$5:$E$124,$U42)-1)</f>
        <v>47094.1</v>
      </c>
      <c r="W42" s="417">
        <f t="shared" si="10"/>
        <v>120</v>
      </c>
      <c r="Y42" s="424" t="s">
        <v>1781</v>
      </c>
      <c r="Z42">
        <f>MIN($C$13*$Z$41,0.95)</f>
        <v>8.2500000000000004E-2</v>
      </c>
      <c r="AA42" t="s">
        <v>1710</v>
      </c>
      <c r="AB42" t="s">
        <v>1774</v>
      </c>
      <c r="AE42" s="422">
        <v>120</v>
      </c>
      <c r="AF42" t="s">
        <v>135</v>
      </c>
    </row>
    <row r="43" spans="2:32" ht="16" customHeight="1">
      <c r="B43" s="63"/>
      <c r="C43" s="247" t="s">
        <v>1547</v>
      </c>
      <c r="D43" s="248"/>
      <c r="E43" s="249"/>
      <c r="F43" s="264">
        <f>SUM(F16:F37)</f>
        <v>710.9</v>
      </c>
      <c r="G43" s="265"/>
      <c r="H43" s="270"/>
      <c r="I43" s="275">
        <f>SUM(I16:I37)</f>
        <v>56</v>
      </c>
      <c r="J43" s="274">
        <f>SUM(J16:J37)</f>
        <v>514.5</v>
      </c>
      <c r="K43" s="274">
        <f>SUM(K16:K37)</f>
        <v>1225.3999999999999</v>
      </c>
      <c r="L43" s="32"/>
      <c r="M43" s="274">
        <f>MAX(M16:M42)</f>
        <v>557.1</v>
      </c>
      <c r="N43" s="250">
        <f>MIN(N16:N37)</f>
        <v>46417</v>
      </c>
      <c r="O43" s="251">
        <f>MAX(O16:O37)</f>
        <v>46897.4</v>
      </c>
      <c r="P43" s="252" t="s">
        <v>1548</v>
      </c>
      <c r="Q43" s="411"/>
      <c r="R43" s="189"/>
      <c r="S43" s="396">
        <f>$C$6</f>
        <v>46357</v>
      </c>
      <c r="T43" s="414">
        <f t="shared" si="8"/>
        <v>557.1</v>
      </c>
      <c r="U43" s="190">
        <f>COUNTIF('⑤-1 동절기순연축'!$F$5:$F$124,"&lt;"&amp;$T43)+1</f>
        <v>28</v>
      </c>
      <c r="V43" s="396">
        <f>MAX($V$16:$V$42)</f>
        <v>47094.1</v>
      </c>
      <c r="W43" s="417">
        <f>$V43-$S43+1</f>
        <v>738.09999999999854</v>
      </c>
      <c r="X43" s="419"/>
      <c r="Y43" t="s">
        <v>1693</v>
      </c>
      <c r="Z43">
        <f>MIN($C$12*$Z$41,0.95)</f>
        <v>5.5E-2</v>
      </c>
    </row>
    <row r="44" spans="2:32" ht="16" customHeight="1">
      <c r="B44" s="63"/>
      <c r="C44" s="114"/>
      <c r="D44" s="117"/>
      <c r="E44" s="208"/>
      <c r="F44" s="263"/>
      <c r="G44" s="7"/>
      <c r="H44" s="269"/>
      <c r="I44" s="273"/>
      <c r="J44" s="274"/>
      <c r="K44" s="30"/>
      <c r="L44" s="32"/>
      <c r="M44" s="30"/>
      <c r="N44" s="245"/>
      <c r="O44" s="246"/>
      <c r="P44" s="121"/>
      <c r="Q44" s="411"/>
      <c r="R44" s="189"/>
      <c r="S44" s="396"/>
      <c r="T44" s="414"/>
      <c r="U44" s="190"/>
      <c r="V44" s="396"/>
      <c r="W44" s="417"/>
      <c r="X44" s="419"/>
      <c r="Y44" s="424" t="s">
        <v>1782</v>
      </c>
    </row>
    <row r="45" spans="2:32" ht="16" customHeight="1">
      <c r="B45" s="63">
        <v>28</v>
      </c>
      <c r="C45" s="114" t="s">
        <v>1503</v>
      </c>
      <c r="D45" s="117" t="s">
        <v>231</v>
      </c>
      <c r="E45" s="244" t="s">
        <v>1594</v>
      </c>
      <c r="F45" s="263">
        <f>'④-1 처리시설 작업일수'!O5</f>
        <v>29.400000000000002</v>
      </c>
      <c r="G45" s="7" t="s">
        <v>764</v>
      </c>
      <c r="H45" s="269">
        <f t="shared" ref="H45:H52" si="11">IF($G45="순차(FS)",$C$11,IF($G45="부분중첩(SS)",$Z$8,$Z$7))</f>
        <v>0</v>
      </c>
      <c r="I45" s="273">
        <v>0</v>
      </c>
      <c r="J45" s="274">
        <f t="shared" ref="J45:J52" si="12">ROUND($F45*$Z$20,1)</f>
        <v>21.3</v>
      </c>
      <c r="K45" s="30">
        <f t="shared" ref="K45:K52" si="13">$F45+$J45</f>
        <v>50.7</v>
      </c>
      <c r="L45" s="32">
        <f t="shared" ref="L45:L56" si="14">IF($AA45="START",1,IF($AA45="FS",INDEX($M$16:$M$77,MATCH($AB45,$B$16:$B$77,0))+1,IF($AA45="FS-",INDEX($M$16:$M$77,MATCH($AB45,$B$16:$B$77,0))-$AE45,IF($AA45="시운전",$AE45,INDEX($L$16:$L$77,MATCH($AB45,$B$16:$B$77,0))+ROUND(INDEX($K$16:$K$77,MATCH($AB45,$B$16:$B$77,0))*IF($AE45="",1-$H45,$AE45),0)))))</f>
        <v>1</v>
      </c>
      <c r="M45" s="30">
        <f t="shared" ref="M45:M57" si="15">IF($AD45="",$L45+$K45-1,INDEX($M$16:$M$77,MATCH($AD45,$B$16:$B$77,0)))</f>
        <v>565</v>
      </c>
      <c r="N45" s="245">
        <f t="shared" ref="N45:N52" si="16">$E$7+$L45-1</f>
        <v>46599</v>
      </c>
      <c r="O45" s="246">
        <f t="shared" ref="O45:O52" si="17">$E$7+$M45-1</f>
        <v>47163</v>
      </c>
      <c r="P45" s="121"/>
      <c r="Q45" s="410">
        <f t="shared" ref="Q45:Q57" si="18">$P$7+$L45</f>
        <v>93</v>
      </c>
      <c r="R45" s="189">
        <f>COUNTIF('⑤-1 동절기순연축'!$F$5:$F$124,"&lt;"&amp;$Q45)+1</f>
        <v>7</v>
      </c>
      <c r="S45" s="396" cm="1">
        <f t="array" ref="S45">INDEX('⑤-1 동절기순연축'!$B$5:$B$124,$R45)+$Q45-INDEX('⑤-1 동절기순연축'!$F$5:$F$124,$R45)+INDEX('⑤-1 동절기순연축'!$E$5:$E$124,$R45)-1</f>
        <v>46539</v>
      </c>
      <c r="T45" s="414">
        <f t="shared" ref="T45:T58" si="19">$P$7+$M45</f>
        <v>657</v>
      </c>
      <c r="U45" s="190">
        <f>COUNTIF('⑤-1 동절기순연축'!$F$5:$F$124,"&lt;"&amp;$T45)+1</f>
        <v>31</v>
      </c>
      <c r="V45" s="396" cm="1">
        <f t="array" ref="V45">IF($AF45="Y",$S45+$K45-1,INDEX('⑤-1 동절기순연축'!$B$5:$B$124,$U45)+$T45-INDEX('⑤-1 동절기순연축'!$F$5:$F$124,$U45)+INDEX('⑤-1 동절기순연축'!$E$5:$E$124,$U45)-1)</f>
        <v>47284</v>
      </c>
      <c r="W45" s="417">
        <f>$V45-$S45+1</f>
        <v>746</v>
      </c>
      <c r="X45" s="419"/>
      <c r="AA45" t="s">
        <v>1716</v>
      </c>
      <c r="AD45">
        <v>31</v>
      </c>
    </row>
    <row r="46" spans="2:32" ht="16" customHeight="1">
      <c r="B46" s="63">
        <v>29</v>
      </c>
      <c r="C46" s="114" t="s">
        <v>1503</v>
      </c>
      <c r="D46" s="117" t="s">
        <v>1549</v>
      </c>
      <c r="E46" s="244" t="s">
        <v>1595</v>
      </c>
      <c r="F46" s="263">
        <f>'④-1 처리시설 작업일수'!O61</f>
        <v>96.2</v>
      </c>
      <c r="G46" s="7" t="s">
        <v>808</v>
      </c>
      <c r="H46" s="269">
        <f t="shared" si="11"/>
        <v>0.15000000000000002</v>
      </c>
      <c r="I46" s="273">
        <f t="shared" ref="I46:I52" si="20">ROUND(MIN($F45,$F46)*$H46,0)</f>
        <v>4</v>
      </c>
      <c r="J46" s="274">
        <f t="shared" si="12"/>
        <v>69.599999999999994</v>
      </c>
      <c r="K46" s="30">
        <f t="shared" si="13"/>
        <v>165.8</v>
      </c>
      <c r="L46" s="32">
        <f t="shared" si="14"/>
        <v>44</v>
      </c>
      <c r="M46" s="30">
        <f t="shared" si="15"/>
        <v>565</v>
      </c>
      <c r="N46" s="245">
        <f t="shared" si="16"/>
        <v>46642</v>
      </c>
      <c r="O46" s="246">
        <f t="shared" si="17"/>
        <v>47163</v>
      </c>
      <c r="P46" s="121"/>
      <c r="Q46" s="410">
        <f t="shared" si="18"/>
        <v>136</v>
      </c>
      <c r="R46" s="189">
        <f>COUNTIF('⑤-1 동절기순연축'!$F$5:$F$124,"&lt;"&amp;$Q46)+1</f>
        <v>8</v>
      </c>
      <c r="S46" s="396" cm="1">
        <f t="array" ref="S46">INDEX('⑤-1 동절기순연축'!$B$5:$B$124,$R46)+$Q46-INDEX('⑤-1 동절기순연축'!$F$5:$F$124,$R46)+INDEX('⑤-1 동절기순연축'!$E$5:$E$124,$R46)-1</f>
        <v>46582</v>
      </c>
      <c r="T46" s="414">
        <f t="shared" si="19"/>
        <v>657</v>
      </c>
      <c r="U46" s="190">
        <f>COUNTIF('⑤-1 동절기순연축'!$F$5:$F$124,"&lt;"&amp;$T46)+1</f>
        <v>31</v>
      </c>
      <c r="V46" s="396" cm="1">
        <f t="array" ref="V46">IF($AF46="Y",$S46+$K46-1,INDEX('⑤-1 동절기순연축'!$B$5:$B$124,$U46)+$T46-INDEX('⑤-1 동절기순연축'!$F$5:$F$124,$U46)+INDEX('⑤-1 동절기순연축'!$E$5:$E$124,$U46)-1)</f>
        <v>47284</v>
      </c>
      <c r="W46" s="417">
        <f t="shared" ref="W46:W57" si="21">$V46-$S46+1</f>
        <v>703</v>
      </c>
      <c r="X46" s="419"/>
      <c r="AA46" t="s">
        <v>1717</v>
      </c>
      <c r="AB46">
        <v>28</v>
      </c>
      <c r="AD46">
        <v>31</v>
      </c>
    </row>
    <row r="47" spans="2:32" ht="16" customHeight="1">
      <c r="B47" s="63">
        <v>30</v>
      </c>
      <c r="C47" s="114" t="s">
        <v>1503</v>
      </c>
      <c r="D47" s="117" t="s">
        <v>1550</v>
      </c>
      <c r="E47" s="244" t="s">
        <v>1596</v>
      </c>
      <c r="F47" s="263">
        <f>'④-1 처리시설 작업일수'!O80</f>
        <v>12.4</v>
      </c>
      <c r="G47" s="7" t="s">
        <v>1507</v>
      </c>
      <c r="H47" s="269">
        <f t="shared" si="11"/>
        <v>0.1</v>
      </c>
      <c r="I47" s="273">
        <f t="shared" si="20"/>
        <v>1</v>
      </c>
      <c r="J47" s="274">
        <f t="shared" si="12"/>
        <v>9</v>
      </c>
      <c r="K47" s="30">
        <f t="shared" si="13"/>
        <v>21.4</v>
      </c>
      <c r="L47" s="32">
        <f t="shared" si="14"/>
        <v>193</v>
      </c>
      <c r="M47" s="30">
        <f t="shared" si="15"/>
        <v>213.4</v>
      </c>
      <c r="N47" s="245">
        <f t="shared" si="16"/>
        <v>46791</v>
      </c>
      <c r="O47" s="246">
        <f t="shared" si="17"/>
        <v>46811.4</v>
      </c>
      <c r="P47" s="121"/>
      <c r="Q47" s="410">
        <f t="shared" si="18"/>
        <v>285</v>
      </c>
      <c r="R47" s="189">
        <f>COUNTIF('⑤-1 동절기순연축'!$F$5:$F$124,"&lt;"&amp;$Q47)+1</f>
        <v>16</v>
      </c>
      <c r="S47" s="396" cm="1">
        <f t="array" ref="S47">INDEX('⑤-1 동절기순연축'!$B$5:$B$124,$R47)+$Q47-INDEX('⑤-1 동절기순연축'!$F$5:$F$124,$R47)+INDEX('⑤-1 동절기순연축'!$E$5:$E$124,$R47)-1</f>
        <v>46822</v>
      </c>
      <c r="T47" s="414">
        <f t="shared" si="19"/>
        <v>305.39999999999998</v>
      </c>
      <c r="U47" s="190">
        <f>COUNTIF('⑤-1 동절기순연축'!$F$5:$F$124,"&lt;"&amp;$T47)+1</f>
        <v>16</v>
      </c>
      <c r="V47" s="396" cm="1">
        <f t="array" ref="V47">IF($AF47="Y",$S47+$K47-1,INDEX('⑤-1 동절기순연축'!$B$5:$B$124,$U47)+$T47-INDEX('⑤-1 동절기순연축'!$F$5:$F$124,$U47)+INDEX('⑤-1 동절기순연축'!$E$5:$E$124,$U47)-1)</f>
        <v>46842.400000000001</v>
      </c>
      <c r="W47" s="417">
        <f t="shared" si="21"/>
        <v>21.400000000001455</v>
      </c>
      <c r="X47" s="419"/>
      <c r="AA47" t="s">
        <v>1717</v>
      </c>
      <c r="AB47">
        <v>29</v>
      </c>
    </row>
    <row r="48" spans="2:32" ht="16" customHeight="1">
      <c r="B48" s="63">
        <v>31</v>
      </c>
      <c r="C48" s="114" t="s">
        <v>1503</v>
      </c>
      <c r="D48" s="117" t="s">
        <v>836</v>
      </c>
      <c r="E48" s="244" t="s">
        <v>1597</v>
      </c>
      <c r="F48" s="263">
        <f>'④-1 처리시설 작업일수'!O15</f>
        <v>205.40000000000003</v>
      </c>
      <c r="G48" s="7" t="s">
        <v>1507</v>
      </c>
      <c r="H48" s="269">
        <f t="shared" si="11"/>
        <v>0.1</v>
      </c>
      <c r="I48" s="273">
        <f t="shared" si="20"/>
        <v>1</v>
      </c>
      <c r="J48" s="274">
        <f t="shared" si="12"/>
        <v>148.6</v>
      </c>
      <c r="K48" s="30">
        <f t="shared" si="13"/>
        <v>354</v>
      </c>
      <c r="L48" s="32">
        <f t="shared" si="14"/>
        <v>212</v>
      </c>
      <c r="M48" s="30">
        <f t="shared" si="15"/>
        <v>565</v>
      </c>
      <c r="N48" s="245">
        <f t="shared" si="16"/>
        <v>46810</v>
      </c>
      <c r="O48" s="246">
        <f t="shared" si="17"/>
        <v>47163</v>
      </c>
      <c r="P48" s="121"/>
      <c r="Q48" s="410">
        <f t="shared" si="18"/>
        <v>304</v>
      </c>
      <c r="R48" s="189">
        <f>COUNTIF('⑤-1 동절기순연축'!$F$5:$F$124,"&lt;"&amp;$Q48)+1</f>
        <v>16</v>
      </c>
      <c r="S48" s="396" cm="1">
        <f t="array" ref="S48">INDEX('⑤-1 동절기순연축'!$B$5:$B$124,$R48)+$Q48-INDEX('⑤-1 동절기순연축'!$F$5:$F$124,$R48)+INDEX('⑤-1 동절기순연축'!$E$5:$E$124,$R48)-1</f>
        <v>46841</v>
      </c>
      <c r="T48" s="414">
        <f t="shared" si="19"/>
        <v>657</v>
      </c>
      <c r="U48" s="190">
        <f>COUNTIF('⑤-1 동절기순연축'!$F$5:$F$124,"&lt;"&amp;$T48)+1</f>
        <v>31</v>
      </c>
      <c r="V48" s="396" cm="1">
        <f t="array" ref="V48">IF($AF48="Y",$S48+$K48-1,INDEX('⑤-1 동절기순연축'!$B$5:$B$124,$U48)+$T48-INDEX('⑤-1 동절기순연축'!$F$5:$F$124,$U48)+INDEX('⑤-1 동절기순연축'!$E$5:$E$124,$U48)-1)</f>
        <v>47284</v>
      </c>
      <c r="W48" s="417">
        <f t="shared" si="21"/>
        <v>444</v>
      </c>
      <c r="X48" s="419"/>
      <c r="AA48" t="s">
        <v>1717</v>
      </c>
      <c r="AB48">
        <v>30</v>
      </c>
    </row>
    <row r="49" spans="2:32" ht="16" customHeight="1">
      <c r="B49" s="63">
        <v>32</v>
      </c>
      <c r="C49" s="114" t="s">
        <v>1503</v>
      </c>
      <c r="D49" s="117" t="s">
        <v>1551</v>
      </c>
      <c r="E49" s="244" t="s">
        <v>1598</v>
      </c>
      <c r="F49" s="263">
        <f>'④-1 처리시설 작업일수'!O38</f>
        <v>24.3</v>
      </c>
      <c r="G49" s="7" t="s">
        <v>1507</v>
      </c>
      <c r="H49" s="269">
        <f t="shared" si="11"/>
        <v>0.1</v>
      </c>
      <c r="I49" s="273">
        <f t="shared" si="20"/>
        <v>2</v>
      </c>
      <c r="J49" s="274">
        <f t="shared" si="12"/>
        <v>17.600000000000001</v>
      </c>
      <c r="K49" s="30">
        <f t="shared" si="13"/>
        <v>41.900000000000006</v>
      </c>
      <c r="L49" s="32">
        <f t="shared" si="14"/>
        <v>531</v>
      </c>
      <c r="M49" s="30">
        <f t="shared" si="15"/>
        <v>571.9</v>
      </c>
      <c r="N49" s="245">
        <f t="shared" si="16"/>
        <v>47129</v>
      </c>
      <c r="O49" s="246">
        <f t="shared" si="17"/>
        <v>47169.9</v>
      </c>
      <c r="P49" s="121"/>
      <c r="Q49" s="410">
        <f t="shared" si="18"/>
        <v>623</v>
      </c>
      <c r="R49" s="189">
        <f>COUNTIF('⑤-1 동절기순연축'!$F$5:$F$124,"&lt;"&amp;$Q49)+1</f>
        <v>30</v>
      </c>
      <c r="S49" s="396" cm="1">
        <f t="array" ref="S49">INDEX('⑤-1 동절기순연축'!$B$5:$B$124,$R49)+$Q49-INDEX('⑤-1 동절기순연축'!$F$5:$F$124,$R49)+INDEX('⑤-1 동절기순연축'!$E$5:$E$124,$R49)-1</f>
        <v>47250</v>
      </c>
      <c r="T49" s="414">
        <f t="shared" si="19"/>
        <v>663.9</v>
      </c>
      <c r="U49" s="190">
        <f>COUNTIF('⑤-1 동절기순연축'!$F$5:$F$124,"&lt;"&amp;$T49)+1</f>
        <v>31</v>
      </c>
      <c r="V49" s="396" cm="1">
        <f t="array" ref="V49">IF($AF49="Y",$S49+$K49-1,INDEX('⑤-1 동절기순연축'!$B$5:$B$124,$U49)+$T49-INDEX('⑤-1 동절기순연축'!$F$5:$F$124,$U49)+INDEX('⑤-1 동절기순연축'!$E$5:$E$124,$U49)-1)</f>
        <v>47290.9</v>
      </c>
      <c r="W49" s="417">
        <f t="shared" si="21"/>
        <v>41.900000000001455</v>
      </c>
      <c r="X49" s="419"/>
      <c r="AA49" t="s">
        <v>1717</v>
      </c>
      <c r="AB49">
        <v>31</v>
      </c>
    </row>
    <row r="50" spans="2:32" ht="16" customHeight="1">
      <c r="B50" s="63">
        <v>33</v>
      </c>
      <c r="C50" s="114" t="s">
        <v>1503</v>
      </c>
      <c r="D50" s="117" t="s">
        <v>1552</v>
      </c>
      <c r="E50" s="243" t="s">
        <v>1599</v>
      </c>
      <c r="F50" s="263">
        <f>'④-1 처리시설 작업일수'!O47</f>
        <v>26.3</v>
      </c>
      <c r="G50" s="7" t="s">
        <v>808</v>
      </c>
      <c r="H50" s="269">
        <f t="shared" si="11"/>
        <v>0.15000000000000002</v>
      </c>
      <c r="I50" s="273">
        <f t="shared" si="20"/>
        <v>4</v>
      </c>
      <c r="J50" s="274">
        <f t="shared" si="12"/>
        <v>19</v>
      </c>
      <c r="K50" s="30">
        <f t="shared" si="13"/>
        <v>45.3</v>
      </c>
      <c r="L50" s="32">
        <f t="shared" si="14"/>
        <v>567</v>
      </c>
      <c r="M50" s="30">
        <f t="shared" si="15"/>
        <v>611.29999999999995</v>
      </c>
      <c r="N50" s="245">
        <f t="shared" si="16"/>
        <v>47165</v>
      </c>
      <c r="O50" s="246">
        <f t="shared" si="17"/>
        <v>47209.3</v>
      </c>
      <c r="P50" s="121"/>
      <c r="Q50" s="410">
        <f t="shared" si="18"/>
        <v>659</v>
      </c>
      <c r="R50" s="189">
        <f>COUNTIF('⑤-1 동절기순연축'!$F$5:$F$124,"&lt;"&amp;$Q50)+1</f>
        <v>31</v>
      </c>
      <c r="S50" s="396" cm="1">
        <f t="array" ref="S50">INDEX('⑤-1 동절기순연축'!$B$5:$B$124,$R50)+$Q50-INDEX('⑤-1 동절기순연축'!$F$5:$F$124,$R50)+INDEX('⑤-1 동절기순연축'!$E$5:$E$124,$R50)-1</f>
        <v>47286</v>
      </c>
      <c r="T50" s="414">
        <f t="shared" si="19"/>
        <v>703.3</v>
      </c>
      <c r="U50" s="190">
        <f>COUNTIF('⑤-1 동절기순연축'!$F$5:$F$124,"&lt;"&amp;$T50)+1</f>
        <v>33</v>
      </c>
      <c r="V50" s="396" cm="1">
        <f t="array" ref="V50">IF($AF50="Y",$S50+$K50-1,INDEX('⑤-1 동절기순연축'!$B$5:$B$124,$U50)+$T50-INDEX('⑤-1 동절기순연축'!$F$5:$F$124,$U50)+INDEX('⑤-1 동절기순연축'!$E$5:$E$124,$U50)-1)</f>
        <v>47330.3</v>
      </c>
      <c r="W50" s="417">
        <f t="shared" si="21"/>
        <v>45.30000000000291</v>
      </c>
      <c r="X50" s="419"/>
      <c r="AA50" t="s">
        <v>1717</v>
      </c>
      <c r="AB50">
        <v>32</v>
      </c>
    </row>
    <row r="51" spans="2:32" ht="16" customHeight="1">
      <c r="B51" s="63">
        <v>34</v>
      </c>
      <c r="C51" s="114" t="s">
        <v>1503</v>
      </c>
      <c r="D51" s="117" t="s">
        <v>1553</v>
      </c>
      <c r="E51" s="242" t="s">
        <v>1600</v>
      </c>
      <c r="F51" s="263">
        <f>'④-1 처리시설 작업일수'!O89</f>
        <v>7.6</v>
      </c>
      <c r="G51" s="7" t="s">
        <v>764</v>
      </c>
      <c r="H51" s="269">
        <f t="shared" si="11"/>
        <v>0</v>
      </c>
      <c r="I51" s="273">
        <f t="shared" si="20"/>
        <v>0</v>
      </c>
      <c r="J51" s="274">
        <f t="shared" si="12"/>
        <v>5.5</v>
      </c>
      <c r="K51" s="30">
        <f t="shared" si="13"/>
        <v>13.1</v>
      </c>
      <c r="L51" s="32">
        <f t="shared" si="14"/>
        <v>612</v>
      </c>
      <c r="M51" s="30">
        <f t="shared" si="15"/>
        <v>624.1</v>
      </c>
      <c r="N51" s="245">
        <f t="shared" si="16"/>
        <v>47210</v>
      </c>
      <c r="O51" s="246">
        <f t="shared" si="17"/>
        <v>47222.1</v>
      </c>
      <c r="P51" s="121"/>
      <c r="Q51" s="410">
        <f t="shared" si="18"/>
        <v>704</v>
      </c>
      <c r="R51" s="189">
        <f>COUNTIF('⑤-1 동절기순연축'!$F$5:$F$124,"&lt;"&amp;$Q51)+1</f>
        <v>33</v>
      </c>
      <c r="S51" s="396" cm="1">
        <f t="array" ref="S51">INDEX('⑤-1 동절기순연축'!$B$5:$B$124,$R51)+$Q51-INDEX('⑤-1 동절기순연축'!$F$5:$F$124,$R51)+INDEX('⑤-1 동절기순연축'!$E$5:$E$124,$R51)-1</f>
        <v>47331</v>
      </c>
      <c r="T51" s="414">
        <f t="shared" si="19"/>
        <v>716.1</v>
      </c>
      <c r="U51" s="190">
        <f>COUNTIF('⑤-1 동절기순연축'!$F$5:$F$124,"&lt;"&amp;$T51)+1</f>
        <v>33</v>
      </c>
      <c r="V51" s="396" cm="1">
        <f t="array" ref="V51">IF($AF51="Y",$S51+$K51-1,INDEX('⑤-1 동절기순연축'!$B$5:$B$124,$U51)+$T51-INDEX('⑤-1 동절기순연축'!$F$5:$F$124,$U51)+INDEX('⑤-1 동절기순연축'!$E$5:$E$124,$U51)-1)</f>
        <v>47343.1</v>
      </c>
      <c r="W51" s="417">
        <f t="shared" si="21"/>
        <v>13.099999999998545</v>
      </c>
      <c r="X51" s="419"/>
      <c r="Y51" s="191"/>
      <c r="AA51" t="s">
        <v>1717</v>
      </c>
      <c r="AB51">
        <v>33</v>
      </c>
    </row>
    <row r="52" spans="2:32" ht="16" customHeight="1">
      <c r="B52" s="63">
        <v>35</v>
      </c>
      <c r="C52" s="114" t="s">
        <v>1503</v>
      </c>
      <c r="D52" s="117" t="s">
        <v>921</v>
      </c>
      <c r="E52" s="244" t="s">
        <v>1601</v>
      </c>
      <c r="F52" s="263">
        <f>'④-1 처리시설 작업일수'!O101</f>
        <v>29.799999999999997</v>
      </c>
      <c r="G52" s="7" t="s">
        <v>808</v>
      </c>
      <c r="H52" s="269">
        <f t="shared" si="11"/>
        <v>0.15000000000000002</v>
      </c>
      <c r="I52" s="273">
        <f t="shared" si="20"/>
        <v>1</v>
      </c>
      <c r="J52" s="274">
        <f t="shared" si="12"/>
        <v>21.6</v>
      </c>
      <c r="K52" s="30">
        <f t="shared" si="13"/>
        <v>51.4</v>
      </c>
      <c r="L52" s="32">
        <f t="shared" si="14"/>
        <v>623</v>
      </c>
      <c r="M52" s="30">
        <f t="shared" si="15"/>
        <v>673.4</v>
      </c>
      <c r="N52" s="245">
        <f t="shared" si="16"/>
        <v>47221</v>
      </c>
      <c r="O52" s="246">
        <f t="shared" si="17"/>
        <v>47271.4</v>
      </c>
      <c r="P52" s="121"/>
      <c r="Q52" s="410">
        <f t="shared" si="18"/>
        <v>715</v>
      </c>
      <c r="R52" s="189">
        <f>COUNTIF('⑤-1 동절기순연축'!$F$5:$F$124,"&lt;"&amp;$Q52)+1</f>
        <v>33</v>
      </c>
      <c r="S52" s="396" cm="1">
        <f t="array" ref="S52">INDEX('⑤-1 동절기순연축'!$B$5:$B$124,$R52)+$Q52-INDEX('⑤-1 동절기순연축'!$F$5:$F$124,$R52)+INDEX('⑤-1 동절기순연축'!$E$5:$E$124,$R52)-1</f>
        <v>47342</v>
      </c>
      <c r="T52" s="414">
        <f t="shared" si="19"/>
        <v>765.4</v>
      </c>
      <c r="U52" s="190">
        <f>COUNTIF('⑤-1 동절기순연축'!$F$5:$F$124,"&lt;"&amp;$T52)+1</f>
        <v>35</v>
      </c>
      <c r="V52" s="396" cm="1">
        <f t="array" ref="V52">IF($AF52="Y",$S52+$K52-1,INDEX('⑤-1 동절기순연축'!$B$5:$B$124,$U52)+$T52-INDEX('⑤-1 동절기순연축'!$F$5:$F$124,$U52)+INDEX('⑤-1 동절기순연축'!$E$5:$E$124,$U52)-1)</f>
        <v>47392.4</v>
      </c>
      <c r="W52" s="417">
        <f t="shared" si="21"/>
        <v>51.400000000001455</v>
      </c>
      <c r="X52" s="419"/>
      <c r="AA52" t="s">
        <v>1717</v>
      </c>
      <c r="AB52">
        <v>34</v>
      </c>
    </row>
    <row r="53" spans="2:32" ht="16" customHeight="1">
      <c r="B53" s="63">
        <v>36</v>
      </c>
      <c r="C53" s="114" t="s">
        <v>1503</v>
      </c>
      <c r="D53" s="117" t="s">
        <v>1704</v>
      </c>
      <c r="E53" s="244"/>
      <c r="F53" s="427">
        <v>210</v>
      </c>
      <c r="G53" s="7"/>
      <c r="H53" s="269"/>
      <c r="I53" s="273"/>
      <c r="J53" s="274">
        <v>0</v>
      </c>
      <c r="K53" s="30">
        <f>$F53+$J53</f>
        <v>210</v>
      </c>
      <c r="L53" s="32">
        <f t="shared" si="14"/>
        <v>520</v>
      </c>
      <c r="M53" s="30">
        <f t="shared" si="15"/>
        <v>729</v>
      </c>
      <c r="N53" s="245"/>
      <c r="O53" s="246"/>
      <c r="P53" s="121"/>
      <c r="Q53" s="410">
        <f t="shared" si="18"/>
        <v>612</v>
      </c>
      <c r="R53" s="189">
        <f>COUNTIF('⑤-1 동절기순연축'!$F$5:$F$124,"&lt;"&amp;$Q53)+1</f>
        <v>30</v>
      </c>
      <c r="S53" s="396" cm="1">
        <f t="array" ref="S53">INDEX('⑤-1 동절기순연축'!$B$5:$B$124,$R53)+$Q53-INDEX('⑤-1 동절기순연축'!$F$5:$F$124,$R53)+INDEX('⑤-1 동절기순연축'!$E$5:$E$124,$R53)-1</f>
        <v>47239</v>
      </c>
      <c r="T53" s="414">
        <f t="shared" si="19"/>
        <v>821</v>
      </c>
      <c r="U53" s="190">
        <f>COUNTIF('⑤-1 동절기순연축'!$F$5:$F$124,"&lt;"&amp;$T53)+1</f>
        <v>36</v>
      </c>
      <c r="V53" s="396" cm="1">
        <f t="array" ref="V53">IF($AF53="Y",$S53+$K53-1,INDEX('⑤-1 동절기순연축'!$B$5:$B$124,$U53)+$T53-INDEX('⑤-1 동절기순연축'!$F$5:$F$124,$U53)+INDEX('⑤-1 동절기순연축'!$E$5:$E$124,$U53)-1)</f>
        <v>47448</v>
      </c>
      <c r="W53" s="417">
        <f t="shared" si="21"/>
        <v>210</v>
      </c>
      <c r="X53" s="419"/>
      <c r="AA53" t="s">
        <v>1709</v>
      </c>
      <c r="AB53">
        <v>31</v>
      </c>
      <c r="AE53" s="422">
        <v>45</v>
      </c>
    </row>
    <row r="54" spans="2:32" ht="16" customHeight="1">
      <c r="B54" s="63">
        <v>37</v>
      </c>
      <c r="C54" s="114" t="s">
        <v>1503</v>
      </c>
      <c r="D54" s="117" t="s">
        <v>1705</v>
      </c>
      <c r="E54" s="244"/>
      <c r="F54" s="427">
        <v>180</v>
      </c>
      <c r="G54" s="7"/>
      <c r="H54" s="269"/>
      <c r="I54" s="273"/>
      <c r="J54" s="274">
        <v>0</v>
      </c>
      <c r="K54" s="30">
        <f>$F54+$J54</f>
        <v>180</v>
      </c>
      <c r="L54" s="32">
        <f t="shared" si="14"/>
        <v>520</v>
      </c>
      <c r="M54" s="30">
        <f t="shared" si="15"/>
        <v>699</v>
      </c>
      <c r="N54" s="245"/>
      <c r="O54" s="246"/>
      <c r="P54" s="121"/>
      <c r="Q54" s="410">
        <f t="shared" si="18"/>
        <v>612</v>
      </c>
      <c r="R54" s="189">
        <f>COUNTIF('⑤-1 동절기순연축'!$F$5:$F$124,"&lt;"&amp;$Q54)+1</f>
        <v>30</v>
      </c>
      <c r="S54" s="396" cm="1">
        <f t="array" ref="S54">INDEX('⑤-1 동절기순연축'!$B$5:$B$124,$R54)+$Q54-INDEX('⑤-1 동절기순연축'!$F$5:$F$124,$R54)+INDEX('⑤-1 동절기순연축'!$E$5:$E$124,$R54)-1</f>
        <v>47239</v>
      </c>
      <c r="T54" s="414">
        <f t="shared" si="19"/>
        <v>791</v>
      </c>
      <c r="U54" s="190">
        <f>COUNTIF('⑤-1 동절기순연축'!$F$5:$F$124,"&lt;"&amp;$T54)+1</f>
        <v>35</v>
      </c>
      <c r="V54" s="396" cm="1">
        <f t="array" ref="V54">IF($AF54="Y",$S54+$K54-1,INDEX('⑤-1 동절기순연축'!$B$5:$B$124,$U54)+$T54-INDEX('⑤-1 동절기순연축'!$F$5:$F$124,$U54)+INDEX('⑤-1 동절기순연축'!$E$5:$E$124,$U54)-1)</f>
        <v>47418</v>
      </c>
      <c r="W54" s="417">
        <f t="shared" si="21"/>
        <v>180</v>
      </c>
      <c r="X54" s="419"/>
      <c r="AA54" t="s">
        <v>1709</v>
      </c>
      <c r="AB54">
        <v>31</v>
      </c>
      <c r="AE54" s="422">
        <v>45</v>
      </c>
    </row>
    <row r="55" spans="2:32" ht="16" customHeight="1">
      <c r="B55" s="63">
        <v>38</v>
      </c>
      <c r="C55" s="114" t="s">
        <v>1503</v>
      </c>
      <c r="D55" s="117" t="s">
        <v>1706</v>
      </c>
      <c r="E55" s="244"/>
      <c r="F55" s="427">
        <v>150</v>
      </c>
      <c r="G55" s="7"/>
      <c r="H55" s="269"/>
      <c r="I55" s="273"/>
      <c r="J55" s="274">
        <v>0</v>
      </c>
      <c r="K55" s="30">
        <f>$F55+$J55</f>
        <v>150</v>
      </c>
      <c r="L55" s="32">
        <f t="shared" si="14"/>
        <v>520</v>
      </c>
      <c r="M55" s="30">
        <f t="shared" si="15"/>
        <v>669</v>
      </c>
      <c r="N55" s="245"/>
      <c r="O55" s="246"/>
      <c r="P55" s="121"/>
      <c r="Q55" s="410">
        <f t="shared" si="18"/>
        <v>612</v>
      </c>
      <c r="R55" s="189">
        <f>COUNTIF('⑤-1 동절기순연축'!$F$5:$F$124,"&lt;"&amp;$Q55)+1</f>
        <v>30</v>
      </c>
      <c r="S55" s="396" cm="1">
        <f t="array" ref="S55">INDEX('⑤-1 동절기순연축'!$B$5:$B$124,$R55)+$Q55-INDEX('⑤-1 동절기순연축'!$F$5:$F$124,$R55)+INDEX('⑤-1 동절기순연축'!$E$5:$E$124,$R55)-1</f>
        <v>47239</v>
      </c>
      <c r="T55" s="414">
        <f t="shared" si="19"/>
        <v>761</v>
      </c>
      <c r="U55" s="190">
        <f>COUNTIF('⑤-1 동절기순연축'!$F$5:$F$124,"&lt;"&amp;$T55)+1</f>
        <v>34</v>
      </c>
      <c r="V55" s="396" cm="1">
        <f t="array" ref="V55">IF($AF55="Y",$S55+$K55-1,INDEX('⑤-1 동절기순연축'!$B$5:$B$124,$U55)+$T55-INDEX('⑤-1 동절기순연축'!$F$5:$F$124,$U55)+INDEX('⑤-1 동절기순연축'!$E$5:$E$124,$U55)-1)</f>
        <v>47388</v>
      </c>
      <c r="W55" s="417">
        <f t="shared" si="21"/>
        <v>150</v>
      </c>
      <c r="X55" s="419"/>
      <c r="AA55" t="s">
        <v>1709</v>
      </c>
      <c r="AB55">
        <v>31</v>
      </c>
      <c r="AE55" s="422">
        <v>45</v>
      </c>
    </row>
    <row r="56" spans="2:32" ht="16" customHeight="1">
      <c r="B56" s="63">
        <v>39</v>
      </c>
      <c r="C56" s="114" t="s">
        <v>1503</v>
      </c>
      <c r="D56" s="117" t="s">
        <v>1707</v>
      </c>
      <c r="E56" s="244"/>
      <c r="F56" s="427">
        <v>60</v>
      </c>
      <c r="G56" s="7"/>
      <c r="H56" s="269"/>
      <c r="I56" s="273"/>
      <c r="J56" s="274">
        <v>0</v>
      </c>
      <c r="K56" s="30">
        <f>$F56+$J56</f>
        <v>60</v>
      </c>
      <c r="L56" s="32">
        <f t="shared" si="14"/>
        <v>669</v>
      </c>
      <c r="M56" s="30">
        <f t="shared" si="15"/>
        <v>728</v>
      </c>
      <c r="N56" s="245"/>
      <c r="O56" s="246"/>
      <c r="P56" s="121"/>
      <c r="Q56" s="410">
        <f t="shared" si="18"/>
        <v>761</v>
      </c>
      <c r="R56" s="189">
        <f>COUNTIF('⑤-1 동절기순연축'!$F$5:$F$124,"&lt;"&amp;$Q56)+1</f>
        <v>34</v>
      </c>
      <c r="S56" s="396" cm="1">
        <f t="array" ref="S56">INDEX('⑤-1 동절기순연축'!$B$5:$B$124,$R56)+$Q56-INDEX('⑤-1 동절기순연축'!$F$5:$F$124,$R56)+INDEX('⑤-1 동절기순연축'!$E$5:$E$124,$R56)-1</f>
        <v>47388</v>
      </c>
      <c r="T56" s="414">
        <f t="shared" si="19"/>
        <v>820</v>
      </c>
      <c r="U56" s="190">
        <f>COUNTIF('⑤-1 동절기순연축'!$F$5:$F$124,"&lt;"&amp;$T56)+1</f>
        <v>36</v>
      </c>
      <c r="V56" s="396" cm="1">
        <f t="array" ref="V56">IF($AF56="Y",$S56+$K56-1,INDEX('⑤-1 동절기순연축'!$B$5:$B$124,$U56)+$T56-INDEX('⑤-1 동절기순연축'!$F$5:$F$124,$U56)+INDEX('⑤-1 동절기순연축'!$E$5:$E$124,$U56)-1)</f>
        <v>47447</v>
      </c>
      <c r="W56" s="417">
        <f t="shared" si="21"/>
        <v>60</v>
      </c>
      <c r="X56" s="419"/>
      <c r="AA56" t="s">
        <v>1760</v>
      </c>
      <c r="AB56">
        <v>36</v>
      </c>
      <c r="AE56" s="422">
        <v>60</v>
      </c>
    </row>
    <row r="57" spans="2:32" ht="16" customHeight="1">
      <c r="B57" s="63">
        <v>40</v>
      </c>
      <c r="C57" s="114" t="s">
        <v>1503</v>
      </c>
      <c r="D57" s="117" t="s">
        <v>1763</v>
      </c>
      <c r="E57" s="244"/>
      <c r="F57" s="427">
        <v>180</v>
      </c>
      <c r="G57" s="7"/>
      <c r="H57" s="269"/>
      <c r="I57" s="273"/>
      <c r="J57" s="274">
        <v>0</v>
      </c>
      <c r="K57" s="30">
        <f>$F57+$J57</f>
        <v>180</v>
      </c>
      <c r="L57" s="32">
        <f>MAX($M53,$M54,$M55)+1</f>
        <v>730</v>
      </c>
      <c r="M57" s="30">
        <f t="shared" si="15"/>
        <v>909</v>
      </c>
      <c r="N57" s="245"/>
      <c r="O57" s="246"/>
      <c r="P57" s="121"/>
      <c r="Q57" s="410">
        <f t="shared" si="18"/>
        <v>822</v>
      </c>
      <c r="R57" s="189">
        <f>COUNTIF('⑤-1 동절기순연축'!$F$5:$F$124,"&lt;"&amp;$Q57)+1</f>
        <v>36</v>
      </c>
      <c r="S57" s="396" cm="1">
        <f t="array" ref="S57">INDEX('⑤-1 동절기순연축'!$B$5:$B$124,$R57)+$Q57-INDEX('⑤-1 동절기순연축'!$F$5:$F$124,$R57)+INDEX('⑤-1 동절기순연축'!$E$5:$E$124,$R57)-1</f>
        <v>47449</v>
      </c>
      <c r="T57" s="414">
        <f t="shared" si="19"/>
        <v>1001</v>
      </c>
      <c r="U57" s="190">
        <f>COUNTIF('⑤-1 동절기순연축'!$F$5:$F$124,"&lt;"&amp;$T57)+1</f>
        <v>45</v>
      </c>
      <c r="V57" s="396" cm="1">
        <f t="array" ref="V57">IF($AF57="Y",$S57+$K57-1,INDEX('⑤-1 동절기순연축'!$B$5:$B$124,$U57)+$T57-INDEX('⑤-1 동절기순연축'!$F$5:$F$124,$U57)+INDEX('⑤-1 동절기순연축'!$E$5:$E$124,$U57)-1)</f>
        <v>47628</v>
      </c>
      <c r="W57" s="417">
        <f t="shared" si="21"/>
        <v>180</v>
      </c>
      <c r="X57" s="419"/>
      <c r="AA57" t="s">
        <v>1710</v>
      </c>
      <c r="AE57" s="422">
        <v>120</v>
      </c>
      <c r="AF57" t="s">
        <v>135</v>
      </c>
    </row>
    <row r="58" spans="2:32" ht="16" customHeight="1">
      <c r="B58" s="63"/>
      <c r="C58" s="247" t="s">
        <v>1554</v>
      </c>
      <c r="D58" s="248"/>
      <c r="E58" s="253"/>
      <c r="F58" s="264">
        <f>SUM(F45:F52)</f>
        <v>431.40000000000009</v>
      </c>
      <c r="G58" s="265"/>
      <c r="H58" s="270"/>
      <c r="I58" s="275">
        <f>SUM(I45:I52)</f>
        <v>13</v>
      </c>
      <c r="J58" s="274">
        <f>SUM(J45:J52)</f>
        <v>312.20000000000005</v>
      </c>
      <c r="K58" s="274">
        <f>SUM(K45:K52)</f>
        <v>743.59999999999991</v>
      </c>
      <c r="L58" s="32"/>
      <c r="M58" s="274">
        <f>MAX(M45:M57)</f>
        <v>909</v>
      </c>
      <c r="N58" s="250">
        <f>MIN(N45:N52)</f>
        <v>46599</v>
      </c>
      <c r="O58" s="251">
        <f>MAX(O45:O52)</f>
        <v>47271.4</v>
      </c>
      <c r="P58" s="252" t="s">
        <v>1548</v>
      </c>
      <c r="Q58" s="412"/>
      <c r="R58" s="187"/>
      <c r="S58" s="397">
        <f>$C$7</f>
        <v>46539</v>
      </c>
      <c r="T58" s="415">
        <f t="shared" si="19"/>
        <v>1001</v>
      </c>
      <c r="U58" s="188">
        <f>COUNTIF('⑤-1 동절기순연축'!$F$5:$F$124,"&lt;"&amp;$T58)+1</f>
        <v>45</v>
      </c>
      <c r="V58" s="397">
        <f>MAX($V$45:$V$57)</f>
        <v>47628</v>
      </c>
      <c r="W58" s="417">
        <f>$V58-$S58+1</f>
        <v>1090</v>
      </c>
      <c r="X58" s="419"/>
    </row>
    <row r="59" spans="2:32" ht="16" customHeight="1">
      <c r="B59" s="63"/>
      <c r="C59" s="114"/>
      <c r="D59" s="117"/>
      <c r="E59" s="215"/>
      <c r="F59" s="263"/>
      <c r="G59" s="7"/>
      <c r="H59" s="269"/>
      <c r="I59" s="273"/>
      <c r="J59" s="274"/>
      <c r="K59" s="30"/>
      <c r="L59" s="32"/>
      <c r="M59" s="30"/>
      <c r="N59" s="245"/>
      <c r="O59" s="246"/>
      <c r="P59" s="121"/>
      <c r="Q59" s="413"/>
      <c r="R59" s="187"/>
      <c r="S59" s="397"/>
      <c r="T59" s="415"/>
      <c r="U59" s="188"/>
      <c r="V59" s="397"/>
      <c r="W59" s="417"/>
      <c r="X59" s="419"/>
    </row>
    <row r="60" spans="2:32" ht="15">
      <c r="B60" s="63">
        <v>41</v>
      </c>
      <c r="C60" s="114" t="s">
        <v>1504</v>
      </c>
      <c r="D60" s="117" t="s">
        <v>1555</v>
      </c>
      <c r="E60" s="244" t="s">
        <v>1602</v>
      </c>
      <c r="F60" s="263">
        <f>ROUND('④-3 노동리 작업일수'!O5/$Z$9,1)</f>
        <v>63.8</v>
      </c>
      <c r="G60" s="7" t="s">
        <v>764</v>
      </c>
      <c r="H60" s="269">
        <f t="shared" ref="H60:H77" si="22">IF($G60="순차(FS)",$C$11,IF($G60="부분중첩(SS)",$Z$43,$Z$42))</f>
        <v>0</v>
      </c>
      <c r="I60" s="273">
        <v>0</v>
      </c>
      <c r="J60" s="274">
        <f t="shared" ref="J60:J77" si="23">ROUND($F60*$Z$20,1)</f>
        <v>46.2</v>
      </c>
      <c r="K60" s="30">
        <f t="shared" ref="K60:K77" si="24">$F60+$J60</f>
        <v>110</v>
      </c>
      <c r="L60" s="32">
        <f t="shared" ref="L60:L77" si="25">IF($AA60="START",1,IF($AA60="FS",INDEX($M$16:$M$77,MATCH($AB60,$B$16:$B$77,0))+1,IF($AA60="FS-",INDEX($M$16:$M$77,MATCH($AB60,$B$16:$B$77,0))-$AE60,IF($AA60="시운전",$AE60,INDEX($L$16:$L$77,MATCH($AB60,$B$16:$B$77,0))+ROUND(INDEX($K$16:$K$77,MATCH($AB60,$B$16:$B$77,0))*IF($AE60="",1-$H60,$AE60),0)))))</f>
        <v>1</v>
      </c>
      <c r="M60" s="30">
        <f t="shared" ref="M60:M77" si="26">IF($AD60="",$L60+$K60-1,INDEX($M$16:$M$77,MATCH($AD60,$B$16:$B$77,0)))</f>
        <v>633.70000000000005</v>
      </c>
      <c r="N60" s="245">
        <f t="shared" ref="N60:N77" si="27">$E$8+$L60-1</f>
        <v>46691</v>
      </c>
      <c r="O60" s="246">
        <f t="shared" ref="O60:O77" si="28">$E$8+$M60-1</f>
        <v>47323.7</v>
      </c>
      <c r="P60" s="121"/>
      <c r="Q60" s="413">
        <f t="shared" ref="Q60:Q77" si="29">$P$8+$L60</f>
        <v>185</v>
      </c>
      <c r="R60" s="187">
        <f>COUNTIF('⑤-1 동절기순연축'!$F$5:$F$124,"&lt;"&amp;$Q60)+1</f>
        <v>10</v>
      </c>
      <c r="S60" s="397" cm="1">
        <f t="array" ref="S60">INDEX('⑤-1 동절기순연축'!$B$5:$B$124,$R60)+$Q60-INDEX('⑤-1 동절기순연축'!$F$5:$F$124,$R60)+INDEX('⑤-1 동절기순연축'!$E$5:$E$124,$R60)-1</f>
        <v>46631</v>
      </c>
      <c r="T60" s="415">
        <f t="shared" ref="T60:T78" si="30">$P$8+$M60</f>
        <v>817.7</v>
      </c>
      <c r="U60" s="188">
        <f>COUNTIF('⑤-1 동절기순연축'!$F$5:$F$124,"&lt;"&amp;$T60)+1</f>
        <v>36</v>
      </c>
      <c r="V60" s="397" cm="1">
        <f t="array" ref="V60">IF($AF60="Y",$S60+$K60-1,INDEX('⑤-1 동절기순연축'!$B$5:$B$124,$U60)+$T60-INDEX('⑤-1 동절기순연축'!$F$5:$F$124,$U60)+INDEX('⑤-1 동절기순연축'!$E$5:$E$124,$U60)-1)</f>
        <v>47444.7</v>
      </c>
      <c r="W60" s="417">
        <f>$V60-$S60+1</f>
        <v>814.69999999999709</v>
      </c>
      <c r="X60" s="419"/>
      <c r="AA60" t="s">
        <v>1716</v>
      </c>
      <c r="AD60">
        <v>46</v>
      </c>
    </row>
    <row r="61" spans="2:32" ht="15">
      <c r="B61" s="63">
        <v>42</v>
      </c>
      <c r="C61" s="114" t="s">
        <v>1504</v>
      </c>
      <c r="D61" s="117" t="s">
        <v>1556</v>
      </c>
      <c r="E61" s="244" t="s">
        <v>1603</v>
      </c>
      <c r="F61" s="263">
        <f>ROUND('④-3 노동리 작업일수'!O39/$Z$9,1)</f>
        <v>40.799999999999997</v>
      </c>
      <c r="G61" s="7" t="s">
        <v>808</v>
      </c>
      <c r="H61" s="269">
        <f t="shared" si="22"/>
        <v>8.2500000000000004E-2</v>
      </c>
      <c r="I61" s="273">
        <f t="shared" ref="I61:I77" si="31">ROUND(MIN($F60,$F61)*$H61,0)</f>
        <v>3</v>
      </c>
      <c r="J61" s="274">
        <f t="shared" si="23"/>
        <v>29.5</v>
      </c>
      <c r="K61" s="30">
        <f t="shared" si="24"/>
        <v>70.3</v>
      </c>
      <c r="L61" s="32">
        <f t="shared" si="25"/>
        <v>102</v>
      </c>
      <c r="M61" s="30">
        <f t="shared" si="26"/>
        <v>633.70000000000005</v>
      </c>
      <c r="N61" s="245">
        <f t="shared" si="27"/>
        <v>46792</v>
      </c>
      <c r="O61" s="246">
        <f t="shared" si="28"/>
        <v>47323.7</v>
      </c>
      <c r="P61" s="121"/>
      <c r="Q61" s="413">
        <f t="shared" si="29"/>
        <v>286</v>
      </c>
      <c r="R61" s="187">
        <f>COUNTIF('⑤-1 동절기순연축'!$F$5:$F$124,"&lt;"&amp;$Q61)+1</f>
        <v>16</v>
      </c>
      <c r="S61" s="397" cm="1">
        <f t="array" ref="S61">INDEX('⑤-1 동절기순연축'!$B$5:$B$124,$R61)+$Q61-INDEX('⑤-1 동절기순연축'!$F$5:$F$124,$R61)+INDEX('⑤-1 동절기순연축'!$E$5:$E$124,$R61)-1</f>
        <v>46823</v>
      </c>
      <c r="T61" s="415">
        <f t="shared" si="30"/>
        <v>817.7</v>
      </c>
      <c r="U61" s="188">
        <f>COUNTIF('⑤-1 동절기순연축'!$F$5:$F$124,"&lt;"&amp;$T61)+1</f>
        <v>36</v>
      </c>
      <c r="V61" s="397" cm="1">
        <f t="array" ref="V61">IF($AF61="Y",$S61+$K61-1,INDEX('⑤-1 동절기순연축'!$B$5:$B$124,$U61)+$T61-INDEX('⑤-1 동절기순연축'!$F$5:$F$124,$U61)+INDEX('⑤-1 동절기순연축'!$E$5:$E$124,$U61)-1)</f>
        <v>47444.7</v>
      </c>
      <c r="W61" s="417">
        <f t="shared" ref="W61:W77" si="32">$V61-$S61+1</f>
        <v>622.69999999999709</v>
      </c>
      <c r="X61" s="419"/>
      <c r="AA61" t="s">
        <v>1717</v>
      </c>
      <c r="AB61">
        <v>41</v>
      </c>
      <c r="AD61">
        <v>46</v>
      </c>
    </row>
    <row r="62" spans="2:32" ht="15">
      <c r="B62" s="63">
        <v>43</v>
      </c>
      <c r="C62" s="114" t="s">
        <v>1504</v>
      </c>
      <c r="D62" s="117" t="s">
        <v>1557</v>
      </c>
      <c r="E62" s="244" t="s">
        <v>1604</v>
      </c>
      <c r="F62" s="263">
        <f>ROUND('④-3 노동리 작업일수'!O42/$Z$9,1)</f>
        <v>75.7</v>
      </c>
      <c r="G62" s="7" t="s">
        <v>808</v>
      </c>
      <c r="H62" s="269">
        <f t="shared" si="22"/>
        <v>8.2500000000000004E-2</v>
      </c>
      <c r="I62" s="273">
        <f t="shared" si="31"/>
        <v>3</v>
      </c>
      <c r="J62" s="274">
        <f t="shared" si="23"/>
        <v>54.8</v>
      </c>
      <c r="K62" s="30">
        <f t="shared" si="24"/>
        <v>130.5</v>
      </c>
      <c r="L62" s="32">
        <f t="shared" si="25"/>
        <v>167</v>
      </c>
      <c r="M62" s="30">
        <f t="shared" si="26"/>
        <v>633.70000000000005</v>
      </c>
      <c r="N62" s="245">
        <f t="shared" si="27"/>
        <v>46857</v>
      </c>
      <c r="O62" s="246">
        <f t="shared" si="28"/>
        <v>47323.7</v>
      </c>
      <c r="P62" s="121"/>
      <c r="Q62" s="413">
        <f t="shared" si="29"/>
        <v>351</v>
      </c>
      <c r="R62" s="187">
        <f>COUNTIF('⑤-1 동절기순연축'!$F$5:$F$124,"&lt;"&amp;$Q62)+1</f>
        <v>18</v>
      </c>
      <c r="S62" s="397" cm="1">
        <f t="array" ref="S62">INDEX('⑤-1 동절기순연축'!$B$5:$B$124,$R62)+$Q62-INDEX('⑤-1 동절기순연축'!$F$5:$F$124,$R62)+INDEX('⑤-1 동절기순연축'!$E$5:$E$124,$R62)-1</f>
        <v>46888</v>
      </c>
      <c r="T62" s="415">
        <f t="shared" si="30"/>
        <v>817.7</v>
      </c>
      <c r="U62" s="188">
        <f>COUNTIF('⑤-1 동절기순연축'!$F$5:$F$124,"&lt;"&amp;$T62)+1</f>
        <v>36</v>
      </c>
      <c r="V62" s="397" cm="1">
        <f t="array" ref="V62">IF($AF62="Y",$S62+$K62-1,INDEX('⑤-1 동절기순연축'!$B$5:$B$124,$U62)+$T62-INDEX('⑤-1 동절기순연축'!$F$5:$F$124,$U62)+INDEX('⑤-1 동절기순연축'!$E$5:$E$124,$U62)-1)</f>
        <v>47444.7</v>
      </c>
      <c r="W62" s="417">
        <f t="shared" si="32"/>
        <v>557.69999999999709</v>
      </c>
      <c r="X62" s="419"/>
      <c r="AA62" t="s">
        <v>1717</v>
      </c>
      <c r="AB62">
        <v>42</v>
      </c>
      <c r="AD62">
        <v>46</v>
      </c>
    </row>
    <row r="63" spans="2:32" ht="15">
      <c r="B63" s="63">
        <v>44</v>
      </c>
      <c r="C63" s="114" t="s">
        <v>1504</v>
      </c>
      <c r="D63" s="117" t="s">
        <v>1558</v>
      </c>
      <c r="E63" s="244" t="s">
        <v>1605</v>
      </c>
      <c r="F63" s="263">
        <f>ROUND('④-3 노동리 작업일수'!O53/$Z$9,1)</f>
        <v>49.1</v>
      </c>
      <c r="G63" s="7" t="s">
        <v>808</v>
      </c>
      <c r="H63" s="269">
        <f t="shared" si="22"/>
        <v>8.2500000000000004E-2</v>
      </c>
      <c r="I63" s="273">
        <f t="shared" si="31"/>
        <v>4</v>
      </c>
      <c r="J63" s="274">
        <f t="shared" si="23"/>
        <v>35.5</v>
      </c>
      <c r="K63" s="30">
        <f t="shared" si="24"/>
        <v>84.6</v>
      </c>
      <c r="L63" s="32">
        <f t="shared" si="25"/>
        <v>287</v>
      </c>
      <c r="M63" s="30">
        <f t="shared" si="26"/>
        <v>633.70000000000005</v>
      </c>
      <c r="N63" s="245">
        <f t="shared" si="27"/>
        <v>46977</v>
      </c>
      <c r="O63" s="246">
        <f t="shared" si="28"/>
        <v>47323.7</v>
      </c>
      <c r="P63" s="121"/>
      <c r="Q63" s="413">
        <f t="shared" si="29"/>
        <v>471</v>
      </c>
      <c r="R63" s="187">
        <f>COUNTIF('⑤-1 동절기순연축'!$F$5:$F$124,"&lt;"&amp;$Q63)+1</f>
        <v>22</v>
      </c>
      <c r="S63" s="397" cm="1">
        <f t="array" ref="S63">INDEX('⑤-1 동절기순연축'!$B$5:$B$124,$R63)+$Q63-INDEX('⑤-1 동절기순연축'!$F$5:$F$124,$R63)+INDEX('⑤-1 동절기순연축'!$E$5:$E$124,$R63)-1</f>
        <v>47008</v>
      </c>
      <c r="T63" s="415">
        <f t="shared" si="30"/>
        <v>817.7</v>
      </c>
      <c r="U63" s="188">
        <f>COUNTIF('⑤-1 동절기순연축'!$F$5:$F$124,"&lt;"&amp;$T63)+1</f>
        <v>36</v>
      </c>
      <c r="V63" s="397" cm="1">
        <f t="array" ref="V63">IF($AF63="Y",$S63+$K63-1,INDEX('⑤-1 동절기순연축'!$B$5:$B$124,$U63)+$T63-INDEX('⑤-1 동절기순연축'!$F$5:$F$124,$U63)+INDEX('⑤-1 동절기순연축'!$E$5:$E$124,$U63)-1)</f>
        <v>47444.7</v>
      </c>
      <c r="W63" s="417">
        <f t="shared" si="32"/>
        <v>437.69999999999709</v>
      </c>
      <c r="X63" s="419"/>
      <c r="AA63" t="s">
        <v>1717</v>
      </c>
      <c r="AB63">
        <v>43</v>
      </c>
      <c r="AD63">
        <v>46</v>
      </c>
    </row>
    <row r="64" spans="2:32" ht="15">
      <c r="B64" s="63">
        <v>45</v>
      </c>
      <c r="C64" s="114" t="s">
        <v>1504</v>
      </c>
      <c r="D64" s="117" t="s">
        <v>1559</v>
      </c>
      <c r="E64" s="243" t="s">
        <v>1606</v>
      </c>
      <c r="F64" s="263">
        <f>ROUND('④-3 노동리 작업일수'!O13/$Z$9,1)</f>
        <v>79.900000000000006</v>
      </c>
      <c r="G64" s="7" t="s">
        <v>1507</v>
      </c>
      <c r="H64" s="269">
        <f t="shared" si="22"/>
        <v>5.5E-2</v>
      </c>
      <c r="I64" s="273">
        <f t="shared" si="31"/>
        <v>3</v>
      </c>
      <c r="J64" s="274">
        <f t="shared" si="23"/>
        <v>57.8</v>
      </c>
      <c r="K64" s="30">
        <f t="shared" si="24"/>
        <v>137.69999999999999</v>
      </c>
      <c r="L64" s="32">
        <f t="shared" si="25"/>
        <v>367</v>
      </c>
      <c r="M64" s="30">
        <f t="shared" si="26"/>
        <v>503.7</v>
      </c>
      <c r="N64" s="245">
        <f t="shared" si="27"/>
        <v>47057</v>
      </c>
      <c r="O64" s="246">
        <f t="shared" si="28"/>
        <v>47193.7</v>
      </c>
      <c r="P64" s="121"/>
      <c r="Q64" s="413">
        <f t="shared" si="29"/>
        <v>551</v>
      </c>
      <c r="R64" s="187">
        <f>COUNTIF('⑤-1 동절기순연축'!$F$5:$F$124,"&lt;"&amp;$Q64)+1</f>
        <v>28</v>
      </c>
      <c r="S64" s="397" cm="1">
        <f t="array" ref="S64">INDEX('⑤-1 동절기순연축'!$B$5:$B$124,$R64)+$Q64-INDEX('⑤-1 동절기순연축'!$F$5:$F$124,$R64)+INDEX('⑤-1 동절기순연축'!$E$5:$E$124,$R64)-1</f>
        <v>47178</v>
      </c>
      <c r="T64" s="415">
        <f t="shared" si="30"/>
        <v>687.7</v>
      </c>
      <c r="U64" s="188">
        <f>COUNTIF('⑤-1 동절기순연축'!$F$5:$F$124,"&lt;"&amp;$T64)+1</f>
        <v>32</v>
      </c>
      <c r="V64" s="397" cm="1">
        <f t="array" ref="V64">IF($AF64="Y",$S64+$K64-1,INDEX('⑤-1 동절기순연축'!$B$5:$B$124,$U64)+$T64-INDEX('⑤-1 동절기순연축'!$F$5:$F$124,$U64)+INDEX('⑤-1 동절기순연축'!$E$5:$E$124,$U64)-1)</f>
        <v>47314.7</v>
      </c>
      <c r="W64" s="417">
        <f t="shared" si="32"/>
        <v>137.69999999999709</v>
      </c>
      <c r="X64" s="419"/>
      <c r="AA64" t="s">
        <v>1717</v>
      </c>
      <c r="AB64">
        <v>44</v>
      </c>
    </row>
    <row r="65" spans="2:31" ht="15">
      <c r="B65" s="63">
        <v>46</v>
      </c>
      <c r="C65" s="114" t="s">
        <v>1504</v>
      </c>
      <c r="D65" s="117" t="s">
        <v>1560</v>
      </c>
      <c r="E65" s="242" t="s">
        <v>1607</v>
      </c>
      <c r="F65" s="263">
        <f>ROUND('④-3 노동리 작업일수'!O26/$Z$9,1)</f>
        <v>82.2</v>
      </c>
      <c r="G65" s="7" t="s">
        <v>808</v>
      </c>
      <c r="H65" s="269">
        <f t="shared" si="22"/>
        <v>8.2500000000000004E-2</v>
      </c>
      <c r="I65" s="273">
        <f t="shared" si="31"/>
        <v>7</v>
      </c>
      <c r="J65" s="274">
        <f t="shared" si="23"/>
        <v>59.5</v>
      </c>
      <c r="K65" s="30">
        <f t="shared" si="24"/>
        <v>141.69999999999999</v>
      </c>
      <c r="L65" s="32">
        <f t="shared" si="25"/>
        <v>493</v>
      </c>
      <c r="M65" s="30">
        <f t="shared" si="26"/>
        <v>633.70000000000005</v>
      </c>
      <c r="N65" s="245">
        <f t="shared" si="27"/>
        <v>47183</v>
      </c>
      <c r="O65" s="246">
        <f t="shared" si="28"/>
        <v>47323.7</v>
      </c>
      <c r="P65" s="121"/>
      <c r="Q65" s="413">
        <f t="shared" si="29"/>
        <v>677</v>
      </c>
      <c r="R65" s="187">
        <f>COUNTIF('⑤-1 동절기순연축'!$F$5:$F$124,"&lt;"&amp;$Q65)+1</f>
        <v>32</v>
      </c>
      <c r="S65" s="397" cm="1">
        <f t="array" ref="S65">INDEX('⑤-1 동절기순연축'!$B$5:$B$124,$R65)+$Q65-INDEX('⑤-1 동절기순연축'!$F$5:$F$124,$R65)+INDEX('⑤-1 동절기순연축'!$E$5:$E$124,$R65)-1</f>
        <v>47304</v>
      </c>
      <c r="T65" s="415">
        <f t="shared" si="30"/>
        <v>817.7</v>
      </c>
      <c r="U65" s="188">
        <f>COUNTIF('⑤-1 동절기순연축'!$F$5:$F$124,"&lt;"&amp;$T65)+1</f>
        <v>36</v>
      </c>
      <c r="V65" s="397" cm="1">
        <f t="array" ref="V65">IF($AF65="Y",$S65+$K65-1,INDEX('⑤-1 동절기순연축'!$B$5:$B$124,$U65)+$T65-INDEX('⑤-1 동절기순연축'!$F$5:$F$124,$U65)+INDEX('⑤-1 동절기순연축'!$E$5:$E$124,$U65)-1)</f>
        <v>47444.7</v>
      </c>
      <c r="W65" s="417">
        <f t="shared" si="32"/>
        <v>141.69999999999709</v>
      </c>
      <c r="X65" s="419"/>
      <c r="AA65" t="s">
        <v>1717</v>
      </c>
      <c r="AB65">
        <v>45</v>
      </c>
    </row>
    <row r="66" spans="2:31" ht="15">
      <c r="B66" s="63">
        <v>47</v>
      </c>
      <c r="C66" s="114" t="s">
        <v>1504</v>
      </c>
      <c r="D66" s="117" t="s">
        <v>1561</v>
      </c>
      <c r="E66" s="243" t="s">
        <v>1608</v>
      </c>
      <c r="F66" s="263">
        <f>ROUND('④-3 노동리 작업일수'!O67/$Z$9,1)</f>
        <v>100.1</v>
      </c>
      <c r="G66" s="7" t="s">
        <v>1507</v>
      </c>
      <c r="H66" s="269">
        <f t="shared" si="22"/>
        <v>5.5E-2</v>
      </c>
      <c r="I66" s="273">
        <f t="shared" si="31"/>
        <v>5</v>
      </c>
      <c r="J66" s="274">
        <f t="shared" si="23"/>
        <v>72.400000000000006</v>
      </c>
      <c r="K66" s="30">
        <f t="shared" si="24"/>
        <v>172.5</v>
      </c>
      <c r="L66" s="32">
        <f t="shared" si="25"/>
        <v>627</v>
      </c>
      <c r="M66" s="30">
        <f t="shared" si="26"/>
        <v>798.5</v>
      </c>
      <c r="N66" s="245">
        <f t="shared" si="27"/>
        <v>47317</v>
      </c>
      <c r="O66" s="246">
        <f t="shared" si="28"/>
        <v>47488.5</v>
      </c>
      <c r="P66" s="121"/>
      <c r="Q66" s="413">
        <f t="shared" si="29"/>
        <v>811</v>
      </c>
      <c r="R66" s="187">
        <f>COUNTIF('⑤-1 동절기순연축'!$F$5:$F$124,"&lt;"&amp;$Q66)+1</f>
        <v>36</v>
      </c>
      <c r="S66" s="397" cm="1">
        <f t="array" ref="S66">INDEX('⑤-1 동절기순연축'!$B$5:$B$124,$R66)+$Q66-INDEX('⑤-1 동절기순연축'!$F$5:$F$124,$R66)+INDEX('⑤-1 동절기순연축'!$E$5:$E$124,$R66)-1</f>
        <v>47438</v>
      </c>
      <c r="T66" s="415">
        <f t="shared" si="30"/>
        <v>982.5</v>
      </c>
      <c r="U66" s="188">
        <f>COUNTIF('⑤-1 동절기순연축'!$F$5:$F$124,"&lt;"&amp;$T66)+1</f>
        <v>45</v>
      </c>
      <c r="V66" s="397" cm="1">
        <f t="array" ref="V66">IF($AF66="Y",$S66+$K66-1,INDEX('⑤-1 동절기순연축'!$B$5:$B$124,$U66)+$T66-INDEX('⑤-1 동절기순연축'!$F$5:$F$124,$U66)+INDEX('⑤-1 동절기순연축'!$E$5:$E$124,$U66)-1)</f>
        <v>47699.5</v>
      </c>
      <c r="W66" s="417">
        <f t="shared" si="32"/>
        <v>262.5</v>
      </c>
      <c r="X66" s="419"/>
      <c r="AA66" t="s">
        <v>1717</v>
      </c>
      <c r="AB66">
        <v>46</v>
      </c>
    </row>
    <row r="67" spans="2:31" ht="15">
      <c r="B67" s="63">
        <v>48</v>
      </c>
      <c r="C67" s="114" t="s">
        <v>1504</v>
      </c>
      <c r="D67" s="117" t="s">
        <v>1562</v>
      </c>
      <c r="E67" s="242" t="s">
        <v>1609</v>
      </c>
      <c r="F67" s="263">
        <f>ROUND('④-3 노동리 작업일수'!O82/$Z$9,1)</f>
        <v>38.4</v>
      </c>
      <c r="G67" s="7" t="s">
        <v>808</v>
      </c>
      <c r="H67" s="269">
        <f t="shared" si="22"/>
        <v>8.2500000000000004E-2</v>
      </c>
      <c r="I67" s="273">
        <f t="shared" si="31"/>
        <v>3</v>
      </c>
      <c r="J67" s="274">
        <f t="shared" si="23"/>
        <v>27.8</v>
      </c>
      <c r="K67" s="30">
        <f t="shared" si="24"/>
        <v>66.2</v>
      </c>
      <c r="L67" s="32">
        <f t="shared" si="25"/>
        <v>785</v>
      </c>
      <c r="M67" s="30">
        <f t="shared" si="26"/>
        <v>850.2</v>
      </c>
      <c r="N67" s="245">
        <f t="shared" si="27"/>
        <v>47475</v>
      </c>
      <c r="O67" s="246">
        <f t="shared" si="28"/>
        <v>47540.2</v>
      </c>
      <c r="P67" s="121"/>
      <c r="Q67" s="413">
        <f t="shared" si="29"/>
        <v>969</v>
      </c>
      <c r="R67" s="187">
        <f>COUNTIF('⑤-1 동절기순연축'!$F$5:$F$124,"&lt;"&amp;$Q67)+1</f>
        <v>44</v>
      </c>
      <c r="S67" s="397" cm="1">
        <f t="array" ref="S67">INDEX('⑤-1 동절기순연축'!$B$5:$B$124,$R67)+$Q67-INDEX('⑤-1 동절기순연축'!$F$5:$F$124,$R67)+INDEX('⑤-1 동절기순연축'!$E$5:$E$124,$R67)-1</f>
        <v>47686</v>
      </c>
      <c r="T67" s="415">
        <f t="shared" si="30"/>
        <v>1034.2</v>
      </c>
      <c r="U67" s="188">
        <f>COUNTIF('⑤-1 동절기순연축'!$F$5:$F$124,"&lt;"&amp;$T67)+1</f>
        <v>46</v>
      </c>
      <c r="V67" s="397" cm="1">
        <f t="array" ref="V67">IF($AF67="Y",$S67+$K67-1,INDEX('⑤-1 동절기순연축'!$B$5:$B$124,$U67)+$T67-INDEX('⑤-1 동절기순연축'!$F$5:$F$124,$U67)+INDEX('⑤-1 동절기순연축'!$E$5:$E$124,$U67)-1)</f>
        <v>47751.199999999997</v>
      </c>
      <c r="W67" s="417">
        <f t="shared" si="32"/>
        <v>66.19999999999709</v>
      </c>
      <c r="X67" s="419"/>
      <c r="AA67" t="s">
        <v>1717</v>
      </c>
      <c r="AB67">
        <v>47</v>
      </c>
    </row>
    <row r="68" spans="2:31" ht="15">
      <c r="B68" s="63">
        <v>49</v>
      </c>
      <c r="C68" s="114" t="s">
        <v>1504</v>
      </c>
      <c r="D68" s="117" t="s">
        <v>1563</v>
      </c>
      <c r="E68" s="243" t="s">
        <v>1610</v>
      </c>
      <c r="F68" s="263">
        <f>ROUND('④-3 노동리 작업일수'!O94/$Z$9,1)</f>
        <v>16.5</v>
      </c>
      <c r="G68" s="7" t="s">
        <v>1507</v>
      </c>
      <c r="H68" s="269">
        <f t="shared" si="22"/>
        <v>5.5E-2</v>
      </c>
      <c r="I68" s="273">
        <f t="shared" si="31"/>
        <v>1</v>
      </c>
      <c r="J68" s="274">
        <f t="shared" si="23"/>
        <v>11.9</v>
      </c>
      <c r="K68" s="30">
        <f t="shared" si="24"/>
        <v>28.4</v>
      </c>
      <c r="L68" s="32">
        <f t="shared" si="25"/>
        <v>578</v>
      </c>
      <c r="M68" s="30">
        <f t="shared" si="26"/>
        <v>770.2</v>
      </c>
      <c r="N68" s="245">
        <f t="shared" si="27"/>
        <v>47268</v>
      </c>
      <c r="O68" s="246">
        <f t="shared" si="28"/>
        <v>47460.2</v>
      </c>
      <c r="P68" s="121"/>
      <c r="Q68" s="413">
        <f t="shared" si="29"/>
        <v>762</v>
      </c>
      <c r="R68" s="187">
        <f>COUNTIF('⑤-1 동절기순연축'!$F$5:$F$124,"&lt;"&amp;$Q68)+1</f>
        <v>34</v>
      </c>
      <c r="S68" s="397" cm="1">
        <f t="array" ref="S68">INDEX('⑤-1 동절기순연축'!$B$5:$B$124,$R68)+$Q68-INDEX('⑤-1 동절기순연축'!$F$5:$F$124,$R68)+INDEX('⑤-1 동절기순연축'!$E$5:$E$124,$R68)-1</f>
        <v>47389</v>
      </c>
      <c r="T68" s="415">
        <f t="shared" si="30"/>
        <v>954.2</v>
      </c>
      <c r="U68" s="188">
        <f>COUNTIF('⑤-1 동절기순연축'!$F$5:$F$124,"&lt;"&amp;$T68)+1</f>
        <v>44</v>
      </c>
      <c r="V68" s="397" cm="1">
        <f t="array" ref="V68">IF($AF68="Y",$S68+$K68-1,INDEX('⑤-1 동절기순연축'!$B$5:$B$124,$U68)+$T68-INDEX('⑤-1 동절기순연축'!$F$5:$F$124,$U68)+INDEX('⑤-1 동절기순연축'!$E$5:$E$124,$U68)-1)</f>
        <v>47671.199999999997</v>
      </c>
      <c r="W68" s="417">
        <f t="shared" si="32"/>
        <v>283.19999999999709</v>
      </c>
      <c r="X68" s="419"/>
      <c r="AA68" t="s">
        <v>1717</v>
      </c>
      <c r="AB68">
        <v>46</v>
      </c>
      <c r="AD68">
        <v>53</v>
      </c>
      <c r="AE68">
        <f>$Z$39</f>
        <v>0.6</v>
      </c>
    </row>
    <row r="69" spans="2:31" ht="15">
      <c r="B69" s="63">
        <v>50</v>
      </c>
      <c r="C69" s="114" t="s">
        <v>1504</v>
      </c>
      <c r="D69" s="117" t="s">
        <v>1564</v>
      </c>
      <c r="E69" s="254" t="s">
        <v>1611</v>
      </c>
      <c r="F69" s="263">
        <f>ROUND('④-3 노동리 작업일수'!O100/$Z$9,1)</f>
        <v>54.3</v>
      </c>
      <c r="G69" s="7" t="s">
        <v>808</v>
      </c>
      <c r="H69" s="269">
        <f t="shared" si="22"/>
        <v>8.2500000000000004E-2</v>
      </c>
      <c r="I69" s="273">
        <f t="shared" si="31"/>
        <v>1</v>
      </c>
      <c r="J69" s="274">
        <f t="shared" si="23"/>
        <v>39.299999999999997</v>
      </c>
      <c r="K69" s="30">
        <f t="shared" si="24"/>
        <v>93.6</v>
      </c>
      <c r="L69" s="32">
        <f t="shared" si="25"/>
        <v>604</v>
      </c>
      <c r="M69" s="30">
        <f t="shared" si="26"/>
        <v>696.6</v>
      </c>
      <c r="N69" s="245">
        <f t="shared" si="27"/>
        <v>47294</v>
      </c>
      <c r="O69" s="246">
        <f t="shared" si="28"/>
        <v>47386.6</v>
      </c>
      <c r="P69" s="121"/>
      <c r="Q69" s="413">
        <f t="shared" si="29"/>
        <v>788</v>
      </c>
      <c r="R69" s="187">
        <f>COUNTIF('⑤-1 동절기순연축'!$F$5:$F$124,"&lt;"&amp;$Q69)+1</f>
        <v>35</v>
      </c>
      <c r="S69" s="397" cm="1">
        <f t="array" ref="S69">INDEX('⑤-1 동절기순연축'!$B$5:$B$124,$R69)+$Q69-INDEX('⑤-1 동절기순연축'!$F$5:$F$124,$R69)+INDEX('⑤-1 동절기순연축'!$E$5:$E$124,$R69)-1</f>
        <v>47415</v>
      </c>
      <c r="T69" s="415">
        <f t="shared" si="30"/>
        <v>880.6</v>
      </c>
      <c r="U69" s="188">
        <f>COUNTIF('⑤-1 동절기순연축'!$F$5:$F$124,"&lt;"&amp;$T69)+1</f>
        <v>41</v>
      </c>
      <c r="V69" s="397" cm="1">
        <f t="array" ref="V69">IF($AF69="Y",$S69+$K69-1,INDEX('⑤-1 동절기순연축'!$B$5:$B$124,$U69)+$T69-INDEX('⑤-1 동절기순연축'!$F$5:$F$124,$U69)+INDEX('⑤-1 동절기순연축'!$E$5:$E$124,$U69)-1)</f>
        <v>47597.599999999999</v>
      </c>
      <c r="W69" s="417">
        <f t="shared" si="32"/>
        <v>183.59999999999854</v>
      </c>
      <c r="X69" s="419"/>
      <c r="AA69" t="s">
        <v>1717</v>
      </c>
      <c r="AB69">
        <v>49</v>
      </c>
    </row>
    <row r="70" spans="2:31" ht="15">
      <c r="B70" s="63">
        <v>51</v>
      </c>
      <c r="C70" s="114" t="s">
        <v>1504</v>
      </c>
      <c r="D70" s="117" t="s">
        <v>1565</v>
      </c>
      <c r="E70" s="254" t="s">
        <v>1612</v>
      </c>
      <c r="F70" s="263">
        <f>ROUND('④-3 노동리 작업일수'!O108/$Z$9,1)</f>
        <v>14.2</v>
      </c>
      <c r="G70" s="7" t="s">
        <v>808</v>
      </c>
      <c r="H70" s="269">
        <f t="shared" si="22"/>
        <v>8.2500000000000004E-2</v>
      </c>
      <c r="I70" s="273">
        <f t="shared" si="31"/>
        <v>1</v>
      </c>
      <c r="J70" s="274">
        <f t="shared" si="23"/>
        <v>10.3</v>
      </c>
      <c r="K70" s="30">
        <f t="shared" si="24"/>
        <v>24.5</v>
      </c>
      <c r="L70" s="32">
        <f t="shared" si="25"/>
        <v>690</v>
      </c>
      <c r="M70" s="30">
        <f t="shared" si="26"/>
        <v>713.5</v>
      </c>
      <c r="N70" s="245">
        <f t="shared" si="27"/>
        <v>47380</v>
      </c>
      <c r="O70" s="246">
        <f t="shared" si="28"/>
        <v>47403.5</v>
      </c>
      <c r="P70" s="121"/>
      <c r="Q70" s="413">
        <f t="shared" si="29"/>
        <v>874</v>
      </c>
      <c r="R70" s="187">
        <f>COUNTIF('⑤-1 동절기순연축'!$F$5:$F$124,"&lt;"&amp;$Q70)+1</f>
        <v>41</v>
      </c>
      <c r="S70" s="397" cm="1">
        <f t="array" ref="S70">INDEX('⑤-1 동절기순연축'!$B$5:$B$124,$R70)+$Q70-INDEX('⑤-1 동절기순연축'!$F$5:$F$124,$R70)+INDEX('⑤-1 동절기순연축'!$E$5:$E$124,$R70)-1</f>
        <v>47591</v>
      </c>
      <c r="T70" s="415">
        <f t="shared" si="30"/>
        <v>897.5</v>
      </c>
      <c r="U70" s="188">
        <f>COUNTIF('⑤-1 동절기순연축'!$F$5:$F$124,"&lt;"&amp;$T70)+1</f>
        <v>42</v>
      </c>
      <c r="V70" s="397" cm="1">
        <f t="array" ref="V70">IF($AF70="Y",$S70+$K70-1,INDEX('⑤-1 동절기순연축'!$B$5:$B$124,$U70)+$T70-INDEX('⑤-1 동절기순연축'!$F$5:$F$124,$U70)+INDEX('⑤-1 동절기순연축'!$E$5:$E$124,$U70)-1)</f>
        <v>47614.5</v>
      </c>
      <c r="W70" s="417">
        <f t="shared" si="32"/>
        <v>24.5</v>
      </c>
      <c r="X70" s="419"/>
      <c r="AA70" t="s">
        <v>1717</v>
      </c>
      <c r="AB70">
        <v>50</v>
      </c>
    </row>
    <row r="71" spans="2:31" ht="15">
      <c r="B71" s="63">
        <v>52</v>
      </c>
      <c r="C71" s="114" t="s">
        <v>1504</v>
      </c>
      <c r="D71" s="117" t="s">
        <v>1566</v>
      </c>
      <c r="E71" s="254" t="s">
        <v>1613</v>
      </c>
      <c r="F71" s="263">
        <f>ROUND('④-3 노동리 작업일수'!O117/$Z$9,1)</f>
        <v>23.4</v>
      </c>
      <c r="G71" s="7" t="s">
        <v>1507</v>
      </c>
      <c r="H71" s="269">
        <f t="shared" si="22"/>
        <v>5.5E-2</v>
      </c>
      <c r="I71" s="273">
        <f t="shared" si="31"/>
        <v>1</v>
      </c>
      <c r="J71" s="274">
        <f t="shared" si="23"/>
        <v>16.899999999999999</v>
      </c>
      <c r="K71" s="30">
        <f t="shared" si="24"/>
        <v>40.299999999999997</v>
      </c>
      <c r="L71" s="32">
        <f t="shared" si="25"/>
        <v>713</v>
      </c>
      <c r="M71" s="30">
        <f t="shared" si="26"/>
        <v>752.3</v>
      </c>
      <c r="N71" s="245">
        <f t="shared" si="27"/>
        <v>47403</v>
      </c>
      <c r="O71" s="246">
        <f t="shared" si="28"/>
        <v>47442.3</v>
      </c>
      <c r="P71" s="121"/>
      <c r="Q71" s="413">
        <f t="shared" si="29"/>
        <v>897</v>
      </c>
      <c r="R71" s="187">
        <f>COUNTIF('⑤-1 동절기순연축'!$F$5:$F$124,"&lt;"&amp;$Q71)+1</f>
        <v>42</v>
      </c>
      <c r="S71" s="397" cm="1">
        <f t="array" ref="S71">INDEX('⑤-1 동절기순연축'!$B$5:$B$124,$R71)+$Q71-INDEX('⑤-1 동절기순연축'!$F$5:$F$124,$R71)+INDEX('⑤-1 동절기순연축'!$E$5:$E$124,$R71)-1</f>
        <v>47614</v>
      </c>
      <c r="T71" s="415">
        <f t="shared" si="30"/>
        <v>936.3</v>
      </c>
      <c r="U71" s="188">
        <f>COUNTIF('⑤-1 동절기순연축'!$F$5:$F$124,"&lt;"&amp;$T71)+1</f>
        <v>43</v>
      </c>
      <c r="V71" s="397" cm="1">
        <f t="array" ref="V71">IF($AF71="Y",$S71+$K71-1,INDEX('⑤-1 동절기순연축'!$B$5:$B$124,$U71)+$T71-INDEX('⑤-1 동절기순연축'!$F$5:$F$124,$U71)+INDEX('⑤-1 동절기순연축'!$E$5:$E$124,$U71)-1)</f>
        <v>47653.3</v>
      </c>
      <c r="W71" s="417">
        <f t="shared" si="32"/>
        <v>40.30000000000291</v>
      </c>
      <c r="X71" s="419"/>
      <c r="AA71" t="s">
        <v>1717</v>
      </c>
      <c r="AB71">
        <v>51</v>
      </c>
    </row>
    <row r="72" spans="2:31" ht="15">
      <c r="B72" s="63">
        <v>53</v>
      </c>
      <c r="C72" s="147" t="s">
        <v>1504</v>
      </c>
      <c r="D72" s="169" t="s">
        <v>1567</v>
      </c>
      <c r="E72" s="255" t="s">
        <v>1614</v>
      </c>
      <c r="F72" s="266">
        <f>ROUND('④-3 노동리 작업일수'!O127/$Z$9,1)</f>
        <v>12.3</v>
      </c>
      <c r="G72" s="170" t="s">
        <v>808</v>
      </c>
      <c r="H72" s="271">
        <f t="shared" si="22"/>
        <v>8.2500000000000004E-2</v>
      </c>
      <c r="I72" s="276">
        <f t="shared" si="31"/>
        <v>1</v>
      </c>
      <c r="J72" s="277">
        <f t="shared" si="23"/>
        <v>8.9</v>
      </c>
      <c r="K72" s="278">
        <f t="shared" si="24"/>
        <v>21.200000000000003</v>
      </c>
      <c r="L72" s="279">
        <f t="shared" si="25"/>
        <v>750</v>
      </c>
      <c r="M72" s="278">
        <f t="shared" si="26"/>
        <v>770.2</v>
      </c>
      <c r="N72" s="256">
        <f t="shared" si="27"/>
        <v>47440</v>
      </c>
      <c r="O72" s="257">
        <f t="shared" si="28"/>
        <v>47460.2</v>
      </c>
      <c r="P72" s="174"/>
      <c r="Q72" s="413">
        <f t="shared" si="29"/>
        <v>934</v>
      </c>
      <c r="R72" s="187">
        <f>COUNTIF('⑤-1 동절기순연축'!$F$5:$F$124,"&lt;"&amp;$Q72)+1</f>
        <v>43</v>
      </c>
      <c r="S72" s="397" cm="1">
        <f t="array" ref="S72">INDEX('⑤-1 동절기순연축'!$B$5:$B$124,$R72)+$Q72-INDEX('⑤-1 동절기순연축'!$F$5:$F$124,$R72)+INDEX('⑤-1 동절기순연축'!$E$5:$E$124,$R72)-1</f>
        <v>47651</v>
      </c>
      <c r="T72" s="415">
        <f t="shared" si="30"/>
        <v>954.2</v>
      </c>
      <c r="U72" s="188">
        <f>COUNTIF('⑤-1 동절기순연축'!$F$5:$F$124,"&lt;"&amp;$T72)+1</f>
        <v>44</v>
      </c>
      <c r="V72" s="397" cm="1">
        <f t="array" ref="V72">IF($AF72="Y",$S72+$K72-1,INDEX('⑤-1 동절기순연축'!$B$5:$B$124,$U72)+$T72-INDEX('⑤-1 동절기순연축'!$F$5:$F$124,$U72)+INDEX('⑤-1 동절기순연축'!$E$5:$E$124,$U72)-1)</f>
        <v>47671.199999999997</v>
      </c>
      <c r="W72" s="417">
        <f t="shared" si="32"/>
        <v>21.19999999999709</v>
      </c>
      <c r="X72" s="419"/>
      <c r="AA72" t="s">
        <v>1717</v>
      </c>
      <c r="AB72">
        <v>52</v>
      </c>
    </row>
    <row r="73" spans="2:31" ht="15">
      <c r="B73" s="63">
        <v>54</v>
      </c>
      <c r="C73" s="114" t="s">
        <v>1504</v>
      </c>
      <c r="D73" s="117" t="s">
        <v>1541</v>
      </c>
      <c r="E73" s="254" t="s">
        <v>1615</v>
      </c>
      <c r="F73" s="263">
        <f>ROUND('④-3 노동리 작업일수'!O129/$Z$9,1)</f>
        <v>10.8</v>
      </c>
      <c r="G73" s="7" t="s">
        <v>1507</v>
      </c>
      <c r="H73" s="269">
        <f t="shared" si="22"/>
        <v>5.5E-2</v>
      </c>
      <c r="I73" s="273">
        <f t="shared" si="31"/>
        <v>1</v>
      </c>
      <c r="J73" s="274">
        <f t="shared" si="23"/>
        <v>7.8</v>
      </c>
      <c r="K73" s="30">
        <f t="shared" si="24"/>
        <v>18.600000000000001</v>
      </c>
      <c r="L73" s="32">
        <f t="shared" si="25"/>
        <v>578</v>
      </c>
      <c r="M73" s="30">
        <f t="shared" si="26"/>
        <v>770.2</v>
      </c>
      <c r="N73" s="245">
        <f t="shared" si="27"/>
        <v>47268</v>
      </c>
      <c r="O73" s="246">
        <f t="shared" si="28"/>
        <v>47460.2</v>
      </c>
      <c r="P73" s="121"/>
      <c r="Q73" s="413">
        <f t="shared" si="29"/>
        <v>762</v>
      </c>
      <c r="R73" s="187">
        <f>COUNTIF('⑤-1 동절기순연축'!$F$5:$F$124,"&lt;"&amp;$Q73)+1</f>
        <v>34</v>
      </c>
      <c r="S73" s="397" cm="1">
        <f t="array" ref="S73">INDEX('⑤-1 동절기순연축'!$B$5:$B$124,$R73)+$Q73-INDEX('⑤-1 동절기순연축'!$F$5:$F$124,$R73)+INDEX('⑤-1 동절기순연축'!$E$5:$E$124,$R73)-1</f>
        <v>47389</v>
      </c>
      <c r="T73" s="415">
        <f t="shared" si="30"/>
        <v>954.2</v>
      </c>
      <c r="U73" s="188">
        <f>COUNTIF('⑤-1 동절기순연축'!$F$5:$F$124,"&lt;"&amp;$T73)+1</f>
        <v>44</v>
      </c>
      <c r="V73" s="397" cm="1">
        <f t="array" ref="V73">IF($AF73="Y",$S73+$K73-1,INDEX('⑤-1 동절기순연축'!$B$5:$B$124,$U73)+$T73-INDEX('⑤-1 동절기순연축'!$F$5:$F$124,$U73)+INDEX('⑤-1 동절기순연축'!$E$5:$E$124,$U73)-1)</f>
        <v>47671.199999999997</v>
      </c>
      <c r="W73" s="417">
        <f t="shared" si="32"/>
        <v>283.19999999999709</v>
      </c>
      <c r="X73" s="419"/>
      <c r="AA73" t="s">
        <v>1717</v>
      </c>
      <c r="AB73">
        <v>49</v>
      </c>
      <c r="AD73">
        <v>58</v>
      </c>
      <c r="AE73">
        <v>0</v>
      </c>
    </row>
    <row r="74" spans="2:31" ht="15">
      <c r="B74" s="63">
        <v>55</v>
      </c>
      <c r="C74" s="114" t="s">
        <v>1504</v>
      </c>
      <c r="D74" s="117" t="s">
        <v>1568</v>
      </c>
      <c r="E74" s="254" t="s">
        <v>1616</v>
      </c>
      <c r="F74" s="263">
        <f>ROUND('④-3 노동리 작업일수'!O134/$Z$9,1)</f>
        <v>30.5</v>
      </c>
      <c r="G74" s="7" t="s">
        <v>808</v>
      </c>
      <c r="H74" s="269">
        <f t="shared" si="22"/>
        <v>8.2500000000000004E-2</v>
      </c>
      <c r="I74" s="273">
        <f t="shared" si="31"/>
        <v>1</v>
      </c>
      <c r="J74" s="274">
        <f t="shared" si="23"/>
        <v>22.1</v>
      </c>
      <c r="K74" s="30">
        <f t="shared" si="24"/>
        <v>52.6</v>
      </c>
      <c r="L74" s="32">
        <f t="shared" si="25"/>
        <v>595</v>
      </c>
      <c r="M74" s="30">
        <f t="shared" si="26"/>
        <v>646.6</v>
      </c>
      <c r="N74" s="245">
        <f t="shared" si="27"/>
        <v>47285</v>
      </c>
      <c r="O74" s="246">
        <f t="shared" si="28"/>
        <v>47336.6</v>
      </c>
      <c r="P74" s="121"/>
      <c r="Q74" s="413">
        <f t="shared" si="29"/>
        <v>779</v>
      </c>
      <c r="R74" s="187">
        <f>COUNTIF('⑤-1 동절기순연축'!$F$5:$F$124,"&lt;"&amp;$Q74)+1</f>
        <v>35</v>
      </c>
      <c r="S74" s="397" cm="1">
        <f t="array" ref="S74">INDEX('⑤-1 동절기순연축'!$B$5:$B$124,$R74)+$Q74-INDEX('⑤-1 동절기순연축'!$F$5:$F$124,$R74)+INDEX('⑤-1 동절기순연축'!$E$5:$E$124,$R74)-1</f>
        <v>47406</v>
      </c>
      <c r="T74" s="415">
        <f t="shared" si="30"/>
        <v>830.6</v>
      </c>
      <c r="U74" s="188">
        <f>COUNTIF('⑤-1 동절기순연축'!$F$5:$F$124,"&lt;"&amp;$T74)+1</f>
        <v>40</v>
      </c>
      <c r="V74" s="397" cm="1">
        <f t="array" ref="V74">IF($AF74="Y",$S74+$K74-1,INDEX('⑤-1 동절기순연축'!$B$5:$B$124,$U74)+$T74-INDEX('⑤-1 동절기순연축'!$F$5:$F$124,$U74)+INDEX('⑤-1 동절기순연축'!$E$5:$E$124,$U74)-1)</f>
        <v>47547.6</v>
      </c>
      <c r="W74" s="417">
        <f t="shared" si="32"/>
        <v>142.59999999999854</v>
      </c>
      <c r="X74" s="419"/>
      <c r="AA74" t="s">
        <v>1717</v>
      </c>
      <c r="AB74">
        <v>54</v>
      </c>
    </row>
    <row r="75" spans="2:31" ht="15">
      <c r="B75" s="63">
        <v>56</v>
      </c>
      <c r="C75" s="114" t="s">
        <v>1504</v>
      </c>
      <c r="D75" s="117" t="s">
        <v>1569</v>
      </c>
      <c r="E75" s="254" t="s">
        <v>1617</v>
      </c>
      <c r="F75" s="263">
        <f>ROUND('④-3 노동리 작업일수'!O138/$Z$9,1)</f>
        <v>6.5</v>
      </c>
      <c r="G75" s="7" t="s">
        <v>808</v>
      </c>
      <c r="H75" s="269">
        <f t="shared" si="22"/>
        <v>8.2500000000000004E-2</v>
      </c>
      <c r="I75" s="273">
        <f t="shared" si="31"/>
        <v>1</v>
      </c>
      <c r="J75" s="274">
        <f t="shared" si="23"/>
        <v>4.7</v>
      </c>
      <c r="K75" s="30">
        <f t="shared" si="24"/>
        <v>11.2</v>
      </c>
      <c r="L75" s="32">
        <f t="shared" si="25"/>
        <v>643</v>
      </c>
      <c r="M75" s="30">
        <f t="shared" si="26"/>
        <v>653.20000000000005</v>
      </c>
      <c r="N75" s="245">
        <f t="shared" si="27"/>
        <v>47333</v>
      </c>
      <c r="O75" s="246">
        <f t="shared" si="28"/>
        <v>47343.199999999997</v>
      </c>
      <c r="P75" s="121"/>
      <c r="Q75" s="413">
        <f t="shared" si="29"/>
        <v>827</v>
      </c>
      <c r="R75" s="187">
        <f>COUNTIF('⑤-1 동절기순연축'!$F$5:$F$124,"&lt;"&amp;$Q75)+1</f>
        <v>40</v>
      </c>
      <c r="S75" s="397" cm="1">
        <f t="array" ref="S75">INDEX('⑤-1 동절기순연축'!$B$5:$B$124,$R75)+$Q75-INDEX('⑤-1 동절기순연축'!$F$5:$F$124,$R75)+INDEX('⑤-1 동절기순연축'!$E$5:$E$124,$R75)-1</f>
        <v>47544</v>
      </c>
      <c r="T75" s="415">
        <f t="shared" si="30"/>
        <v>837.2</v>
      </c>
      <c r="U75" s="188">
        <f>COUNTIF('⑤-1 동절기순연축'!$F$5:$F$124,"&lt;"&amp;$T75)+1</f>
        <v>40</v>
      </c>
      <c r="V75" s="397" cm="1">
        <f t="array" ref="V75">IF($AF75="Y",$S75+$K75-1,INDEX('⑤-1 동절기순연축'!$B$5:$B$124,$U75)+$T75-INDEX('⑤-1 동절기순연축'!$F$5:$F$124,$U75)+INDEX('⑤-1 동절기순연축'!$E$5:$E$124,$U75)-1)</f>
        <v>47554.2</v>
      </c>
      <c r="W75" s="417">
        <f t="shared" si="32"/>
        <v>11.19999999999709</v>
      </c>
      <c r="X75" s="419"/>
      <c r="AA75" t="s">
        <v>1717</v>
      </c>
      <c r="AB75">
        <v>55</v>
      </c>
    </row>
    <row r="76" spans="2:31" ht="15">
      <c r="B76" s="63">
        <v>57</v>
      </c>
      <c r="C76" s="114" t="s">
        <v>1504</v>
      </c>
      <c r="D76" s="117" t="s">
        <v>1545</v>
      </c>
      <c r="E76" s="254" t="s">
        <v>1618</v>
      </c>
      <c r="F76" s="263">
        <f>ROUND('④-3 노동리 작업일수'!O142/$Z$9,1)</f>
        <v>14.3</v>
      </c>
      <c r="G76" s="7" t="s">
        <v>1507</v>
      </c>
      <c r="H76" s="269">
        <f t="shared" si="22"/>
        <v>5.5E-2</v>
      </c>
      <c r="I76" s="273">
        <f t="shared" si="31"/>
        <v>0</v>
      </c>
      <c r="J76" s="274">
        <f t="shared" si="23"/>
        <v>10.3</v>
      </c>
      <c r="K76" s="30">
        <f t="shared" si="24"/>
        <v>24.6</v>
      </c>
      <c r="L76" s="32">
        <f t="shared" si="25"/>
        <v>654</v>
      </c>
      <c r="M76" s="30">
        <f t="shared" si="26"/>
        <v>752.3</v>
      </c>
      <c r="N76" s="245">
        <f t="shared" si="27"/>
        <v>47344</v>
      </c>
      <c r="O76" s="246">
        <f t="shared" si="28"/>
        <v>47442.3</v>
      </c>
      <c r="P76" s="121"/>
      <c r="Q76" s="413">
        <f t="shared" si="29"/>
        <v>838</v>
      </c>
      <c r="R76" s="187">
        <f>COUNTIF('⑤-1 동절기순연축'!$F$5:$F$124,"&lt;"&amp;$Q76)+1</f>
        <v>40</v>
      </c>
      <c r="S76" s="397" cm="1">
        <f t="array" ref="S76">INDEX('⑤-1 동절기순연축'!$B$5:$B$124,$R76)+$Q76-INDEX('⑤-1 동절기순연축'!$F$5:$F$124,$R76)+INDEX('⑤-1 동절기순연축'!$E$5:$E$124,$R76)-1</f>
        <v>47555</v>
      </c>
      <c r="T76" s="415">
        <f t="shared" si="30"/>
        <v>936.3</v>
      </c>
      <c r="U76" s="188">
        <f>COUNTIF('⑤-1 동절기순연축'!$F$5:$F$124,"&lt;"&amp;$T76)+1</f>
        <v>43</v>
      </c>
      <c r="V76" s="397" cm="1">
        <f t="array" ref="V76">IF($AF76="Y",$S76+$K76-1,INDEX('⑤-1 동절기순연축'!$B$5:$B$124,$U76)+$T76-INDEX('⑤-1 동절기순연축'!$F$5:$F$124,$U76)+INDEX('⑤-1 동절기순연축'!$E$5:$E$124,$U76)-1)</f>
        <v>47653.3</v>
      </c>
      <c r="W76" s="417">
        <f t="shared" si="32"/>
        <v>99.30000000000291</v>
      </c>
      <c r="X76" s="419"/>
      <c r="AA76" t="s">
        <v>1717</v>
      </c>
      <c r="AB76">
        <v>56</v>
      </c>
      <c r="AD76">
        <v>52</v>
      </c>
    </row>
    <row r="77" spans="2:31" ht="15">
      <c r="B77" s="63">
        <v>58</v>
      </c>
      <c r="C77" s="114" t="s">
        <v>1504</v>
      </c>
      <c r="D77" s="117" t="s">
        <v>1546</v>
      </c>
      <c r="E77" s="254" t="s">
        <v>1619</v>
      </c>
      <c r="F77" s="263">
        <f>ROUND('④-3 노동리 작업일수'!O149/$Z$9,1)</f>
        <v>27.7</v>
      </c>
      <c r="G77" s="7" t="s">
        <v>808</v>
      </c>
      <c r="H77" s="269">
        <f t="shared" si="22"/>
        <v>8.2500000000000004E-2</v>
      </c>
      <c r="I77" s="273">
        <f t="shared" si="31"/>
        <v>1</v>
      </c>
      <c r="J77" s="274">
        <f t="shared" si="23"/>
        <v>20</v>
      </c>
      <c r="K77" s="30">
        <f t="shared" si="24"/>
        <v>47.7</v>
      </c>
      <c r="L77" s="32">
        <f t="shared" si="25"/>
        <v>677</v>
      </c>
      <c r="M77" s="30">
        <f t="shared" si="26"/>
        <v>770.2</v>
      </c>
      <c r="N77" s="245">
        <f t="shared" si="27"/>
        <v>47367</v>
      </c>
      <c r="O77" s="246">
        <f t="shared" si="28"/>
        <v>47460.2</v>
      </c>
      <c r="P77" s="121"/>
      <c r="Q77" s="413">
        <f t="shared" si="29"/>
        <v>861</v>
      </c>
      <c r="R77" s="187">
        <f>COUNTIF('⑤-1 동절기순연축'!$F$5:$F$124,"&lt;"&amp;$Q77)+1</f>
        <v>41</v>
      </c>
      <c r="S77" s="397" cm="1">
        <f t="array" ref="S77">INDEX('⑤-1 동절기순연축'!$B$5:$B$124,$R77)+$Q77-INDEX('⑤-1 동절기순연축'!$F$5:$F$124,$R77)+INDEX('⑤-1 동절기순연축'!$E$5:$E$124,$R77)-1</f>
        <v>47578</v>
      </c>
      <c r="T77" s="415">
        <f t="shared" si="30"/>
        <v>954.2</v>
      </c>
      <c r="U77" s="188">
        <f>COUNTIF('⑤-1 동절기순연축'!$F$5:$F$124,"&lt;"&amp;$T77)+1</f>
        <v>44</v>
      </c>
      <c r="V77" s="397" cm="1">
        <f t="array" ref="V77">IF($AF77="Y",$S77+$K77-1,INDEX('⑤-1 동절기순연축'!$B$5:$B$124,$U77)+$T77-INDEX('⑤-1 동절기순연축'!$F$5:$F$124,$U77)+INDEX('⑤-1 동절기순연축'!$E$5:$E$124,$U77)-1)</f>
        <v>47671.199999999997</v>
      </c>
      <c r="W77" s="417">
        <f t="shared" si="32"/>
        <v>94.19999999999709</v>
      </c>
      <c r="X77" s="419"/>
      <c r="Y77" s="191"/>
      <c r="AA77" t="s">
        <v>1717</v>
      </c>
      <c r="AB77">
        <v>57</v>
      </c>
      <c r="AD77">
        <v>53</v>
      </c>
    </row>
    <row r="78" spans="2:31" ht="46.3">
      <c r="B78" s="63"/>
      <c r="C78" s="247" t="s">
        <v>1570</v>
      </c>
      <c r="D78" s="248"/>
      <c r="E78" s="247"/>
      <c r="F78" s="264">
        <f>SUM(F60:F77)</f>
        <v>740.49999999999989</v>
      </c>
      <c r="G78" s="265"/>
      <c r="H78" s="270"/>
      <c r="I78" s="275">
        <f>SUM(I60:I77)</f>
        <v>37</v>
      </c>
      <c r="J78" s="274">
        <f>SUM(J60:J77)</f>
        <v>535.70000000000005</v>
      </c>
      <c r="K78" s="274">
        <f>SUM(K60:K77)</f>
        <v>1276.1999999999998</v>
      </c>
      <c r="L78" s="32"/>
      <c r="M78" s="274">
        <f>MAX(M60:M77)</f>
        <v>850.2</v>
      </c>
      <c r="N78" s="250">
        <f>MIN(N60:N77)</f>
        <v>46691</v>
      </c>
      <c r="O78" s="251">
        <f>MAX(O60:O77)</f>
        <v>47540.2</v>
      </c>
      <c r="P78" s="252" t="s">
        <v>1548</v>
      </c>
      <c r="Q78" s="192"/>
      <c r="R78" s="193"/>
      <c r="S78" s="398">
        <f>$C$8</f>
        <v>46631</v>
      </c>
      <c r="T78" s="416">
        <f t="shared" si="30"/>
        <v>1034.2</v>
      </c>
      <c r="U78" s="195">
        <f>COUNTIF('⑤-1 동절기순연축'!$F$5:$F$124,"&lt;"&amp;$T78)+1</f>
        <v>46</v>
      </c>
      <c r="V78" s="398">
        <f>MAX($V$60:$V$77)</f>
        <v>47751.199999999997</v>
      </c>
      <c r="W78" s="417">
        <f>$V78-$S78+1</f>
        <v>1121.1999999999971</v>
      </c>
      <c r="X78" s="419"/>
    </row>
    <row r="79" spans="2:31" ht="17.600000000000001">
      <c r="B79" s="63"/>
      <c r="C79" s="114"/>
      <c r="D79" s="117"/>
      <c r="E79" s="114"/>
      <c r="F79" s="263"/>
      <c r="G79" s="7"/>
      <c r="H79" s="269"/>
      <c r="I79" s="273"/>
      <c r="J79" s="274"/>
      <c r="K79" s="30"/>
      <c r="L79" s="32"/>
      <c r="M79" s="30"/>
      <c r="N79" s="245"/>
      <c r="O79" s="246"/>
      <c r="P79" s="121"/>
      <c r="Q79" s="192"/>
      <c r="R79" s="193"/>
      <c r="S79" s="398"/>
      <c r="T79" s="194"/>
      <c r="U79" s="195"/>
      <c r="V79" s="398"/>
      <c r="W79" s="417"/>
      <c r="X79" s="419"/>
      <c r="Y79" s="191"/>
    </row>
    <row r="80" spans="2:31" ht="30">
      <c r="B80" s="63"/>
      <c r="C80" s="258" t="s">
        <v>1571</v>
      </c>
      <c r="D80" s="259"/>
      <c r="E80" s="258"/>
      <c r="F80" s="267">
        <f>F43+F58+F78</f>
        <v>1882.8000000000002</v>
      </c>
      <c r="G80" s="268"/>
      <c r="H80" s="272"/>
      <c r="I80" s="280"/>
      <c r="J80" s="277">
        <f>J43+J58+J78</f>
        <v>1362.4</v>
      </c>
      <c r="K80" s="277">
        <f>K43+K58+K78</f>
        <v>3245.2</v>
      </c>
      <c r="L80" s="279"/>
      <c r="M80" s="277"/>
      <c r="N80" s="260">
        <f>MIN(N43,N58,N78)</f>
        <v>46417</v>
      </c>
      <c r="O80" s="261">
        <f>MAX(O43,O58,O78)</f>
        <v>47540.2</v>
      </c>
      <c r="P80" s="262"/>
      <c r="Q80" s="143"/>
      <c r="R80" s="136"/>
      <c r="S80" s="399">
        <f>MIN($S$43,$S$58,$S$78)</f>
        <v>46357</v>
      </c>
      <c r="T80" s="74"/>
      <c r="U80" s="75"/>
      <c r="V80" s="399">
        <f>MAX($V$43,$V$58,$V$78)+①공사개요!$C$15</f>
        <v>47781.2</v>
      </c>
      <c r="W80" s="418">
        <f>$V80-$S80+1</f>
        <v>1425.1999999999971</v>
      </c>
      <c r="X80" s="420"/>
      <c r="Y80" s="191"/>
    </row>
    <row r="81" spans="2:22" ht="17.600000000000001">
      <c r="B81" s="63"/>
      <c r="C81" s="114"/>
      <c r="D81" s="117"/>
      <c r="E81" s="208"/>
      <c r="F81" s="202"/>
      <c r="G81" s="7"/>
      <c r="H81" s="7"/>
      <c r="I81" s="115"/>
      <c r="J81" s="116"/>
      <c r="K81" s="120"/>
      <c r="L81" s="142"/>
      <c r="M81" s="122"/>
      <c r="N81" s="122"/>
      <c r="O81" s="121"/>
      <c r="P81" s="121"/>
      <c r="Q81" s="181"/>
      <c r="R81" s="182"/>
      <c r="S81" s="183"/>
      <c r="T81" s="184"/>
      <c r="U81" s="185"/>
      <c r="V81" s="185"/>
    </row>
    <row r="82" spans="2:22" ht="15">
      <c r="B82" s="63"/>
      <c r="C82" s="114"/>
      <c r="D82" s="117"/>
      <c r="E82" s="209"/>
      <c r="F82" s="202"/>
      <c r="G82" s="7"/>
      <c r="H82" s="7"/>
      <c r="I82" s="115"/>
      <c r="J82" s="116"/>
      <c r="K82" s="120"/>
      <c r="L82" s="142"/>
      <c r="M82" s="122"/>
      <c r="N82" s="122"/>
      <c r="O82" s="121"/>
      <c r="P82" s="121"/>
      <c r="Q82" s="186"/>
      <c r="R82" s="182"/>
      <c r="S82" s="183"/>
      <c r="T82" s="184"/>
      <c r="U82" s="185"/>
      <c r="V82" s="185"/>
    </row>
    <row r="83" spans="2:22" ht="17.600000000000001">
      <c r="B83" s="63"/>
      <c r="C83" s="114"/>
      <c r="D83" s="117"/>
      <c r="E83" s="208"/>
      <c r="F83" s="202"/>
      <c r="G83" s="7"/>
      <c r="H83" s="7"/>
      <c r="I83" s="115"/>
      <c r="J83" s="116"/>
      <c r="K83" s="120"/>
      <c r="L83" s="142"/>
      <c r="M83" s="122"/>
      <c r="N83" s="122"/>
      <c r="O83" s="121"/>
      <c r="P83" s="121"/>
      <c r="Q83" s="181"/>
      <c r="R83" s="182"/>
      <c r="S83" s="183"/>
      <c r="T83" s="184"/>
      <c r="U83" s="185"/>
      <c r="V83" s="185"/>
    </row>
    <row r="84" spans="2:22" ht="15">
      <c r="B84" s="63"/>
      <c r="C84" s="114"/>
      <c r="D84" s="117"/>
      <c r="E84" s="209"/>
      <c r="F84" s="202"/>
      <c r="G84" s="7"/>
      <c r="H84" s="7"/>
      <c r="I84" s="115"/>
      <c r="J84" s="116"/>
      <c r="K84" s="120"/>
      <c r="L84" s="142"/>
      <c r="M84" s="122"/>
      <c r="N84" s="122"/>
      <c r="O84" s="121"/>
      <c r="P84" s="121"/>
      <c r="Q84" s="186"/>
      <c r="R84" s="182"/>
      <c r="S84" s="183"/>
      <c r="T84" s="184"/>
      <c r="U84" s="185"/>
      <c r="V84" s="185"/>
    </row>
    <row r="85" spans="2:22" ht="15">
      <c r="B85" s="63"/>
      <c r="C85" s="114"/>
      <c r="D85" s="117"/>
      <c r="E85" s="208"/>
      <c r="F85" s="202"/>
      <c r="G85" s="7"/>
      <c r="H85" s="7"/>
      <c r="I85" s="115"/>
      <c r="J85" s="116"/>
      <c r="K85" s="120"/>
      <c r="L85" s="142"/>
      <c r="M85" s="122"/>
      <c r="N85" s="122"/>
      <c r="O85" s="121"/>
      <c r="P85" s="121"/>
      <c r="Q85" s="186"/>
      <c r="R85" s="182"/>
      <c r="S85" s="183"/>
      <c r="T85" s="184"/>
      <c r="U85" s="185"/>
      <c r="V85" s="185"/>
    </row>
    <row r="86" spans="2:22" ht="17.600000000000001">
      <c r="B86" s="63"/>
      <c r="C86" s="114"/>
      <c r="D86" s="117"/>
      <c r="E86" s="215"/>
      <c r="F86" s="202"/>
      <c r="G86" s="7"/>
      <c r="H86" s="7"/>
      <c r="I86" s="115"/>
      <c r="J86" s="116"/>
      <c r="K86" s="120"/>
      <c r="L86" s="142"/>
      <c r="M86" s="122"/>
      <c r="N86" s="122"/>
      <c r="O86" s="121"/>
      <c r="P86" s="121"/>
      <c r="Q86" s="181"/>
      <c r="R86" s="182"/>
      <c r="S86" s="183"/>
      <c r="T86" s="184"/>
      <c r="U86" s="185"/>
      <c r="V86" s="185"/>
    </row>
    <row r="87" spans="2:22" ht="15">
      <c r="B87" s="63"/>
      <c r="C87" s="114"/>
      <c r="D87" s="117"/>
      <c r="E87" s="209"/>
      <c r="F87" s="202"/>
      <c r="G87" s="7"/>
      <c r="H87" s="7"/>
      <c r="I87" s="115"/>
      <c r="J87" s="116"/>
      <c r="K87" s="120"/>
      <c r="L87" s="142"/>
      <c r="M87" s="122"/>
      <c r="N87" s="122"/>
      <c r="O87" s="121"/>
      <c r="P87" s="121"/>
      <c r="Q87" s="186"/>
      <c r="R87" s="182"/>
      <c r="S87" s="183"/>
      <c r="T87" s="184"/>
      <c r="U87" s="185"/>
      <c r="V87" s="185"/>
    </row>
    <row r="88" spans="2:22" ht="15">
      <c r="B88" s="63"/>
      <c r="C88" s="114"/>
      <c r="D88" s="117"/>
      <c r="E88" s="208"/>
      <c r="F88" s="202"/>
      <c r="G88" s="7"/>
      <c r="H88" s="7"/>
      <c r="I88" s="115"/>
      <c r="J88" s="116"/>
      <c r="K88" s="120"/>
      <c r="L88" s="142"/>
      <c r="M88" s="122"/>
      <c r="N88" s="122"/>
      <c r="O88" s="121"/>
      <c r="P88" s="121"/>
      <c r="Q88" s="186"/>
      <c r="R88" s="182"/>
      <c r="S88" s="183"/>
      <c r="T88" s="184"/>
      <c r="U88" s="185"/>
      <c r="V88" s="185"/>
    </row>
    <row r="89" spans="2:22" ht="15">
      <c r="B89" s="63"/>
      <c r="C89" s="114"/>
      <c r="D89" s="117"/>
      <c r="E89" s="215"/>
      <c r="F89" s="202"/>
      <c r="G89" s="7"/>
      <c r="H89" s="7"/>
      <c r="I89" s="115"/>
      <c r="J89" s="116"/>
      <c r="K89" s="120"/>
      <c r="L89" s="142"/>
      <c r="M89" s="122"/>
      <c r="N89" s="122"/>
      <c r="O89" s="121"/>
      <c r="P89" s="121"/>
      <c r="Q89" s="186"/>
      <c r="R89" s="182"/>
      <c r="S89" s="183"/>
      <c r="T89" s="184"/>
      <c r="U89" s="185"/>
      <c r="V89" s="185"/>
    </row>
    <row r="90" spans="2:22" ht="15">
      <c r="B90" s="63"/>
      <c r="C90" s="114"/>
      <c r="D90" s="117"/>
      <c r="E90" s="209"/>
      <c r="F90" s="202"/>
      <c r="G90" s="7"/>
      <c r="H90" s="7"/>
      <c r="I90" s="115"/>
      <c r="J90" s="116"/>
      <c r="K90" s="120"/>
      <c r="L90" s="142"/>
      <c r="M90" s="122"/>
      <c r="N90" s="122"/>
      <c r="O90" s="121"/>
      <c r="P90" s="121"/>
      <c r="Q90" s="186"/>
      <c r="R90" s="182"/>
      <c r="S90" s="183"/>
      <c r="T90" s="184"/>
      <c r="U90" s="185"/>
      <c r="V90" s="185"/>
    </row>
    <row r="91" spans="2:22" ht="15">
      <c r="B91" s="63"/>
      <c r="C91" s="114"/>
      <c r="D91" s="117"/>
      <c r="E91" s="208"/>
      <c r="F91" s="202"/>
      <c r="G91" s="7"/>
      <c r="H91" s="7"/>
      <c r="I91" s="115"/>
      <c r="J91" s="116"/>
      <c r="K91" s="120"/>
      <c r="L91" s="142"/>
      <c r="M91" s="122"/>
      <c r="N91" s="122"/>
      <c r="O91" s="121"/>
      <c r="P91" s="121"/>
      <c r="Q91" s="186"/>
      <c r="R91" s="182"/>
      <c r="S91" s="183"/>
      <c r="T91" s="184"/>
      <c r="U91" s="185"/>
      <c r="V91" s="185"/>
    </row>
    <row r="92" spans="2:22" ht="15">
      <c r="B92" s="63"/>
      <c r="C92" s="114"/>
      <c r="D92" s="117"/>
      <c r="E92" s="215"/>
      <c r="F92" s="202"/>
      <c r="G92" s="7"/>
      <c r="H92" s="7"/>
      <c r="I92" s="115"/>
      <c r="J92" s="116"/>
      <c r="K92" s="120"/>
      <c r="L92" s="142"/>
      <c r="M92" s="122"/>
      <c r="N92" s="122"/>
      <c r="O92" s="121"/>
      <c r="P92" s="121"/>
      <c r="Q92" s="186"/>
      <c r="R92" s="182"/>
      <c r="S92" s="183"/>
      <c r="T92" s="184"/>
      <c r="U92" s="185"/>
      <c r="V92" s="185"/>
    </row>
    <row r="93" spans="2:22" ht="15">
      <c r="B93" s="63"/>
      <c r="C93" s="114"/>
      <c r="D93" s="117"/>
      <c r="E93" s="215"/>
      <c r="F93" s="202"/>
      <c r="G93" s="7"/>
      <c r="H93" s="7"/>
      <c r="I93" s="115"/>
      <c r="J93" s="116"/>
      <c r="K93" s="120"/>
      <c r="L93" s="142"/>
      <c r="M93" s="122"/>
      <c r="N93" s="122"/>
      <c r="O93" s="121"/>
      <c r="P93" s="121"/>
      <c r="Q93" s="186"/>
      <c r="R93" s="182"/>
      <c r="S93" s="183"/>
      <c r="T93" s="184"/>
      <c r="U93" s="185"/>
      <c r="V93" s="185"/>
    </row>
    <row r="94" spans="2:22" ht="17.600000000000001">
      <c r="B94" s="63"/>
      <c r="C94" s="114"/>
      <c r="D94" s="117"/>
      <c r="E94" s="215"/>
      <c r="F94" s="202"/>
      <c r="G94" s="7"/>
      <c r="H94" s="7"/>
      <c r="I94" s="115"/>
      <c r="J94" s="116"/>
      <c r="K94" s="120"/>
      <c r="L94" s="142"/>
      <c r="M94" s="122"/>
      <c r="N94" s="122"/>
      <c r="O94" s="121"/>
      <c r="P94" s="121"/>
      <c r="Q94" s="175"/>
      <c r="R94" s="176"/>
      <c r="S94" s="177"/>
      <c r="T94" s="178"/>
      <c r="U94" s="179"/>
      <c r="V94" s="179"/>
    </row>
    <row r="95" spans="2:22" ht="15">
      <c r="B95" s="63"/>
      <c r="C95" s="114"/>
      <c r="D95" s="117"/>
      <c r="E95" s="215"/>
      <c r="F95" s="202"/>
      <c r="G95" s="7"/>
      <c r="H95" s="7"/>
      <c r="I95" s="115"/>
      <c r="J95" s="116"/>
      <c r="K95" s="120"/>
      <c r="L95" s="142"/>
      <c r="M95" s="122"/>
      <c r="N95" s="122"/>
      <c r="O95" s="121"/>
      <c r="P95" s="121"/>
      <c r="Q95" s="180"/>
      <c r="R95" s="176"/>
      <c r="S95" s="177"/>
      <c r="T95" s="178"/>
      <c r="U95" s="179"/>
      <c r="V95" s="179"/>
    </row>
    <row r="96" spans="2:22" ht="17.600000000000001">
      <c r="B96" s="63"/>
      <c r="C96" s="114"/>
      <c r="D96" s="117"/>
      <c r="E96" s="215"/>
      <c r="F96" s="202"/>
      <c r="G96" s="7"/>
      <c r="H96" s="7"/>
      <c r="I96" s="115"/>
      <c r="J96" s="116"/>
      <c r="K96" s="120"/>
      <c r="L96" s="142"/>
      <c r="M96" s="122"/>
      <c r="N96" s="122"/>
      <c r="O96" s="121"/>
      <c r="P96" s="121"/>
      <c r="Q96" s="175"/>
      <c r="R96" s="176"/>
      <c r="S96" s="177"/>
      <c r="T96" s="178"/>
      <c r="U96" s="179"/>
      <c r="V96" s="179"/>
    </row>
    <row r="97" spans="2:22" ht="17.600000000000001">
      <c r="B97" s="63"/>
      <c r="C97" s="114"/>
      <c r="D97" s="117"/>
      <c r="E97" s="215"/>
      <c r="F97" s="202"/>
      <c r="G97" s="7"/>
      <c r="H97" s="7"/>
      <c r="I97" s="115"/>
      <c r="J97" s="116"/>
      <c r="K97" s="120"/>
      <c r="L97" s="142"/>
      <c r="M97" s="122"/>
      <c r="N97" s="122"/>
      <c r="O97" s="121"/>
      <c r="P97" s="121"/>
      <c r="Q97" s="175"/>
      <c r="R97" s="176"/>
      <c r="S97" s="177"/>
      <c r="T97" s="178"/>
      <c r="U97" s="179"/>
      <c r="V97" s="179"/>
    </row>
    <row r="98" spans="2:22" ht="15">
      <c r="B98" s="63"/>
      <c r="C98" s="114"/>
      <c r="D98" s="117"/>
      <c r="E98" s="215"/>
      <c r="F98" s="202"/>
      <c r="G98" s="7"/>
      <c r="H98" s="7"/>
      <c r="I98" s="115"/>
      <c r="J98" s="116"/>
      <c r="K98" s="120"/>
      <c r="L98" s="142"/>
      <c r="M98" s="122"/>
      <c r="N98" s="122"/>
      <c r="O98" s="121"/>
      <c r="P98" s="121"/>
      <c r="Q98" s="180"/>
      <c r="R98" s="176"/>
      <c r="S98" s="177"/>
      <c r="T98" s="178"/>
      <c r="U98" s="179"/>
      <c r="V98" s="179"/>
    </row>
    <row r="99" spans="2:22" ht="15">
      <c r="B99" s="63"/>
      <c r="C99" s="114"/>
      <c r="D99" s="117"/>
      <c r="E99" s="209"/>
      <c r="F99" s="202"/>
      <c r="G99" s="7"/>
      <c r="H99" s="7"/>
      <c r="I99" s="115"/>
      <c r="J99" s="116"/>
      <c r="K99" s="120"/>
      <c r="L99" s="142"/>
      <c r="M99" s="122"/>
      <c r="N99" s="122"/>
      <c r="O99" s="121"/>
      <c r="P99" s="121"/>
      <c r="Q99" s="180"/>
      <c r="R99" s="176"/>
      <c r="S99" s="177"/>
      <c r="T99" s="178"/>
      <c r="U99" s="179"/>
      <c r="V99" s="179"/>
    </row>
    <row r="100" spans="2:22" ht="17.600000000000001">
      <c r="B100" s="63"/>
      <c r="C100" s="114"/>
      <c r="D100" s="117"/>
      <c r="E100" s="208"/>
      <c r="F100" s="202"/>
      <c r="G100" s="7"/>
      <c r="H100" s="7"/>
      <c r="I100" s="115"/>
      <c r="J100" s="116"/>
      <c r="K100" s="120"/>
      <c r="L100" s="142"/>
      <c r="M100" s="122"/>
      <c r="N100" s="122"/>
      <c r="O100" s="121"/>
      <c r="P100" s="121"/>
      <c r="Q100" s="175"/>
      <c r="R100" s="176"/>
      <c r="S100" s="177"/>
      <c r="T100" s="178"/>
      <c r="U100" s="179"/>
      <c r="V100" s="179"/>
    </row>
    <row r="101" spans="2:22" ht="15">
      <c r="B101" s="63"/>
      <c r="C101" s="114"/>
      <c r="D101" s="117"/>
      <c r="E101" s="215"/>
      <c r="F101" s="202"/>
      <c r="G101" s="7"/>
      <c r="H101" s="7"/>
      <c r="I101" s="115"/>
      <c r="J101" s="116"/>
      <c r="K101" s="120"/>
      <c r="L101" s="142"/>
      <c r="M101" s="122"/>
      <c r="N101" s="122"/>
      <c r="O101" s="121"/>
      <c r="P101" s="121"/>
      <c r="Q101" s="180"/>
      <c r="R101" s="176"/>
      <c r="S101" s="177"/>
      <c r="T101" s="178"/>
      <c r="U101" s="179"/>
      <c r="V101" s="179"/>
    </row>
    <row r="102" spans="2:22" ht="15">
      <c r="B102" s="63"/>
      <c r="C102" s="114"/>
      <c r="D102" s="117"/>
      <c r="E102" s="215"/>
      <c r="F102" s="202"/>
      <c r="G102" s="7"/>
      <c r="H102" s="7"/>
      <c r="I102" s="115"/>
      <c r="J102" s="116"/>
      <c r="K102" s="120"/>
      <c r="L102" s="142"/>
      <c r="M102" s="122"/>
      <c r="N102" s="122"/>
      <c r="O102" s="121"/>
      <c r="P102" s="121"/>
      <c r="Q102" s="180"/>
      <c r="R102" s="176"/>
      <c r="S102" s="177"/>
      <c r="T102" s="178"/>
      <c r="U102" s="179"/>
      <c r="V102" s="179"/>
    </row>
    <row r="103" spans="2:22" ht="15">
      <c r="B103" s="63"/>
      <c r="C103" s="114"/>
      <c r="D103" s="117"/>
      <c r="E103" s="215"/>
      <c r="F103" s="202"/>
      <c r="G103" s="7"/>
      <c r="H103" s="7"/>
      <c r="I103" s="115"/>
      <c r="J103" s="116"/>
      <c r="K103" s="120"/>
      <c r="L103" s="142"/>
      <c r="M103" s="122"/>
      <c r="N103" s="122"/>
      <c r="O103" s="121"/>
      <c r="P103" s="121"/>
      <c r="Q103" s="180"/>
      <c r="R103" s="176"/>
      <c r="S103" s="177"/>
      <c r="T103" s="178"/>
      <c r="U103" s="179"/>
      <c r="V103" s="179"/>
    </row>
    <row r="104" spans="2:22" ht="15">
      <c r="B104" s="63"/>
      <c r="C104" s="114"/>
      <c r="D104" s="117"/>
      <c r="E104" s="215"/>
      <c r="F104" s="202"/>
      <c r="G104" s="7"/>
      <c r="H104" s="7"/>
      <c r="I104" s="115"/>
      <c r="J104" s="116"/>
      <c r="K104" s="120"/>
      <c r="L104" s="142"/>
      <c r="M104" s="122"/>
      <c r="N104" s="122"/>
      <c r="O104" s="121"/>
      <c r="P104" s="121"/>
      <c r="Q104" s="180"/>
      <c r="R104" s="176"/>
      <c r="S104" s="177"/>
      <c r="T104" s="178"/>
      <c r="U104" s="179"/>
      <c r="V104" s="179"/>
    </row>
    <row r="105" spans="2:22" ht="15">
      <c r="B105" s="63"/>
      <c r="C105" s="114"/>
      <c r="D105" s="117"/>
      <c r="E105" s="209"/>
      <c r="F105" s="202"/>
      <c r="G105" s="7"/>
      <c r="H105" s="7"/>
      <c r="I105" s="115"/>
      <c r="J105" s="116"/>
      <c r="K105" s="120"/>
      <c r="L105" s="142"/>
      <c r="M105" s="122"/>
      <c r="N105" s="122"/>
      <c r="O105" s="121"/>
      <c r="P105" s="121"/>
      <c r="Q105" s="180"/>
      <c r="R105" s="176"/>
      <c r="S105" s="177"/>
      <c r="T105" s="178"/>
      <c r="U105" s="179"/>
      <c r="V105" s="179"/>
    </row>
    <row r="106" spans="2:22" ht="15">
      <c r="B106" s="63"/>
      <c r="C106" s="147"/>
      <c r="D106" s="169"/>
      <c r="E106" s="147"/>
      <c r="F106" s="203"/>
      <c r="G106" s="170"/>
      <c r="H106" s="170"/>
      <c r="I106" s="171"/>
      <c r="J106" s="172"/>
      <c r="K106" s="173"/>
      <c r="L106" s="156"/>
      <c r="M106" s="122"/>
      <c r="N106" s="122"/>
      <c r="O106" s="121"/>
      <c r="P106" s="121"/>
      <c r="Q106" s="180"/>
      <c r="R106" s="176"/>
      <c r="S106" s="205"/>
      <c r="T106" s="206"/>
      <c r="U106" s="207"/>
      <c r="V106" s="207"/>
    </row>
    <row r="107" spans="2:22" ht="15">
      <c r="B107" s="63"/>
      <c r="C107" s="114"/>
      <c r="D107" s="117"/>
      <c r="E107" s="114"/>
      <c r="F107" s="202"/>
      <c r="G107" s="7"/>
      <c r="H107" s="7"/>
      <c r="I107" s="115"/>
      <c r="J107" s="116"/>
      <c r="K107" s="120"/>
      <c r="L107" s="142"/>
      <c r="M107" s="122"/>
      <c r="N107" s="122"/>
      <c r="O107" s="121"/>
      <c r="P107" s="121"/>
      <c r="R107" s="136"/>
      <c r="S107" s="137"/>
      <c r="T107" s="137"/>
      <c r="U107" s="138"/>
      <c r="V107" s="138"/>
    </row>
    <row r="108" spans="2:22" ht="15">
      <c r="B108" s="63"/>
      <c r="C108" s="114"/>
      <c r="D108" s="117"/>
      <c r="E108" s="114"/>
      <c r="F108" s="202"/>
      <c r="G108" s="7"/>
      <c r="H108" s="7"/>
      <c r="I108" s="115"/>
      <c r="J108" s="116"/>
      <c r="K108" s="120"/>
      <c r="L108" s="142"/>
      <c r="M108" s="122"/>
      <c r="N108" s="122"/>
      <c r="O108" s="121"/>
      <c r="P108" s="121"/>
      <c r="R108" s="136"/>
      <c r="S108" s="137"/>
      <c r="T108" s="137"/>
      <c r="U108" s="138"/>
      <c r="V108" s="138"/>
    </row>
    <row r="109" spans="2:22" ht="15">
      <c r="B109" s="63"/>
      <c r="C109" s="114"/>
      <c r="D109" s="117"/>
      <c r="E109" s="114"/>
      <c r="F109" s="139"/>
      <c r="G109" s="7"/>
      <c r="H109" s="7"/>
      <c r="I109" s="115"/>
      <c r="J109" s="116"/>
      <c r="K109" s="120"/>
      <c r="L109" s="113"/>
      <c r="M109" s="122"/>
      <c r="N109" s="122"/>
      <c r="O109" s="121"/>
      <c r="P109" s="121"/>
      <c r="R109" s="136"/>
      <c r="S109" s="137"/>
      <c r="T109" s="137"/>
      <c r="U109" s="138"/>
      <c r="V109" s="138"/>
    </row>
    <row r="110" spans="2:22" ht="15">
      <c r="B110" s="63"/>
      <c r="C110" s="114"/>
      <c r="D110" s="117"/>
      <c r="E110" s="114"/>
      <c r="F110" s="139"/>
      <c r="G110" s="7"/>
      <c r="H110" s="7"/>
      <c r="I110" s="115"/>
      <c r="J110" s="116"/>
      <c r="K110" s="120"/>
      <c r="L110" s="113"/>
      <c r="M110" s="122"/>
      <c r="N110" s="122"/>
      <c r="O110" s="121"/>
      <c r="P110" s="121"/>
      <c r="R110" s="136"/>
      <c r="S110" s="137"/>
      <c r="T110" s="137"/>
      <c r="U110" s="138"/>
      <c r="V110" s="138"/>
    </row>
    <row r="111" spans="2:22" ht="15">
      <c r="B111" s="63"/>
      <c r="C111" s="114"/>
      <c r="D111" s="117"/>
      <c r="E111" s="114"/>
      <c r="F111" s="139"/>
      <c r="G111" s="7"/>
      <c r="H111" s="7"/>
      <c r="I111" s="115"/>
      <c r="J111" s="116"/>
      <c r="K111" s="120"/>
      <c r="L111" s="113"/>
      <c r="M111" s="122"/>
      <c r="N111" s="122"/>
      <c r="O111" s="121"/>
      <c r="P111" s="121"/>
      <c r="R111" s="136"/>
      <c r="S111" s="137"/>
      <c r="T111" s="137"/>
      <c r="U111" s="138"/>
      <c r="V111" s="138"/>
    </row>
    <row r="112" spans="2:22" ht="15">
      <c r="B112" s="63"/>
      <c r="C112" s="114"/>
      <c r="D112" s="117"/>
      <c r="E112" s="114"/>
      <c r="F112" s="139"/>
      <c r="G112" s="7"/>
      <c r="H112" s="7"/>
      <c r="I112" s="115"/>
      <c r="J112" s="116"/>
      <c r="K112" s="120"/>
      <c r="L112" s="113"/>
      <c r="M112" s="122"/>
      <c r="N112" s="122"/>
      <c r="O112" s="121"/>
      <c r="P112" s="121"/>
      <c r="R112" s="136"/>
      <c r="S112" s="137"/>
      <c r="T112" s="137"/>
      <c r="U112" s="138"/>
      <c r="V112" s="138"/>
    </row>
    <row r="113" spans="2:22" ht="15">
      <c r="B113" s="63"/>
      <c r="C113" s="114"/>
      <c r="D113" s="117"/>
      <c r="E113" s="114"/>
      <c r="F113" s="139"/>
      <c r="G113" s="7"/>
      <c r="H113" s="7"/>
      <c r="I113" s="115"/>
      <c r="J113" s="116"/>
      <c r="K113" s="120"/>
      <c r="L113" s="113"/>
      <c r="M113" s="122"/>
      <c r="N113" s="122"/>
      <c r="O113" s="121"/>
      <c r="P113" s="121"/>
      <c r="R113" s="136"/>
      <c r="S113" s="137"/>
      <c r="T113" s="137"/>
      <c r="U113" s="138"/>
      <c r="V113" s="138"/>
    </row>
    <row r="114" spans="2:22" ht="15">
      <c r="B114" s="200"/>
      <c r="C114" s="134"/>
      <c r="D114" s="168"/>
      <c r="E114" s="134"/>
      <c r="F114" s="139"/>
      <c r="G114" s="7"/>
      <c r="H114" s="7"/>
      <c r="I114" s="115"/>
      <c r="J114" s="116"/>
      <c r="K114" s="120"/>
      <c r="L114" s="113"/>
      <c r="M114" s="135"/>
      <c r="N114" s="135"/>
      <c r="O114" s="121"/>
      <c r="P114" s="121"/>
      <c r="R114" s="136"/>
      <c r="S114" s="137"/>
      <c r="T114" s="137"/>
      <c r="U114" s="138"/>
      <c r="V114" s="138"/>
    </row>
    <row r="115" spans="2:22" ht="15">
      <c r="B115" s="200"/>
      <c r="C115" s="134"/>
      <c r="D115" s="168"/>
      <c r="E115" s="134"/>
      <c r="F115" s="139"/>
      <c r="G115" s="7"/>
      <c r="H115" s="7"/>
      <c r="I115" s="115"/>
      <c r="J115" s="116"/>
      <c r="K115" s="120"/>
      <c r="L115" s="113"/>
      <c r="M115" s="135"/>
      <c r="N115" s="135"/>
      <c r="O115" s="121"/>
      <c r="P115" s="121"/>
      <c r="R115" s="136"/>
      <c r="S115" s="137"/>
      <c r="T115" s="137"/>
      <c r="U115" s="138"/>
      <c r="V115" s="138"/>
    </row>
    <row r="116" spans="2:22" ht="15">
      <c r="B116" s="200"/>
      <c r="C116" s="134"/>
      <c r="D116" s="168"/>
      <c r="E116" s="134"/>
      <c r="F116" s="139"/>
      <c r="G116" s="7"/>
      <c r="H116" s="7"/>
      <c r="I116" s="115"/>
      <c r="J116" s="116"/>
      <c r="K116" s="120"/>
      <c r="L116" s="113"/>
      <c r="M116" s="135"/>
      <c r="N116" s="135"/>
      <c r="O116" s="121"/>
      <c r="P116" s="121"/>
      <c r="R116" s="136"/>
      <c r="S116" s="137"/>
      <c r="T116" s="137"/>
      <c r="U116" s="138"/>
      <c r="V116" s="138"/>
    </row>
    <row r="117" spans="2:22" ht="15">
      <c r="B117" s="200"/>
      <c r="C117" s="133"/>
      <c r="D117" s="134"/>
      <c r="E117" s="133"/>
      <c r="F117" s="120"/>
      <c r="G117" s="7"/>
      <c r="H117" s="7"/>
      <c r="I117" s="115"/>
      <c r="J117" s="116"/>
      <c r="K117" s="120"/>
      <c r="L117" s="113"/>
      <c r="M117" s="135"/>
      <c r="N117" s="135"/>
      <c r="O117" s="121"/>
      <c r="P117" s="121"/>
      <c r="R117" s="136"/>
      <c r="S117" s="137"/>
      <c r="T117" s="137"/>
      <c r="U117" s="138"/>
      <c r="V117" s="138"/>
    </row>
    <row r="118" spans="2:22" ht="15">
      <c r="B118" s="200"/>
      <c r="C118" s="133"/>
      <c r="D118" s="134"/>
      <c r="E118" s="133"/>
      <c r="F118" s="120"/>
      <c r="G118" s="7"/>
      <c r="H118" s="7"/>
      <c r="I118" s="115"/>
      <c r="J118" s="116"/>
      <c r="K118" s="120"/>
      <c r="L118" s="113"/>
      <c r="M118" s="135"/>
      <c r="N118" s="135"/>
      <c r="O118" s="121"/>
      <c r="P118" s="121"/>
      <c r="R118" s="136"/>
      <c r="S118" s="137"/>
      <c r="T118" s="137"/>
      <c r="U118" s="138"/>
      <c r="V118" s="138"/>
    </row>
    <row r="119" spans="2:22" ht="15">
      <c r="B119" s="200"/>
      <c r="C119" s="133"/>
      <c r="D119" s="134"/>
      <c r="E119" s="133"/>
      <c r="F119" s="120"/>
      <c r="G119" s="7"/>
      <c r="H119" s="7"/>
      <c r="I119" s="115"/>
      <c r="J119" s="116"/>
      <c r="K119" s="120"/>
      <c r="L119" s="113"/>
      <c r="M119" s="135"/>
      <c r="N119" s="135"/>
      <c r="O119" s="121"/>
      <c r="P119" s="121"/>
      <c r="R119" s="136"/>
      <c r="S119" s="137"/>
      <c r="T119" s="137"/>
      <c r="U119" s="138"/>
      <c r="V119" s="138"/>
    </row>
    <row r="120" spans="2:22" ht="15">
      <c r="B120" s="216"/>
      <c r="C120" s="216"/>
      <c r="D120" s="216"/>
      <c r="E120" s="216"/>
      <c r="F120" s="73"/>
      <c r="G120" s="76"/>
      <c r="H120" s="76"/>
      <c r="I120" s="76"/>
      <c r="J120" s="76"/>
      <c r="K120" s="76"/>
      <c r="L120" s="73"/>
    </row>
  </sheetData>
  <phoneticPr fontId="84" type="noConversion"/>
  <dataValidations count="2">
    <dataValidation type="list" allowBlank="1" sqref="G11:G119" xr:uid="{9019E96C-11C8-4401-8E3C-9C70A8DF827A}">
      <formula1>"자동,수동"</formula1>
      <formula2>0</formula2>
    </dataValidation>
    <dataValidation type="list" allowBlank="1" sqref="H11:H119" xr:uid="{00000000-0002-0000-0600-000002000000}">
      <formula1>"순차(FS),부분중첩(SS),병행(밀접)"</formula1>
      <formula2>0</formula2>
    </dataValidation>
  </dataValidations>
  <printOptions horizontalCentered="1"/>
  <pageMargins left="0.31496111111111108" right="0.31496111111111108" top="0.47244166666666665" bottom="0.47244166666666665" header="0.19685069444444445" footer="0.19685069444444445"/>
  <pageSetup paperSize="9" scale="80" fitToHeight="2" orientation="landscape" r:id="rId1"/>
  <headerFooter>
    <oddHeader>&amp;C&amp;"맑은 고딕,굵게"&amp;11연천군 신서공공하수처리시설 증설 외 2개사업 — 적정 공사기간 산정</oddHeader>
    <oddFooter>&amp;R&amp;"맑은 고딕"&amp;8&amp;P / &amp;N&amp;L&amp;"맑은 고딕"&amp;8⑤CP구성 (주공정 구성 — 일차 기준 산정근거)</oddFooter>
  </headerFooter>
  <rowBreaks count="3" manualBreakCount="3">
    <brk id="35" max="12" man="1"/>
    <brk id="55" max="12" man="1"/>
    <brk id="76" max="12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582BB2C1-8B10-434A-B7EB-DF2DB2376D26}">
          <x14:formula1>
            <xm:f>③1일작업량DB!$E$6:$E$112</xm:f>
          </x14:formula1>
          <x14:formula2>
            <xm:f>0</xm:f>
          </x14:formula2>
          <xm:sqref>D11:D119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0E849-089E-4F01-AC82-FDFF4FBBBED9}">
  <sheetPr>
    <tabColor rgb="FFA6A6A6"/>
  </sheetPr>
  <dimension ref="A1:F124"/>
  <sheetViews>
    <sheetView workbookViewId="0">
      <selection activeCell="Q74" sqref="Q74"/>
    </sheetView>
  </sheetViews>
  <sheetFormatPr defaultRowHeight="14.6"/>
  <cols>
    <col min="2" max="2" width="21" customWidth="1"/>
  </cols>
  <sheetData>
    <row r="1" spans="1:6" ht="15.9">
      <c r="A1" s="389" t="s">
        <v>1675</v>
      </c>
    </row>
    <row r="2" spans="1:6">
      <c r="A2" s="391" t="s">
        <v>1676</v>
      </c>
    </row>
    <row r="4" spans="1:6">
      <c r="A4" s="392" t="s">
        <v>76</v>
      </c>
      <c r="B4" s="392" t="s">
        <v>1677</v>
      </c>
      <c r="C4" s="392" t="s">
        <v>79</v>
      </c>
      <c r="D4" s="392" t="s">
        <v>146</v>
      </c>
      <c r="E4" s="392" t="s">
        <v>1678</v>
      </c>
      <c r="F4" s="392" t="s">
        <v>1679</v>
      </c>
    </row>
    <row r="5" spans="1:6">
      <c r="A5">
        <v>1</v>
      </c>
      <c r="B5" s="238">
        <f>DATE(YEAR(⑥공사기간종합!$C$9),MONTH(⑥공사기간종합!$C$9),1)</f>
        <v>46357</v>
      </c>
      <c r="C5">
        <f>DAY(EOMONTH($B5,0))</f>
        <v>31</v>
      </c>
      <c r="D5" s="333" t="str">
        <f>IF(OR(MONTH($B5)=12,MONTH($B5)=1,MONTH($B5)=2),"중지","가동")</f>
        <v>중지</v>
      </c>
      <c r="E5">
        <f>IF($D5="중지",0,$C5)</f>
        <v>0</v>
      </c>
      <c r="F5">
        <f>$E5</f>
        <v>0</v>
      </c>
    </row>
    <row r="6" spans="1:6">
      <c r="A6">
        <f>$A5+1</f>
        <v>2</v>
      </c>
      <c r="B6" s="238">
        <f>EOMONTH($B5,0)+1</f>
        <v>46388</v>
      </c>
      <c r="C6">
        <f>DAY(EOMONTH($B6,0))</f>
        <v>31</v>
      </c>
      <c r="D6" s="333" t="str">
        <f>IF(OR(MONTH($B6)=12,MONTH($B6)=1,MONTH($B6)=2),"중지","가동")</f>
        <v>중지</v>
      </c>
      <c r="E6">
        <f>IF($D6="중지",0,$C6)</f>
        <v>0</v>
      </c>
      <c r="F6">
        <f>$F5+$E6</f>
        <v>0</v>
      </c>
    </row>
    <row r="7" spans="1:6">
      <c r="A7">
        <f t="shared" ref="A7:A70" si="0">$A6+1</f>
        <v>3</v>
      </c>
      <c r="B7" s="238">
        <f t="shared" ref="B7:B70" si="1">EOMONTH($B6,0)+1</f>
        <v>46419</v>
      </c>
      <c r="C7">
        <f t="shared" ref="C7:C70" si="2">DAY(EOMONTH($B7,0))</f>
        <v>28</v>
      </c>
      <c r="D7" s="333" t="str">
        <f t="shared" ref="D7:D70" si="3">IF(OR(MONTH($B7)=12,MONTH($B7)=1,MONTH($B7)=2),"중지","가동")</f>
        <v>중지</v>
      </c>
      <c r="E7">
        <f t="shared" ref="E7:E70" si="4">IF($D7="중지",0,$C7)</f>
        <v>0</v>
      </c>
      <c r="F7">
        <f t="shared" ref="F7:F70" si="5">$F6+$E7</f>
        <v>0</v>
      </c>
    </row>
    <row r="8" spans="1:6">
      <c r="A8">
        <f t="shared" si="0"/>
        <v>4</v>
      </c>
      <c r="B8" s="238">
        <f t="shared" si="1"/>
        <v>46447</v>
      </c>
      <c r="C8">
        <f t="shared" si="2"/>
        <v>31</v>
      </c>
      <c r="D8" s="333" t="str">
        <f t="shared" si="3"/>
        <v>가동</v>
      </c>
      <c r="E8">
        <f t="shared" si="4"/>
        <v>31</v>
      </c>
      <c r="F8">
        <f t="shared" si="5"/>
        <v>31</v>
      </c>
    </row>
    <row r="9" spans="1:6">
      <c r="A9">
        <f t="shared" si="0"/>
        <v>5</v>
      </c>
      <c r="B9" s="238">
        <f t="shared" si="1"/>
        <v>46478</v>
      </c>
      <c r="C9">
        <f t="shared" si="2"/>
        <v>30</v>
      </c>
      <c r="D9" s="333" t="str">
        <f t="shared" si="3"/>
        <v>가동</v>
      </c>
      <c r="E9">
        <f t="shared" si="4"/>
        <v>30</v>
      </c>
      <c r="F9">
        <f t="shared" si="5"/>
        <v>61</v>
      </c>
    </row>
    <row r="10" spans="1:6">
      <c r="A10">
        <f t="shared" si="0"/>
        <v>6</v>
      </c>
      <c r="B10" s="238">
        <f t="shared" si="1"/>
        <v>46508</v>
      </c>
      <c r="C10">
        <f t="shared" si="2"/>
        <v>31</v>
      </c>
      <c r="D10" s="333" t="str">
        <f t="shared" si="3"/>
        <v>가동</v>
      </c>
      <c r="E10">
        <f t="shared" si="4"/>
        <v>31</v>
      </c>
      <c r="F10">
        <f t="shared" si="5"/>
        <v>92</v>
      </c>
    </row>
    <row r="11" spans="1:6">
      <c r="A11">
        <f t="shared" si="0"/>
        <v>7</v>
      </c>
      <c r="B11" s="238">
        <f t="shared" si="1"/>
        <v>46539</v>
      </c>
      <c r="C11">
        <f t="shared" si="2"/>
        <v>30</v>
      </c>
      <c r="D11" s="333" t="str">
        <f t="shared" si="3"/>
        <v>가동</v>
      </c>
      <c r="E11">
        <f t="shared" si="4"/>
        <v>30</v>
      </c>
      <c r="F11">
        <f t="shared" si="5"/>
        <v>122</v>
      </c>
    </row>
    <row r="12" spans="1:6">
      <c r="A12">
        <f t="shared" si="0"/>
        <v>8</v>
      </c>
      <c r="B12" s="238">
        <f t="shared" si="1"/>
        <v>46569</v>
      </c>
      <c r="C12">
        <f t="shared" si="2"/>
        <v>31</v>
      </c>
      <c r="D12" s="333" t="str">
        <f t="shared" si="3"/>
        <v>가동</v>
      </c>
      <c r="E12">
        <f t="shared" si="4"/>
        <v>31</v>
      </c>
      <c r="F12">
        <f t="shared" si="5"/>
        <v>153</v>
      </c>
    </row>
    <row r="13" spans="1:6">
      <c r="A13">
        <f t="shared" si="0"/>
        <v>9</v>
      </c>
      <c r="B13" s="238">
        <f t="shared" si="1"/>
        <v>46600</v>
      </c>
      <c r="C13">
        <f t="shared" si="2"/>
        <v>31</v>
      </c>
      <c r="D13" s="333" t="str">
        <f t="shared" si="3"/>
        <v>가동</v>
      </c>
      <c r="E13">
        <f t="shared" si="4"/>
        <v>31</v>
      </c>
      <c r="F13">
        <f t="shared" si="5"/>
        <v>184</v>
      </c>
    </row>
    <row r="14" spans="1:6">
      <c r="A14">
        <f t="shared" si="0"/>
        <v>10</v>
      </c>
      <c r="B14" s="238">
        <f t="shared" si="1"/>
        <v>46631</v>
      </c>
      <c r="C14">
        <f t="shared" si="2"/>
        <v>30</v>
      </c>
      <c r="D14" s="333" t="str">
        <f t="shared" si="3"/>
        <v>가동</v>
      </c>
      <c r="E14">
        <f t="shared" si="4"/>
        <v>30</v>
      </c>
      <c r="F14">
        <f t="shared" si="5"/>
        <v>214</v>
      </c>
    </row>
    <row r="15" spans="1:6">
      <c r="A15">
        <f t="shared" si="0"/>
        <v>11</v>
      </c>
      <c r="B15" s="238">
        <f t="shared" si="1"/>
        <v>46661</v>
      </c>
      <c r="C15">
        <f t="shared" si="2"/>
        <v>31</v>
      </c>
      <c r="D15" s="333" t="str">
        <f t="shared" si="3"/>
        <v>가동</v>
      </c>
      <c r="E15">
        <f t="shared" si="4"/>
        <v>31</v>
      </c>
      <c r="F15">
        <f t="shared" si="5"/>
        <v>245</v>
      </c>
    </row>
    <row r="16" spans="1:6">
      <c r="A16">
        <f t="shared" si="0"/>
        <v>12</v>
      </c>
      <c r="B16" s="238">
        <f t="shared" si="1"/>
        <v>46692</v>
      </c>
      <c r="C16">
        <f t="shared" si="2"/>
        <v>30</v>
      </c>
      <c r="D16" s="333" t="str">
        <f t="shared" si="3"/>
        <v>가동</v>
      </c>
      <c r="E16">
        <f t="shared" si="4"/>
        <v>30</v>
      </c>
      <c r="F16">
        <f t="shared" si="5"/>
        <v>275</v>
      </c>
    </row>
    <row r="17" spans="1:6">
      <c r="A17">
        <f t="shared" si="0"/>
        <v>13</v>
      </c>
      <c r="B17" s="238">
        <f t="shared" si="1"/>
        <v>46722</v>
      </c>
      <c r="C17">
        <f t="shared" si="2"/>
        <v>31</v>
      </c>
      <c r="D17" s="333" t="str">
        <f t="shared" si="3"/>
        <v>중지</v>
      </c>
      <c r="E17">
        <f t="shared" si="4"/>
        <v>0</v>
      </c>
      <c r="F17">
        <f t="shared" si="5"/>
        <v>275</v>
      </c>
    </row>
    <row r="18" spans="1:6">
      <c r="A18">
        <f t="shared" si="0"/>
        <v>14</v>
      </c>
      <c r="B18" s="238">
        <f t="shared" si="1"/>
        <v>46753</v>
      </c>
      <c r="C18">
        <f t="shared" si="2"/>
        <v>31</v>
      </c>
      <c r="D18" s="333" t="str">
        <f t="shared" si="3"/>
        <v>중지</v>
      </c>
      <c r="E18">
        <f t="shared" si="4"/>
        <v>0</v>
      </c>
      <c r="F18">
        <f t="shared" si="5"/>
        <v>275</v>
      </c>
    </row>
    <row r="19" spans="1:6">
      <c r="A19">
        <f t="shared" si="0"/>
        <v>15</v>
      </c>
      <c r="B19" s="238">
        <f t="shared" si="1"/>
        <v>46784</v>
      </c>
      <c r="C19">
        <f t="shared" si="2"/>
        <v>29</v>
      </c>
      <c r="D19" s="333" t="str">
        <f t="shared" si="3"/>
        <v>중지</v>
      </c>
      <c r="E19">
        <f t="shared" si="4"/>
        <v>0</v>
      </c>
      <c r="F19">
        <f t="shared" si="5"/>
        <v>275</v>
      </c>
    </row>
    <row r="20" spans="1:6">
      <c r="A20">
        <f t="shared" si="0"/>
        <v>16</v>
      </c>
      <c r="B20" s="238">
        <f t="shared" si="1"/>
        <v>46813</v>
      </c>
      <c r="C20">
        <f t="shared" si="2"/>
        <v>31</v>
      </c>
      <c r="D20" s="333" t="str">
        <f t="shared" si="3"/>
        <v>가동</v>
      </c>
      <c r="E20">
        <f t="shared" si="4"/>
        <v>31</v>
      </c>
      <c r="F20">
        <f t="shared" si="5"/>
        <v>306</v>
      </c>
    </row>
    <row r="21" spans="1:6">
      <c r="A21">
        <f t="shared" si="0"/>
        <v>17</v>
      </c>
      <c r="B21" s="238">
        <f t="shared" si="1"/>
        <v>46844</v>
      </c>
      <c r="C21">
        <f t="shared" si="2"/>
        <v>30</v>
      </c>
      <c r="D21" s="333" t="str">
        <f t="shared" si="3"/>
        <v>가동</v>
      </c>
      <c r="E21">
        <f t="shared" si="4"/>
        <v>30</v>
      </c>
      <c r="F21">
        <f t="shared" si="5"/>
        <v>336</v>
      </c>
    </row>
    <row r="22" spans="1:6">
      <c r="A22">
        <f t="shared" si="0"/>
        <v>18</v>
      </c>
      <c r="B22" s="238">
        <f t="shared" si="1"/>
        <v>46874</v>
      </c>
      <c r="C22">
        <f t="shared" si="2"/>
        <v>31</v>
      </c>
      <c r="D22" s="333" t="str">
        <f t="shared" si="3"/>
        <v>가동</v>
      </c>
      <c r="E22">
        <f t="shared" si="4"/>
        <v>31</v>
      </c>
      <c r="F22">
        <f t="shared" si="5"/>
        <v>367</v>
      </c>
    </row>
    <row r="23" spans="1:6">
      <c r="A23">
        <f t="shared" si="0"/>
        <v>19</v>
      </c>
      <c r="B23" s="238">
        <f t="shared" si="1"/>
        <v>46905</v>
      </c>
      <c r="C23">
        <f t="shared" si="2"/>
        <v>30</v>
      </c>
      <c r="D23" s="333" t="str">
        <f t="shared" si="3"/>
        <v>가동</v>
      </c>
      <c r="E23">
        <f t="shared" si="4"/>
        <v>30</v>
      </c>
      <c r="F23">
        <f t="shared" si="5"/>
        <v>397</v>
      </c>
    </row>
    <row r="24" spans="1:6">
      <c r="A24">
        <f t="shared" si="0"/>
        <v>20</v>
      </c>
      <c r="B24" s="238">
        <f t="shared" si="1"/>
        <v>46935</v>
      </c>
      <c r="C24">
        <f t="shared" si="2"/>
        <v>31</v>
      </c>
      <c r="D24" s="333" t="str">
        <f t="shared" si="3"/>
        <v>가동</v>
      </c>
      <c r="E24">
        <f t="shared" si="4"/>
        <v>31</v>
      </c>
      <c r="F24">
        <f t="shared" si="5"/>
        <v>428</v>
      </c>
    </row>
    <row r="25" spans="1:6">
      <c r="A25">
        <f t="shared" si="0"/>
        <v>21</v>
      </c>
      <c r="B25" s="238">
        <f t="shared" si="1"/>
        <v>46966</v>
      </c>
      <c r="C25">
        <f t="shared" si="2"/>
        <v>31</v>
      </c>
      <c r="D25" s="333" t="str">
        <f t="shared" si="3"/>
        <v>가동</v>
      </c>
      <c r="E25">
        <f t="shared" si="4"/>
        <v>31</v>
      </c>
      <c r="F25">
        <f t="shared" si="5"/>
        <v>459</v>
      </c>
    </row>
    <row r="26" spans="1:6">
      <c r="A26">
        <f t="shared" si="0"/>
        <v>22</v>
      </c>
      <c r="B26" s="238">
        <f t="shared" si="1"/>
        <v>46997</v>
      </c>
      <c r="C26">
        <f t="shared" si="2"/>
        <v>30</v>
      </c>
      <c r="D26" s="333" t="str">
        <f t="shared" si="3"/>
        <v>가동</v>
      </c>
      <c r="E26">
        <f t="shared" si="4"/>
        <v>30</v>
      </c>
      <c r="F26">
        <f t="shared" si="5"/>
        <v>489</v>
      </c>
    </row>
    <row r="27" spans="1:6">
      <c r="A27">
        <f t="shared" si="0"/>
        <v>23</v>
      </c>
      <c r="B27" s="238">
        <f t="shared" si="1"/>
        <v>47027</v>
      </c>
      <c r="C27">
        <f t="shared" si="2"/>
        <v>31</v>
      </c>
      <c r="D27" s="333" t="str">
        <f t="shared" si="3"/>
        <v>가동</v>
      </c>
      <c r="E27">
        <f t="shared" si="4"/>
        <v>31</v>
      </c>
      <c r="F27">
        <f t="shared" si="5"/>
        <v>520</v>
      </c>
    </row>
    <row r="28" spans="1:6">
      <c r="A28">
        <f t="shared" si="0"/>
        <v>24</v>
      </c>
      <c r="B28" s="238">
        <f t="shared" si="1"/>
        <v>47058</v>
      </c>
      <c r="C28">
        <f t="shared" si="2"/>
        <v>30</v>
      </c>
      <c r="D28" s="333" t="str">
        <f t="shared" si="3"/>
        <v>가동</v>
      </c>
      <c r="E28">
        <f t="shared" si="4"/>
        <v>30</v>
      </c>
      <c r="F28">
        <f t="shared" si="5"/>
        <v>550</v>
      </c>
    </row>
    <row r="29" spans="1:6">
      <c r="A29">
        <f t="shared" si="0"/>
        <v>25</v>
      </c>
      <c r="B29" s="238">
        <f t="shared" si="1"/>
        <v>47088</v>
      </c>
      <c r="C29">
        <f t="shared" si="2"/>
        <v>31</v>
      </c>
      <c r="D29" s="333" t="str">
        <f t="shared" si="3"/>
        <v>중지</v>
      </c>
      <c r="E29">
        <f t="shared" si="4"/>
        <v>0</v>
      </c>
      <c r="F29">
        <f t="shared" si="5"/>
        <v>550</v>
      </c>
    </row>
    <row r="30" spans="1:6">
      <c r="A30">
        <f t="shared" si="0"/>
        <v>26</v>
      </c>
      <c r="B30" s="238">
        <f t="shared" si="1"/>
        <v>47119</v>
      </c>
      <c r="C30">
        <f t="shared" si="2"/>
        <v>31</v>
      </c>
      <c r="D30" s="333" t="str">
        <f t="shared" si="3"/>
        <v>중지</v>
      </c>
      <c r="E30">
        <f t="shared" si="4"/>
        <v>0</v>
      </c>
      <c r="F30">
        <f t="shared" si="5"/>
        <v>550</v>
      </c>
    </row>
    <row r="31" spans="1:6">
      <c r="A31">
        <f t="shared" si="0"/>
        <v>27</v>
      </c>
      <c r="B31" s="238">
        <f t="shared" si="1"/>
        <v>47150</v>
      </c>
      <c r="C31">
        <f t="shared" si="2"/>
        <v>28</v>
      </c>
      <c r="D31" s="333" t="str">
        <f t="shared" si="3"/>
        <v>중지</v>
      </c>
      <c r="E31">
        <f t="shared" si="4"/>
        <v>0</v>
      </c>
      <c r="F31">
        <f t="shared" si="5"/>
        <v>550</v>
      </c>
    </row>
    <row r="32" spans="1:6">
      <c r="A32">
        <f t="shared" si="0"/>
        <v>28</v>
      </c>
      <c r="B32" s="238">
        <f t="shared" si="1"/>
        <v>47178</v>
      </c>
      <c r="C32">
        <f t="shared" si="2"/>
        <v>31</v>
      </c>
      <c r="D32" s="333" t="str">
        <f t="shared" si="3"/>
        <v>가동</v>
      </c>
      <c r="E32">
        <f t="shared" si="4"/>
        <v>31</v>
      </c>
      <c r="F32">
        <f t="shared" si="5"/>
        <v>581</v>
      </c>
    </row>
    <row r="33" spans="1:6">
      <c r="A33">
        <f t="shared" si="0"/>
        <v>29</v>
      </c>
      <c r="B33" s="238">
        <f t="shared" si="1"/>
        <v>47209</v>
      </c>
      <c r="C33">
        <f t="shared" si="2"/>
        <v>30</v>
      </c>
      <c r="D33" s="333" t="str">
        <f t="shared" si="3"/>
        <v>가동</v>
      </c>
      <c r="E33">
        <f t="shared" si="4"/>
        <v>30</v>
      </c>
      <c r="F33">
        <f t="shared" si="5"/>
        <v>611</v>
      </c>
    </row>
    <row r="34" spans="1:6">
      <c r="A34">
        <f t="shared" si="0"/>
        <v>30</v>
      </c>
      <c r="B34" s="238">
        <f t="shared" si="1"/>
        <v>47239</v>
      </c>
      <c r="C34">
        <f t="shared" si="2"/>
        <v>31</v>
      </c>
      <c r="D34" s="333" t="str">
        <f t="shared" si="3"/>
        <v>가동</v>
      </c>
      <c r="E34">
        <f t="shared" si="4"/>
        <v>31</v>
      </c>
      <c r="F34">
        <f t="shared" si="5"/>
        <v>642</v>
      </c>
    </row>
    <row r="35" spans="1:6">
      <c r="A35">
        <f t="shared" si="0"/>
        <v>31</v>
      </c>
      <c r="B35" s="238">
        <f t="shared" si="1"/>
        <v>47270</v>
      </c>
      <c r="C35">
        <f t="shared" si="2"/>
        <v>30</v>
      </c>
      <c r="D35" s="333" t="str">
        <f t="shared" si="3"/>
        <v>가동</v>
      </c>
      <c r="E35">
        <f t="shared" si="4"/>
        <v>30</v>
      </c>
      <c r="F35">
        <f t="shared" si="5"/>
        <v>672</v>
      </c>
    </row>
    <row r="36" spans="1:6">
      <c r="A36">
        <f t="shared" si="0"/>
        <v>32</v>
      </c>
      <c r="B36" s="238">
        <f t="shared" si="1"/>
        <v>47300</v>
      </c>
      <c r="C36">
        <f t="shared" si="2"/>
        <v>31</v>
      </c>
      <c r="D36" s="333" t="str">
        <f t="shared" si="3"/>
        <v>가동</v>
      </c>
      <c r="E36">
        <f t="shared" si="4"/>
        <v>31</v>
      </c>
      <c r="F36">
        <f t="shared" si="5"/>
        <v>703</v>
      </c>
    </row>
    <row r="37" spans="1:6">
      <c r="A37">
        <f t="shared" si="0"/>
        <v>33</v>
      </c>
      <c r="B37" s="238">
        <f t="shared" si="1"/>
        <v>47331</v>
      </c>
      <c r="C37">
        <f t="shared" si="2"/>
        <v>31</v>
      </c>
      <c r="D37" s="333" t="str">
        <f t="shared" si="3"/>
        <v>가동</v>
      </c>
      <c r="E37">
        <f t="shared" si="4"/>
        <v>31</v>
      </c>
      <c r="F37">
        <f t="shared" si="5"/>
        <v>734</v>
      </c>
    </row>
    <row r="38" spans="1:6">
      <c r="A38">
        <f t="shared" si="0"/>
        <v>34</v>
      </c>
      <c r="B38" s="238">
        <f t="shared" si="1"/>
        <v>47362</v>
      </c>
      <c r="C38">
        <f t="shared" si="2"/>
        <v>30</v>
      </c>
      <c r="D38" s="333" t="str">
        <f t="shared" si="3"/>
        <v>가동</v>
      </c>
      <c r="E38">
        <f t="shared" si="4"/>
        <v>30</v>
      </c>
      <c r="F38">
        <f t="shared" si="5"/>
        <v>764</v>
      </c>
    </row>
    <row r="39" spans="1:6">
      <c r="A39">
        <f t="shared" si="0"/>
        <v>35</v>
      </c>
      <c r="B39" s="238">
        <f t="shared" si="1"/>
        <v>47392</v>
      </c>
      <c r="C39">
        <f t="shared" si="2"/>
        <v>31</v>
      </c>
      <c r="D39" s="333" t="str">
        <f t="shared" si="3"/>
        <v>가동</v>
      </c>
      <c r="E39">
        <f t="shared" si="4"/>
        <v>31</v>
      </c>
      <c r="F39">
        <f t="shared" si="5"/>
        <v>795</v>
      </c>
    </row>
    <row r="40" spans="1:6">
      <c r="A40">
        <f t="shared" si="0"/>
        <v>36</v>
      </c>
      <c r="B40" s="238">
        <f t="shared" si="1"/>
        <v>47423</v>
      </c>
      <c r="C40">
        <f t="shared" si="2"/>
        <v>30</v>
      </c>
      <c r="D40" s="333" t="str">
        <f t="shared" si="3"/>
        <v>가동</v>
      </c>
      <c r="E40">
        <f t="shared" si="4"/>
        <v>30</v>
      </c>
      <c r="F40">
        <f t="shared" si="5"/>
        <v>825</v>
      </c>
    </row>
    <row r="41" spans="1:6">
      <c r="A41">
        <f t="shared" si="0"/>
        <v>37</v>
      </c>
      <c r="B41" s="238">
        <f t="shared" si="1"/>
        <v>47453</v>
      </c>
      <c r="C41">
        <f t="shared" si="2"/>
        <v>31</v>
      </c>
      <c r="D41" s="333" t="str">
        <f t="shared" si="3"/>
        <v>중지</v>
      </c>
      <c r="E41">
        <f t="shared" si="4"/>
        <v>0</v>
      </c>
      <c r="F41">
        <f t="shared" si="5"/>
        <v>825</v>
      </c>
    </row>
    <row r="42" spans="1:6">
      <c r="A42">
        <f t="shared" si="0"/>
        <v>38</v>
      </c>
      <c r="B42" s="238">
        <f t="shared" si="1"/>
        <v>47484</v>
      </c>
      <c r="C42">
        <f t="shared" si="2"/>
        <v>31</v>
      </c>
      <c r="D42" s="333" t="str">
        <f t="shared" si="3"/>
        <v>중지</v>
      </c>
      <c r="E42">
        <f t="shared" si="4"/>
        <v>0</v>
      </c>
      <c r="F42">
        <f t="shared" si="5"/>
        <v>825</v>
      </c>
    </row>
    <row r="43" spans="1:6">
      <c r="A43">
        <f t="shared" si="0"/>
        <v>39</v>
      </c>
      <c r="B43" s="238">
        <f t="shared" si="1"/>
        <v>47515</v>
      </c>
      <c r="C43">
        <f t="shared" si="2"/>
        <v>28</v>
      </c>
      <c r="D43" s="333" t="str">
        <f t="shared" si="3"/>
        <v>중지</v>
      </c>
      <c r="E43">
        <f t="shared" si="4"/>
        <v>0</v>
      </c>
      <c r="F43">
        <f t="shared" si="5"/>
        <v>825</v>
      </c>
    </row>
    <row r="44" spans="1:6">
      <c r="A44">
        <f t="shared" si="0"/>
        <v>40</v>
      </c>
      <c r="B44" s="238">
        <f t="shared" si="1"/>
        <v>47543</v>
      </c>
      <c r="C44">
        <f t="shared" si="2"/>
        <v>31</v>
      </c>
      <c r="D44" s="333" t="str">
        <f t="shared" si="3"/>
        <v>가동</v>
      </c>
      <c r="E44">
        <f t="shared" si="4"/>
        <v>31</v>
      </c>
      <c r="F44">
        <f t="shared" si="5"/>
        <v>856</v>
      </c>
    </row>
    <row r="45" spans="1:6">
      <c r="A45">
        <f t="shared" si="0"/>
        <v>41</v>
      </c>
      <c r="B45" s="238">
        <f t="shared" si="1"/>
        <v>47574</v>
      </c>
      <c r="C45">
        <f t="shared" si="2"/>
        <v>30</v>
      </c>
      <c r="D45" s="333" t="str">
        <f t="shared" si="3"/>
        <v>가동</v>
      </c>
      <c r="E45">
        <f t="shared" si="4"/>
        <v>30</v>
      </c>
      <c r="F45">
        <f t="shared" si="5"/>
        <v>886</v>
      </c>
    </row>
    <row r="46" spans="1:6">
      <c r="A46">
        <f t="shared" si="0"/>
        <v>42</v>
      </c>
      <c r="B46" s="238">
        <f t="shared" si="1"/>
        <v>47604</v>
      </c>
      <c r="C46">
        <f t="shared" si="2"/>
        <v>31</v>
      </c>
      <c r="D46" s="333" t="str">
        <f t="shared" si="3"/>
        <v>가동</v>
      </c>
      <c r="E46">
        <f t="shared" si="4"/>
        <v>31</v>
      </c>
      <c r="F46">
        <f t="shared" si="5"/>
        <v>917</v>
      </c>
    </row>
    <row r="47" spans="1:6">
      <c r="A47">
        <f t="shared" si="0"/>
        <v>43</v>
      </c>
      <c r="B47" s="238">
        <f t="shared" si="1"/>
        <v>47635</v>
      </c>
      <c r="C47">
        <f t="shared" si="2"/>
        <v>30</v>
      </c>
      <c r="D47" s="333" t="str">
        <f t="shared" si="3"/>
        <v>가동</v>
      </c>
      <c r="E47">
        <f t="shared" si="4"/>
        <v>30</v>
      </c>
      <c r="F47">
        <f t="shared" si="5"/>
        <v>947</v>
      </c>
    </row>
    <row r="48" spans="1:6">
      <c r="A48">
        <f t="shared" si="0"/>
        <v>44</v>
      </c>
      <c r="B48" s="238">
        <f t="shared" si="1"/>
        <v>47665</v>
      </c>
      <c r="C48">
        <f t="shared" si="2"/>
        <v>31</v>
      </c>
      <c r="D48" s="333" t="str">
        <f t="shared" si="3"/>
        <v>가동</v>
      </c>
      <c r="E48">
        <f t="shared" si="4"/>
        <v>31</v>
      </c>
      <c r="F48">
        <f t="shared" si="5"/>
        <v>978</v>
      </c>
    </row>
    <row r="49" spans="1:6">
      <c r="A49">
        <f t="shared" si="0"/>
        <v>45</v>
      </c>
      <c r="B49" s="238">
        <f t="shared" si="1"/>
        <v>47696</v>
      </c>
      <c r="C49">
        <f t="shared" si="2"/>
        <v>31</v>
      </c>
      <c r="D49" s="333" t="str">
        <f t="shared" si="3"/>
        <v>가동</v>
      </c>
      <c r="E49">
        <f t="shared" si="4"/>
        <v>31</v>
      </c>
      <c r="F49">
        <f t="shared" si="5"/>
        <v>1009</v>
      </c>
    </row>
    <row r="50" spans="1:6">
      <c r="A50">
        <f t="shared" si="0"/>
        <v>46</v>
      </c>
      <c r="B50" s="238">
        <f t="shared" si="1"/>
        <v>47727</v>
      </c>
      <c r="C50">
        <f t="shared" si="2"/>
        <v>30</v>
      </c>
      <c r="D50" s="333" t="str">
        <f t="shared" si="3"/>
        <v>가동</v>
      </c>
      <c r="E50">
        <f t="shared" si="4"/>
        <v>30</v>
      </c>
      <c r="F50">
        <f t="shared" si="5"/>
        <v>1039</v>
      </c>
    </row>
    <row r="51" spans="1:6">
      <c r="A51">
        <f t="shared" si="0"/>
        <v>47</v>
      </c>
      <c r="B51" s="238">
        <f t="shared" si="1"/>
        <v>47757</v>
      </c>
      <c r="C51">
        <f t="shared" si="2"/>
        <v>31</v>
      </c>
      <c r="D51" s="333" t="str">
        <f t="shared" si="3"/>
        <v>가동</v>
      </c>
      <c r="E51">
        <f t="shared" si="4"/>
        <v>31</v>
      </c>
      <c r="F51">
        <f t="shared" si="5"/>
        <v>1070</v>
      </c>
    </row>
    <row r="52" spans="1:6">
      <c r="A52">
        <f t="shared" si="0"/>
        <v>48</v>
      </c>
      <c r="B52" s="238">
        <f t="shared" si="1"/>
        <v>47788</v>
      </c>
      <c r="C52">
        <f t="shared" si="2"/>
        <v>30</v>
      </c>
      <c r="D52" s="333" t="str">
        <f t="shared" si="3"/>
        <v>가동</v>
      </c>
      <c r="E52">
        <f t="shared" si="4"/>
        <v>30</v>
      </c>
      <c r="F52">
        <f t="shared" si="5"/>
        <v>1100</v>
      </c>
    </row>
    <row r="53" spans="1:6">
      <c r="A53">
        <f t="shared" si="0"/>
        <v>49</v>
      </c>
      <c r="B53" s="238">
        <f t="shared" si="1"/>
        <v>47818</v>
      </c>
      <c r="C53">
        <f t="shared" si="2"/>
        <v>31</v>
      </c>
      <c r="D53" s="333" t="str">
        <f t="shared" si="3"/>
        <v>중지</v>
      </c>
      <c r="E53">
        <f t="shared" si="4"/>
        <v>0</v>
      </c>
      <c r="F53">
        <f t="shared" si="5"/>
        <v>1100</v>
      </c>
    </row>
    <row r="54" spans="1:6">
      <c r="A54">
        <f t="shared" si="0"/>
        <v>50</v>
      </c>
      <c r="B54" s="238">
        <f t="shared" si="1"/>
        <v>47849</v>
      </c>
      <c r="C54">
        <f t="shared" si="2"/>
        <v>31</v>
      </c>
      <c r="D54" s="333" t="str">
        <f t="shared" si="3"/>
        <v>중지</v>
      </c>
      <c r="E54">
        <f t="shared" si="4"/>
        <v>0</v>
      </c>
      <c r="F54">
        <f t="shared" si="5"/>
        <v>1100</v>
      </c>
    </row>
    <row r="55" spans="1:6">
      <c r="A55">
        <f t="shared" si="0"/>
        <v>51</v>
      </c>
      <c r="B55" s="238">
        <f t="shared" si="1"/>
        <v>47880</v>
      </c>
      <c r="C55">
        <f t="shared" si="2"/>
        <v>28</v>
      </c>
      <c r="D55" s="333" t="str">
        <f t="shared" si="3"/>
        <v>중지</v>
      </c>
      <c r="E55">
        <f t="shared" si="4"/>
        <v>0</v>
      </c>
      <c r="F55">
        <f t="shared" si="5"/>
        <v>1100</v>
      </c>
    </row>
    <row r="56" spans="1:6">
      <c r="A56">
        <f t="shared" si="0"/>
        <v>52</v>
      </c>
      <c r="B56" s="238">
        <f t="shared" si="1"/>
        <v>47908</v>
      </c>
      <c r="C56">
        <f t="shared" si="2"/>
        <v>31</v>
      </c>
      <c r="D56" s="333" t="str">
        <f t="shared" si="3"/>
        <v>가동</v>
      </c>
      <c r="E56">
        <f t="shared" si="4"/>
        <v>31</v>
      </c>
      <c r="F56">
        <f t="shared" si="5"/>
        <v>1131</v>
      </c>
    </row>
    <row r="57" spans="1:6">
      <c r="A57">
        <f t="shared" si="0"/>
        <v>53</v>
      </c>
      <c r="B57" s="238">
        <f t="shared" si="1"/>
        <v>47939</v>
      </c>
      <c r="C57">
        <f t="shared" si="2"/>
        <v>30</v>
      </c>
      <c r="D57" s="333" t="str">
        <f t="shared" si="3"/>
        <v>가동</v>
      </c>
      <c r="E57">
        <f t="shared" si="4"/>
        <v>30</v>
      </c>
      <c r="F57">
        <f t="shared" si="5"/>
        <v>1161</v>
      </c>
    </row>
    <row r="58" spans="1:6">
      <c r="A58">
        <f t="shared" si="0"/>
        <v>54</v>
      </c>
      <c r="B58" s="238">
        <f t="shared" si="1"/>
        <v>47969</v>
      </c>
      <c r="C58">
        <f t="shared" si="2"/>
        <v>31</v>
      </c>
      <c r="D58" s="333" t="str">
        <f t="shared" si="3"/>
        <v>가동</v>
      </c>
      <c r="E58">
        <f t="shared" si="4"/>
        <v>31</v>
      </c>
      <c r="F58">
        <f t="shared" si="5"/>
        <v>1192</v>
      </c>
    </row>
    <row r="59" spans="1:6">
      <c r="A59">
        <f t="shared" si="0"/>
        <v>55</v>
      </c>
      <c r="B59" s="238">
        <f t="shared" si="1"/>
        <v>48000</v>
      </c>
      <c r="C59">
        <f t="shared" si="2"/>
        <v>30</v>
      </c>
      <c r="D59" s="333" t="str">
        <f t="shared" si="3"/>
        <v>가동</v>
      </c>
      <c r="E59">
        <f t="shared" si="4"/>
        <v>30</v>
      </c>
      <c r="F59">
        <f t="shared" si="5"/>
        <v>1222</v>
      </c>
    </row>
    <row r="60" spans="1:6">
      <c r="A60">
        <f t="shared" si="0"/>
        <v>56</v>
      </c>
      <c r="B60" s="238">
        <f t="shared" si="1"/>
        <v>48030</v>
      </c>
      <c r="C60">
        <f t="shared" si="2"/>
        <v>31</v>
      </c>
      <c r="D60" s="333" t="str">
        <f t="shared" si="3"/>
        <v>가동</v>
      </c>
      <c r="E60">
        <f t="shared" si="4"/>
        <v>31</v>
      </c>
      <c r="F60">
        <f t="shared" si="5"/>
        <v>1253</v>
      </c>
    </row>
    <row r="61" spans="1:6">
      <c r="A61">
        <f t="shared" si="0"/>
        <v>57</v>
      </c>
      <c r="B61" s="238">
        <f t="shared" si="1"/>
        <v>48061</v>
      </c>
      <c r="C61">
        <f t="shared" si="2"/>
        <v>31</v>
      </c>
      <c r="D61" s="333" t="str">
        <f t="shared" si="3"/>
        <v>가동</v>
      </c>
      <c r="E61">
        <f t="shared" si="4"/>
        <v>31</v>
      </c>
      <c r="F61">
        <f t="shared" si="5"/>
        <v>1284</v>
      </c>
    </row>
    <row r="62" spans="1:6">
      <c r="A62">
        <f t="shared" si="0"/>
        <v>58</v>
      </c>
      <c r="B62" s="238">
        <f t="shared" si="1"/>
        <v>48092</v>
      </c>
      <c r="C62">
        <f t="shared" si="2"/>
        <v>30</v>
      </c>
      <c r="D62" s="333" t="str">
        <f t="shared" si="3"/>
        <v>가동</v>
      </c>
      <c r="E62">
        <f t="shared" si="4"/>
        <v>30</v>
      </c>
      <c r="F62">
        <f t="shared" si="5"/>
        <v>1314</v>
      </c>
    </row>
    <row r="63" spans="1:6">
      <c r="A63">
        <f t="shared" si="0"/>
        <v>59</v>
      </c>
      <c r="B63" s="238">
        <f t="shared" si="1"/>
        <v>48122</v>
      </c>
      <c r="C63">
        <f t="shared" si="2"/>
        <v>31</v>
      </c>
      <c r="D63" s="333" t="str">
        <f t="shared" si="3"/>
        <v>가동</v>
      </c>
      <c r="E63">
        <f t="shared" si="4"/>
        <v>31</v>
      </c>
      <c r="F63">
        <f t="shared" si="5"/>
        <v>1345</v>
      </c>
    </row>
    <row r="64" spans="1:6">
      <c r="A64">
        <f t="shared" si="0"/>
        <v>60</v>
      </c>
      <c r="B64" s="238">
        <f t="shared" si="1"/>
        <v>48153</v>
      </c>
      <c r="C64">
        <f t="shared" si="2"/>
        <v>30</v>
      </c>
      <c r="D64" s="333" t="str">
        <f t="shared" si="3"/>
        <v>가동</v>
      </c>
      <c r="E64">
        <f t="shared" si="4"/>
        <v>30</v>
      </c>
      <c r="F64">
        <f t="shared" si="5"/>
        <v>1375</v>
      </c>
    </row>
    <row r="65" spans="1:6">
      <c r="A65">
        <f t="shared" si="0"/>
        <v>61</v>
      </c>
      <c r="B65" s="238">
        <f t="shared" si="1"/>
        <v>48183</v>
      </c>
      <c r="C65">
        <f t="shared" si="2"/>
        <v>31</v>
      </c>
      <c r="D65" s="333" t="str">
        <f t="shared" si="3"/>
        <v>중지</v>
      </c>
      <c r="E65">
        <f t="shared" si="4"/>
        <v>0</v>
      </c>
      <c r="F65">
        <f t="shared" si="5"/>
        <v>1375</v>
      </c>
    </row>
    <row r="66" spans="1:6">
      <c r="A66">
        <f t="shared" si="0"/>
        <v>62</v>
      </c>
      <c r="B66" s="238">
        <f t="shared" si="1"/>
        <v>48214</v>
      </c>
      <c r="C66">
        <f t="shared" si="2"/>
        <v>31</v>
      </c>
      <c r="D66" s="333" t="str">
        <f t="shared" si="3"/>
        <v>중지</v>
      </c>
      <c r="E66">
        <f t="shared" si="4"/>
        <v>0</v>
      </c>
      <c r="F66">
        <f t="shared" si="5"/>
        <v>1375</v>
      </c>
    </row>
    <row r="67" spans="1:6">
      <c r="A67">
        <f t="shared" si="0"/>
        <v>63</v>
      </c>
      <c r="B67" s="238">
        <f t="shared" si="1"/>
        <v>48245</v>
      </c>
      <c r="C67">
        <f t="shared" si="2"/>
        <v>29</v>
      </c>
      <c r="D67" s="333" t="str">
        <f t="shared" si="3"/>
        <v>중지</v>
      </c>
      <c r="E67">
        <f t="shared" si="4"/>
        <v>0</v>
      </c>
      <c r="F67">
        <f t="shared" si="5"/>
        <v>1375</v>
      </c>
    </row>
    <row r="68" spans="1:6">
      <c r="A68">
        <f t="shared" si="0"/>
        <v>64</v>
      </c>
      <c r="B68" s="238">
        <f t="shared" si="1"/>
        <v>48274</v>
      </c>
      <c r="C68">
        <f t="shared" si="2"/>
        <v>31</v>
      </c>
      <c r="D68" s="333" t="str">
        <f t="shared" si="3"/>
        <v>가동</v>
      </c>
      <c r="E68">
        <f t="shared" si="4"/>
        <v>31</v>
      </c>
      <c r="F68">
        <f t="shared" si="5"/>
        <v>1406</v>
      </c>
    </row>
    <row r="69" spans="1:6">
      <c r="A69">
        <f t="shared" si="0"/>
        <v>65</v>
      </c>
      <c r="B69" s="238">
        <f t="shared" si="1"/>
        <v>48305</v>
      </c>
      <c r="C69">
        <f t="shared" si="2"/>
        <v>30</v>
      </c>
      <c r="D69" s="333" t="str">
        <f t="shared" si="3"/>
        <v>가동</v>
      </c>
      <c r="E69">
        <f t="shared" si="4"/>
        <v>30</v>
      </c>
      <c r="F69">
        <f t="shared" si="5"/>
        <v>1436</v>
      </c>
    </row>
    <row r="70" spans="1:6">
      <c r="A70">
        <f t="shared" si="0"/>
        <v>66</v>
      </c>
      <c r="B70" s="238">
        <f t="shared" si="1"/>
        <v>48335</v>
      </c>
      <c r="C70">
        <f t="shared" si="2"/>
        <v>31</v>
      </c>
      <c r="D70" s="333" t="str">
        <f t="shared" si="3"/>
        <v>가동</v>
      </c>
      <c r="E70">
        <f t="shared" si="4"/>
        <v>31</v>
      </c>
      <c r="F70">
        <f t="shared" si="5"/>
        <v>1467</v>
      </c>
    </row>
    <row r="71" spans="1:6">
      <c r="A71">
        <f t="shared" ref="A71:A124" si="6">$A70+1</f>
        <v>67</v>
      </c>
      <c r="B71" s="238">
        <f t="shared" ref="B71:B124" si="7">EOMONTH($B70,0)+1</f>
        <v>48366</v>
      </c>
      <c r="C71">
        <f t="shared" ref="C71:C124" si="8">DAY(EOMONTH($B71,0))</f>
        <v>30</v>
      </c>
      <c r="D71" s="333" t="str">
        <f t="shared" ref="D71:D124" si="9">IF(OR(MONTH($B71)=12,MONTH($B71)=1,MONTH($B71)=2),"중지","가동")</f>
        <v>가동</v>
      </c>
      <c r="E71">
        <f t="shared" ref="E71:E124" si="10">IF($D71="중지",0,$C71)</f>
        <v>30</v>
      </c>
      <c r="F71">
        <f t="shared" ref="F71:F124" si="11">$F70+$E71</f>
        <v>1497</v>
      </c>
    </row>
    <row r="72" spans="1:6">
      <c r="A72">
        <f t="shared" si="6"/>
        <v>68</v>
      </c>
      <c r="B72" s="238">
        <f t="shared" si="7"/>
        <v>48396</v>
      </c>
      <c r="C72">
        <f t="shared" si="8"/>
        <v>31</v>
      </c>
      <c r="D72" s="333" t="str">
        <f t="shared" si="9"/>
        <v>가동</v>
      </c>
      <c r="E72">
        <f t="shared" si="10"/>
        <v>31</v>
      </c>
      <c r="F72">
        <f t="shared" si="11"/>
        <v>1528</v>
      </c>
    </row>
    <row r="73" spans="1:6">
      <c r="A73">
        <f t="shared" si="6"/>
        <v>69</v>
      </c>
      <c r="B73" s="238">
        <f t="shared" si="7"/>
        <v>48427</v>
      </c>
      <c r="C73">
        <f t="shared" si="8"/>
        <v>31</v>
      </c>
      <c r="D73" s="333" t="str">
        <f t="shared" si="9"/>
        <v>가동</v>
      </c>
      <c r="E73">
        <f t="shared" si="10"/>
        <v>31</v>
      </c>
      <c r="F73">
        <f t="shared" si="11"/>
        <v>1559</v>
      </c>
    </row>
    <row r="74" spans="1:6">
      <c r="A74">
        <f t="shared" si="6"/>
        <v>70</v>
      </c>
      <c r="B74" s="238">
        <f t="shared" si="7"/>
        <v>48458</v>
      </c>
      <c r="C74">
        <f t="shared" si="8"/>
        <v>30</v>
      </c>
      <c r="D74" s="333" t="str">
        <f t="shared" si="9"/>
        <v>가동</v>
      </c>
      <c r="E74">
        <f t="shared" si="10"/>
        <v>30</v>
      </c>
      <c r="F74">
        <f t="shared" si="11"/>
        <v>1589</v>
      </c>
    </row>
    <row r="75" spans="1:6">
      <c r="A75">
        <f t="shared" si="6"/>
        <v>71</v>
      </c>
      <c r="B75" s="238">
        <f t="shared" si="7"/>
        <v>48488</v>
      </c>
      <c r="C75">
        <f t="shared" si="8"/>
        <v>31</v>
      </c>
      <c r="D75" s="333" t="str">
        <f t="shared" si="9"/>
        <v>가동</v>
      </c>
      <c r="E75">
        <f t="shared" si="10"/>
        <v>31</v>
      </c>
      <c r="F75">
        <f t="shared" si="11"/>
        <v>1620</v>
      </c>
    </row>
    <row r="76" spans="1:6">
      <c r="A76">
        <f t="shared" si="6"/>
        <v>72</v>
      </c>
      <c r="B76" s="238">
        <f t="shared" si="7"/>
        <v>48519</v>
      </c>
      <c r="C76">
        <f t="shared" si="8"/>
        <v>30</v>
      </c>
      <c r="D76" s="333" t="str">
        <f t="shared" si="9"/>
        <v>가동</v>
      </c>
      <c r="E76">
        <f t="shared" si="10"/>
        <v>30</v>
      </c>
      <c r="F76">
        <f t="shared" si="11"/>
        <v>1650</v>
      </c>
    </row>
    <row r="77" spans="1:6">
      <c r="A77">
        <f t="shared" si="6"/>
        <v>73</v>
      </c>
      <c r="B77" s="238">
        <f t="shared" si="7"/>
        <v>48549</v>
      </c>
      <c r="C77">
        <f t="shared" si="8"/>
        <v>31</v>
      </c>
      <c r="D77" s="333" t="str">
        <f t="shared" si="9"/>
        <v>중지</v>
      </c>
      <c r="E77">
        <f t="shared" si="10"/>
        <v>0</v>
      </c>
      <c r="F77">
        <f t="shared" si="11"/>
        <v>1650</v>
      </c>
    </row>
    <row r="78" spans="1:6">
      <c r="A78">
        <f t="shared" si="6"/>
        <v>74</v>
      </c>
      <c r="B78" s="238">
        <f t="shared" si="7"/>
        <v>48580</v>
      </c>
      <c r="C78">
        <f t="shared" si="8"/>
        <v>31</v>
      </c>
      <c r="D78" s="333" t="str">
        <f t="shared" si="9"/>
        <v>중지</v>
      </c>
      <c r="E78">
        <f t="shared" si="10"/>
        <v>0</v>
      </c>
      <c r="F78">
        <f t="shared" si="11"/>
        <v>1650</v>
      </c>
    </row>
    <row r="79" spans="1:6">
      <c r="A79">
        <f t="shared" si="6"/>
        <v>75</v>
      </c>
      <c r="B79" s="238">
        <f t="shared" si="7"/>
        <v>48611</v>
      </c>
      <c r="C79">
        <f t="shared" si="8"/>
        <v>28</v>
      </c>
      <c r="D79" s="333" t="str">
        <f t="shared" si="9"/>
        <v>중지</v>
      </c>
      <c r="E79">
        <f t="shared" si="10"/>
        <v>0</v>
      </c>
      <c r="F79">
        <f t="shared" si="11"/>
        <v>1650</v>
      </c>
    </row>
    <row r="80" spans="1:6">
      <c r="A80">
        <f t="shared" si="6"/>
        <v>76</v>
      </c>
      <c r="B80" s="238">
        <f t="shared" si="7"/>
        <v>48639</v>
      </c>
      <c r="C80">
        <f t="shared" si="8"/>
        <v>31</v>
      </c>
      <c r="D80" s="333" t="str">
        <f t="shared" si="9"/>
        <v>가동</v>
      </c>
      <c r="E80">
        <f t="shared" si="10"/>
        <v>31</v>
      </c>
      <c r="F80">
        <f t="shared" si="11"/>
        <v>1681</v>
      </c>
    </row>
    <row r="81" spans="1:6">
      <c r="A81">
        <f t="shared" si="6"/>
        <v>77</v>
      </c>
      <c r="B81" s="238">
        <f t="shared" si="7"/>
        <v>48670</v>
      </c>
      <c r="C81">
        <f t="shared" si="8"/>
        <v>30</v>
      </c>
      <c r="D81" s="333" t="str">
        <f t="shared" si="9"/>
        <v>가동</v>
      </c>
      <c r="E81">
        <f t="shared" si="10"/>
        <v>30</v>
      </c>
      <c r="F81">
        <f t="shared" si="11"/>
        <v>1711</v>
      </c>
    </row>
    <row r="82" spans="1:6">
      <c r="A82">
        <f t="shared" si="6"/>
        <v>78</v>
      </c>
      <c r="B82" s="238">
        <f t="shared" si="7"/>
        <v>48700</v>
      </c>
      <c r="C82">
        <f t="shared" si="8"/>
        <v>31</v>
      </c>
      <c r="D82" s="333" t="str">
        <f t="shared" si="9"/>
        <v>가동</v>
      </c>
      <c r="E82">
        <f t="shared" si="10"/>
        <v>31</v>
      </c>
      <c r="F82">
        <f t="shared" si="11"/>
        <v>1742</v>
      </c>
    </row>
    <row r="83" spans="1:6">
      <c r="A83">
        <f t="shared" si="6"/>
        <v>79</v>
      </c>
      <c r="B83" s="238">
        <f t="shared" si="7"/>
        <v>48731</v>
      </c>
      <c r="C83">
        <f t="shared" si="8"/>
        <v>30</v>
      </c>
      <c r="D83" s="333" t="str">
        <f t="shared" si="9"/>
        <v>가동</v>
      </c>
      <c r="E83">
        <f t="shared" si="10"/>
        <v>30</v>
      </c>
      <c r="F83">
        <f t="shared" si="11"/>
        <v>1772</v>
      </c>
    </row>
    <row r="84" spans="1:6">
      <c r="A84">
        <f t="shared" si="6"/>
        <v>80</v>
      </c>
      <c r="B84" s="238">
        <f t="shared" si="7"/>
        <v>48761</v>
      </c>
      <c r="C84">
        <f t="shared" si="8"/>
        <v>31</v>
      </c>
      <c r="D84" s="333" t="str">
        <f t="shared" si="9"/>
        <v>가동</v>
      </c>
      <c r="E84">
        <f t="shared" si="10"/>
        <v>31</v>
      </c>
      <c r="F84">
        <f t="shared" si="11"/>
        <v>1803</v>
      </c>
    </row>
    <row r="85" spans="1:6">
      <c r="A85">
        <f t="shared" si="6"/>
        <v>81</v>
      </c>
      <c r="B85" s="238">
        <f t="shared" si="7"/>
        <v>48792</v>
      </c>
      <c r="C85">
        <f t="shared" si="8"/>
        <v>31</v>
      </c>
      <c r="D85" s="333" t="str">
        <f t="shared" si="9"/>
        <v>가동</v>
      </c>
      <c r="E85">
        <f t="shared" si="10"/>
        <v>31</v>
      </c>
      <c r="F85">
        <f t="shared" si="11"/>
        <v>1834</v>
      </c>
    </row>
    <row r="86" spans="1:6">
      <c r="A86">
        <f t="shared" si="6"/>
        <v>82</v>
      </c>
      <c r="B86" s="238">
        <f t="shared" si="7"/>
        <v>48823</v>
      </c>
      <c r="C86">
        <f t="shared" si="8"/>
        <v>30</v>
      </c>
      <c r="D86" s="333" t="str">
        <f t="shared" si="9"/>
        <v>가동</v>
      </c>
      <c r="E86">
        <f t="shared" si="10"/>
        <v>30</v>
      </c>
      <c r="F86">
        <f t="shared" si="11"/>
        <v>1864</v>
      </c>
    </row>
    <row r="87" spans="1:6">
      <c r="A87">
        <f t="shared" si="6"/>
        <v>83</v>
      </c>
      <c r="B87" s="238">
        <f t="shared" si="7"/>
        <v>48853</v>
      </c>
      <c r="C87">
        <f t="shared" si="8"/>
        <v>31</v>
      </c>
      <c r="D87" s="333" t="str">
        <f t="shared" si="9"/>
        <v>가동</v>
      </c>
      <c r="E87">
        <f t="shared" si="10"/>
        <v>31</v>
      </c>
      <c r="F87">
        <f t="shared" si="11"/>
        <v>1895</v>
      </c>
    </row>
    <row r="88" spans="1:6">
      <c r="A88">
        <f t="shared" si="6"/>
        <v>84</v>
      </c>
      <c r="B88" s="238">
        <f t="shared" si="7"/>
        <v>48884</v>
      </c>
      <c r="C88">
        <f t="shared" si="8"/>
        <v>30</v>
      </c>
      <c r="D88" s="333" t="str">
        <f t="shared" si="9"/>
        <v>가동</v>
      </c>
      <c r="E88">
        <f t="shared" si="10"/>
        <v>30</v>
      </c>
      <c r="F88">
        <f t="shared" si="11"/>
        <v>1925</v>
      </c>
    </row>
    <row r="89" spans="1:6">
      <c r="A89">
        <f t="shared" si="6"/>
        <v>85</v>
      </c>
      <c r="B89" s="238">
        <f t="shared" si="7"/>
        <v>48914</v>
      </c>
      <c r="C89">
        <f t="shared" si="8"/>
        <v>31</v>
      </c>
      <c r="D89" s="333" t="str">
        <f t="shared" si="9"/>
        <v>중지</v>
      </c>
      <c r="E89">
        <f t="shared" si="10"/>
        <v>0</v>
      </c>
      <c r="F89">
        <f t="shared" si="11"/>
        <v>1925</v>
      </c>
    </row>
    <row r="90" spans="1:6">
      <c r="A90">
        <f t="shared" si="6"/>
        <v>86</v>
      </c>
      <c r="B90" s="238">
        <f t="shared" si="7"/>
        <v>48945</v>
      </c>
      <c r="C90">
        <f t="shared" si="8"/>
        <v>31</v>
      </c>
      <c r="D90" s="333" t="str">
        <f t="shared" si="9"/>
        <v>중지</v>
      </c>
      <c r="E90">
        <f t="shared" si="10"/>
        <v>0</v>
      </c>
      <c r="F90">
        <f t="shared" si="11"/>
        <v>1925</v>
      </c>
    </row>
    <row r="91" spans="1:6">
      <c r="A91">
        <f t="shared" si="6"/>
        <v>87</v>
      </c>
      <c r="B91" s="238">
        <f t="shared" si="7"/>
        <v>48976</v>
      </c>
      <c r="C91">
        <f t="shared" si="8"/>
        <v>28</v>
      </c>
      <c r="D91" s="333" t="str">
        <f t="shared" si="9"/>
        <v>중지</v>
      </c>
      <c r="E91">
        <f t="shared" si="10"/>
        <v>0</v>
      </c>
      <c r="F91">
        <f t="shared" si="11"/>
        <v>1925</v>
      </c>
    </row>
    <row r="92" spans="1:6">
      <c r="A92">
        <f t="shared" si="6"/>
        <v>88</v>
      </c>
      <c r="B92" s="238">
        <f t="shared" si="7"/>
        <v>49004</v>
      </c>
      <c r="C92">
        <f t="shared" si="8"/>
        <v>31</v>
      </c>
      <c r="D92" s="333" t="str">
        <f t="shared" si="9"/>
        <v>가동</v>
      </c>
      <c r="E92">
        <f t="shared" si="10"/>
        <v>31</v>
      </c>
      <c r="F92">
        <f t="shared" si="11"/>
        <v>1956</v>
      </c>
    </row>
    <row r="93" spans="1:6">
      <c r="A93">
        <f t="shared" si="6"/>
        <v>89</v>
      </c>
      <c r="B93" s="238">
        <f t="shared" si="7"/>
        <v>49035</v>
      </c>
      <c r="C93">
        <f t="shared" si="8"/>
        <v>30</v>
      </c>
      <c r="D93" s="333" t="str">
        <f t="shared" si="9"/>
        <v>가동</v>
      </c>
      <c r="E93">
        <f t="shared" si="10"/>
        <v>30</v>
      </c>
      <c r="F93">
        <f t="shared" si="11"/>
        <v>1986</v>
      </c>
    </row>
    <row r="94" spans="1:6">
      <c r="A94">
        <f t="shared" si="6"/>
        <v>90</v>
      </c>
      <c r="B94" s="238">
        <f t="shared" si="7"/>
        <v>49065</v>
      </c>
      <c r="C94">
        <f t="shared" si="8"/>
        <v>31</v>
      </c>
      <c r="D94" s="333" t="str">
        <f t="shared" si="9"/>
        <v>가동</v>
      </c>
      <c r="E94">
        <f t="shared" si="10"/>
        <v>31</v>
      </c>
      <c r="F94">
        <f t="shared" si="11"/>
        <v>2017</v>
      </c>
    </row>
    <row r="95" spans="1:6">
      <c r="A95">
        <f t="shared" si="6"/>
        <v>91</v>
      </c>
      <c r="B95" s="238">
        <f t="shared" si="7"/>
        <v>49096</v>
      </c>
      <c r="C95">
        <f t="shared" si="8"/>
        <v>30</v>
      </c>
      <c r="D95" s="333" t="str">
        <f t="shared" si="9"/>
        <v>가동</v>
      </c>
      <c r="E95">
        <f t="shared" si="10"/>
        <v>30</v>
      </c>
      <c r="F95">
        <f t="shared" si="11"/>
        <v>2047</v>
      </c>
    </row>
    <row r="96" spans="1:6">
      <c r="A96">
        <f t="shared" si="6"/>
        <v>92</v>
      </c>
      <c r="B96" s="238">
        <f t="shared" si="7"/>
        <v>49126</v>
      </c>
      <c r="C96">
        <f t="shared" si="8"/>
        <v>31</v>
      </c>
      <c r="D96" s="333" t="str">
        <f t="shared" si="9"/>
        <v>가동</v>
      </c>
      <c r="E96">
        <f t="shared" si="10"/>
        <v>31</v>
      </c>
      <c r="F96">
        <f t="shared" si="11"/>
        <v>2078</v>
      </c>
    </row>
    <row r="97" spans="1:6">
      <c r="A97">
        <f t="shared" si="6"/>
        <v>93</v>
      </c>
      <c r="B97" s="238">
        <f t="shared" si="7"/>
        <v>49157</v>
      </c>
      <c r="C97">
        <f t="shared" si="8"/>
        <v>31</v>
      </c>
      <c r="D97" s="333" t="str">
        <f t="shared" si="9"/>
        <v>가동</v>
      </c>
      <c r="E97">
        <f t="shared" si="10"/>
        <v>31</v>
      </c>
      <c r="F97">
        <f t="shared" si="11"/>
        <v>2109</v>
      </c>
    </row>
    <row r="98" spans="1:6">
      <c r="A98">
        <f t="shared" si="6"/>
        <v>94</v>
      </c>
      <c r="B98" s="238">
        <f t="shared" si="7"/>
        <v>49188</v>
      </c>
      <c r="C98">
        <f t="shared" si="8"/>
        <v>30</v>
      </c>
      <c r="D98" s="333" t="str">
        <f t="shared" si="9"/>
        <v>가동</v>
      </c>
      <c r="E98">
        <f t="shared" si="10"/>
        <v>30</v>
      </c>
      <c r="F98">
        <f t="shared" si="11"/>
        <v>2139</v>
      </c>
    </row>
    <row r="99" spans="1:6">
      <c r="A99">
        <f t="shared" si="6"/>
        <v>95</v>
      </c>
      <c r="B99" s="238">
        <f t="shared" si="7"/>
        <v>49218</v>
      </c>
      <c r="C99">
        <f t="shared" si="8"/>
        <v>31</v>
      </c>
      <c r="D99" s="333" t="str">
        <f t="shared" si="9"/>
        <v>가동</v>
      </c>
      <c r="E99">
        <f t="shared" si="10"/>
        <v>31</v>
      </c>
      <c r="F99">
        <f t="shared" si="11"/>
        <v>2170</v>
      </c>
    </row>
    <row r="100" spans="1:6">
      <c r="A100">
        <f t="shared" si="6"/>
        <v>96</v>
      </c>
      <c r="B100" s="238">
        <f t="shared" si="7"/>
        <v>49249</v>
      </c>
      <c r="C100">
        <f t="shared" si="8"/>
        <v>30</v>
      </c>
      <c r="D100" s="333" t="str">
        <f t="shared" si="9"/>
        <v>가동</v>
      </c>
      <c r="E100">
        <f t="shared" si="10"/>
        <v>30</v>
      </c>
      <c r="F100">
        <f t="shared" si="11"/>
        <v>2200</v>
      </c>
    </row>
    <row r="101" spans="1:6">
      <c r="A101">
        <f t="shared" si="6"/>
        <v>97</v>
      </c>
      <c r="B101" s="238">
        <f t="shared" si="7"/>
        <v>49279</v>
      </c>
      <c r="C101">
        <f t="shared" si="8"/>
        <v>31</v>
      </c>
      <c r="D101" s="333" t="str">
        <f t="shared" si="9"/>
        <v>중지</v>
      </c>
      <c r="E101">
        <f t="shared" si="10"/>
        <v>0</v>
      </c>
      <c r="F101">
        <f t="shared" si="11"/>
        <v>2200</v>
      </c>
    </row>
    <row r="102" spans="1:6">
      <c r="A102">
        <f t="shared" si="6"/>
        <v>98</v>
      </c>
      <c r="B102" s="238">
        <f t="shared" si="7"/>
        <v>49310</v>
      </c>
      <c r="C102">
        <f t="shared" si="8"/>
        <v>31</v>
      </c>
      <c r="D102" s="333" t="str">
        <f t="shared" si="9"/>
        <v>중지</v>
      </c>
      <c r="E102">
        <f t="shared" si="10"/>
        <v>0</v>
      </c>
      <c r="F102">
        <f t="shared" si="11"/>
        <v>2200</v>
      </c>
    </row>
    <row r="103" spans="1:6">
      <c r="A103">
        <f t="shared" si="6"/>
        <v>99</v>
      </c>
      <c r="B103" s="238">
        <f t="shared" si="7"/>
        <v>49341</v>
      </c>
      <c r="C103">
        <f t="shared" si="8"/>
        <v>28</v>
      </c>
      <c r="D103" s="333" t="str">
        <f t="shared" si="9"/>
        <v>중지</v>
      </c>
      <c r="E103">
        <f t="shared" si="10"/>
        <v>0</v>
      </c>
      <c r="F103">
        <f t="shared" si="11"/>
        <v>2200</v>
      </c>
    </row>
    <row r="104" spans="1:6">
      <c r="A104">
        <f t="shared" si="6"/>
        <v>100</v>
      </c>
      <c r="B104" s="238">
        <f t="shared" si="7"/>
        <v>49369</v>
      </c>
      <c r="C104">
        <f t="shared" si="8"/>
        <v>31</v>
      </c>
      <c r="D104" s="333" t="str">
        <f t="shared" si="9"/>
        <v>가동</v>
      </c>
      <c r="E104">
        <f t="shared" si="10"/>
        <v>31</v>
      </c>
      <c r="F104">
        <f t="shared" si="11"/>
        <v>2231</v>
      </c>
    </row>
    <row r="105" spans="1:6">
      <c r="A105">
        <f t="shared" si="6"/>
        <v>101</v>
      </c>
      <c r="B105" s="238">
        <f t="shared" si="7"/>
        <v>49400</v>
      </c>
      <c r="C105">
        <f t="shared" si="8"/>
        <v>30</v>
      </c>
      <c r="D105" s="333" t="str">
        <f t="shared" si="9"/>
        <v>가동</v>
      </c>
      <c r="E105">
        <f t="shared" si="10"/>
        <v>30</v>
      </c>
      <c r="F105">
        <f t="shared" si="11"/>
        <v>2261</v>
      </c>
    </row>
    <row r="106" spans="1:6">
      <c r="A106">
        <f t="shared" si="6"/>
        <v>102</v>
      </c>
      <c r="B106" s="238">
        <f t="shared" si="7"/>
        <v>49430</v>
      </c>
      <c r="C106">
        <f t="shared" si="8"/>
        <v>31</v>
      </c>
      <c r="D106" s="333" t="str">
        <f t="shared" si="9"/>
        <v>가동</v>
      </c>
      <c r="E106">
        <f t="shared" si="10"/>
        <v>31</v>
      </c>
      <c r="F106">
        <f t="shared" si="11"/>
        <v>2292</v>
      </c>
    </row>
    <row r="107" spans="1:6">
      <c r="A107">
        <f t="shared" si="6"/>
        <v>103</v>
      </c>
      <c r="B107" s="238">
        <f t="shared" si="7"/>
        <v>49461</v>
      </c>
      <c r="C107">
        <f t="shared" si="8"/>
        <v>30</v>
      </c>
      <c r="D107" s="333" t="str">
        <f t="shared" si="9"/>
        <v>가동</v>
      </c>
      <c r="E107">
        <f t="shared" si="10"/>
        <v>30</v>
      </c>
      <c r="F107">
        <f t="shared" si="11"/>
        <v>2322</v>
      </c>
    </row>
    <row r="108" spans="1:6">
      <c r="A108">
        <f t="shared" si="6"/>
        <v>104</v>
      </c>
      <c r="B108" s="238">
        <f t="shared" si="7"/>
        <v>49491</v>
      </c>
      <c r="C108">
        <f t="shared" si="8"/>
        <v>31</v>
      </c>
      <c r="D108" s="333" t="str">
        <f t="shared" si="9"/>
        <v>가동</v>
      </c>
      <c r="E108">
        <f t="shared" si="10"/>
        <v>31</v>
      </c>
      <c r="F108">
        <f t="shared" si="11"/>
        <v>2353</v>
      </c>
    </row>
    <row r="109" spans="1:6">
      <c r="A109">
        <f t="shared" si="6"/>
        <v>105</v>
      </c>
      <c r="B109" s="238">
        <f t="shared" si="7"/>
        <v>49522</v>
      </c>
      <c r="C109">
        <f t="shared" si="8"/>
        <v>31</v>
      </c>
      <c r="D109" s="333" t="str">
        <f t="shared" si="9"/>
        <v>가동</v>
      </c>
      <c r="E109">
        <f t="shared" si="10"/>
        <v>31</v>
      </c>
      <c r="F109">
        <f t="shared" si="11"/>
        <v>2384</v>
      </c>
    </row>
    <row r="110" spans="1:6">
      <c r="A110">
        <f t="shared" si="6"/>
        <v>106</v>
      </c>
      <c r="B110" s="238">
        <f t="shared" si="7"/>
        <v>49553</v>
      </c>
      <c r="C110">
        <f t="shared" si="8"/>
        <v>30</v>
      </c>
      <c r="D110" s="333" t="str">
        <f t="shared" si="9"/>
        <v>가동</v>
      </c>
      <c r="E110">
        <f t="shared" si="10"/>
        <v>30</v>
      </c>
      <c r="F110">
        <f t="shared" si="11"/>
        <v>2414</v>
      </c>
    </row>
    <row r="111" spans="1:6">
      <c r="A111">
        <f t="shared" si="6"/>
        <v>107</v>
      </c>
      <c r="B111" s="238">
        <f t="shared" si="7"/>
        <v>49583</v>
      </c>
      <c r="C111">
        <f t="shared" si="8"/>
        <v>31</v>
      </c>
      <c r="D111" s="333" t="str">
        <f t="shared" si="9"/>
        <v>가동</v>
      </c>
      <c r="E111">
        <f t="shared" si="10"/>
        <v>31</v>
      </c>
      <c r="F111">
        <f t="shared" si="11"/>
        <v>2445</v>
      </c>
    </row>
    <row r="112" spans="1:6">
      <c r="A112">
        <f t="shared" si="6"/>
        <v>108</v>
      </c>
      <c r="B112" s="238">
        <f t="shared" si="7"/>
        <v>49614</v>
      </c>
      <c r="C112">
        <f t="shared" si="8"/>
        <v>30</v>
      </c>
      <c r="D112" s="333" t="str">
        <f t="shared" si="9"/>
        <v>가동</v>
      </c>
      <c r="E112">
        <f t="shared" si="10"/>
        <v>30</v>
      </c>
      <c r="F112">
        <f t="shared" si="11"/>
        <v>2475</v>
      </c>
    </row>
    <row r="113" spans="1:6">
      <c r="A113">
        <f t="shared" si="6"/>
        <v>109</v>
      </c>
      <c r="B113" s="238">
        <f t="shared" si="7"/>
        <v>49644</v>
      </c>
      <c r="C113">
        <f t="shared" si="8"/>
        <v>31</v>
      </c>
      <c r="D113" s="333" t="str">
        <f t="shared" si="9"/>
        <v>중지</v>
      </c>
      <c r="E113">
        <f t="shared" si="10"/>
        <v>0</v>
      </c>
      <c r="F113">
        <f t="shared" si="11"/>
        <v>2475</v>
      </c>
    </row>
    <row r="114" spans="1:6">
      <c r="A114">
        <f t="shared" si="6"/>
        <v>110</v>
      </c>
      <c r="B114" s="238">
        <f t="shared" si="7"/>
        <v>49675</v>
      </c>
      <c r="C114">
        <f t="shared" si="8"/>
        <v>31</v>
      </c>
      <c r="D114" s="333" t="str">
        <f t="shared" si="9"/>
        <v>중지</v>
      </c>
      <c r="E114">
        <f t="shared" si="10"/>
        <v>0</v>
      </c>
      <c r="F114">
        <f t="shared" si="11"/>
        <v>2475</v>
      </c>
    </row>
    <row r="115" spans="1:6">
      <c r="A115">
        <f t="shared" si="6"/>
        <v>111</v>
      </c>
      <c r="B115" s="238">
        <f t="shared" si="7"/>
        <v>49706</v>
      </c>
      <c r="C115">
        <f t="shared" si="8"/>
        <v>29</v>
      </c>
      <c r="D115" s="333" t="str">
        <f t="shared" si="9"/>
        <v>중지</v>
      </c>
      <c r="E115">
        <f t="shared" si="10"/>
        <v>0</v>
      </c>
      <c r="F115">
        <f t="shared" si="11"/>
        <v>2475</v>
      </c>
    </row>
    <row r="116" spans="1:6">
      <c r="A116">
        <f t="shared" si="6"/>
        <v>112</v>
      </c>
      <c r="B116" s="238">
        <f t="shared" si="7"/>
        <v>49735</v>
      </c>
      <c r="C116">
        <f t="shared" si="8"/>
        <v>31</v>
      </c>
      <c r="D116" s="333" t="str">
        <f t="shared" si="9"/>
        <v>가동</v>
      </c>
      <c r="E116">
        <f t="shared" si="10"/>
        <v>31</v>
      </c>
      <c r="F116">
        <f t="shared" si="11"/>
        <v>2506</v>
      </c>
    </row>
    <row r="117" spans="1:6">
      <c r="A117">
        <f t="shared" si="6"/>
        <v>113</v>
      </c>
      <c r="B117" s="238">
        <f t="shared" si="7"/>
        <v>49766</v>
      </c>
      <c r="C117">
        <f t="shared" si="8"/>
        <v>30</v>
      </c>
      <c r="D117" s="333" t="str">
        <f t="shared" si="9"/>
        <v>가동</v>
      </c>
      <c r="E117">
        <f t="shared" si="10"/>
        <v>30</v>
      </c>
      <c r="F117">
        <f t="shared" si="11"/>
        <v>2536</v>
      </c>
    </row>
    <row r="118" spans="1:6">
      <c r="A118">
        <f t="shared" si="6"/>
        <v>114</v>
      </c>
      <c r="B118" s="238">
        <f t="shared" si="7"/>
        <v>49796</v>
      </c>
      <c r="C118">
        <f t="shared" si="8"/>
        <v>31</v>
      </c>
      <c r="D118" s="333" t="str">
        <f t="shared" si="9"/>
        <v>가동</v>
      </c>
      <c r="E118">
        <f t="shared" si="10"/>
        <v>31</v>
      </c>
      <c r="F118">
        <f t="shared" si="11"/>
        <v>2567</v>
      </c>
    </row>
    <row r="119" spans="1:6">
      <c r="A119">
        <f t="shared" si="6"/>
        <v>115</v>
      </c>
      <c r="B119" s="238">
        <f t="shared" si="7"/>
        <v>49827</v>
      </c>
      <c r="C119">
        <f t="shared" si="8"/>
        <v>30</v>
      </c>
      <c r="D119" s="333" t="str">
        <f t="shared" si="9"/>
        <v>가동</v>
      </c>
      <c r="E119">
        <f t="shared" si="10"/>
        <v>30</v>
      </c>
      <c r="F119">
        <f t="shared" si="11"/>
        <v>2597</v>
      </c>
    </row>
    <row r="120" spans="1:6">
      <c r="A120">
        <f t="shared" si="6"/>
        <v>116</v>
      </c>
      <c r="B120" s="238">
        <f t="shared" si="7"/>
        <v>49857</v>
      </c>
      <c r="C120">
        <f t="shared" si="8"/>
        <v>31</v>
      </c>
      <c r="D120" s="333" t="str">
        <f t="shared" si="9"/>
        <v>가동</v>
      </c>
      <c r="E120">
        <f t="shared" si="10"/>
        <v>31</v>
      </c>
      <c r="F120">
        <f t="shared" si="11"/>
        <v>2628</v>
      </c>
    </row>
    <row r="121" spans="1:6">
      <c r="A121">
        <f t="shared" si="6"/>
        <v>117</v>
      </c>
      <c r="B121" s="238">
        <f t="shared" si="7"/>
        <v>49888</v>
      </c>
      <c r="C121">
        <f t="shared" si="8"/>
        <v>31</v>
      </c>
      <c r="D121" s="333" t="str">
        <f t="shared" si="9"/>
        <v>가동</v>
      </c>
      <c r="E121">
        <f t="shared" si="10"/>
        <v>31</v>
      </c>
      <c r="F121">
        <f t="shared" si="11"/>
        <v>2659</v>
      </c>
    </row>
    <row r="122" spans="1:6">
      <c r="A122">
        <f t="shared" si="6"/>
        <v>118</v>
      </c>
      <c r="B122" s="238">
        <f t="shared" si="7"/>
        <v>49919</v>
      </c>
      <c r="C122">
        <f t="shared" si="8"/>
        <v>30</v>
      </c>
      <c r="D122" s="333" t="str">
        <f t="shared" si="9"/>
        <v>가동</v>
      </c>
      <c r="E122">
        <f t="shared" si="10"/>
        <v>30</v>
      </c>
      <c r="F122">
        <f t="shared" si="11"/>
        <v>2689</v>
      </c>
    </row>
    <row r="123" spans="1:6">
      <c r="A123">
        <f t="shared" si="6"/>
        <v>119</v>
      </c>
      <c r="B123" s="238">
        <f t="shared" si="7"/>
        <v>49949</v>
      </c>
      <c r="C123">
        <f t="shared" si="8"/>
        <v>31</v>
      </c>
      <c r="D123" s="333" t="str">
        <f t="shared" si="9"/>
        <v>가동</v>
      </c>
      <c r="E123">
        <f t="shared" si="10"/>
        <v>31</v>
      </c>
      <c r="F123">
        <f t="shared" si="11"/>
        <v>2720</v>
      </c>
    </row>
    <row r="124" spans="1:6">
      <c r="A124">
        <f t="shared" si="6"/>
        <v>120</v>
      </c>
      <c r="B124" s="238">
        <f t="shared" si="7"/>
        <v>49980</v>
      </c>
      <c r="C124">
        <f t="shared" si="8"/>
        <v>30</v>
      </c>
      <c r="D124" s="333" t="str">
        <f t="shared" si="9"/>
        <v>가동</v>
      </c>
      <c r="E124">
        <f t="shared" si="10"/>
        <v>30</v>
      </c>
      <c r="F124">
        <f t="shared" si="11"/>
        <v>2750</v>
      </c>
    </row>
  </sheetData>
  <phoneticPr fontId="8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63FA-D153-44E4-8768-7735223F217F}">
  <sheetPr>
    <tabColor rgb="FF2E75B6"/>
  </sheetPr>
  <dimension ref="A1:BP106"/>
  <sheetViews>
    <sheetView view="pageBreakPreview" zoomScale="60" zoomScaleNormal="70" workbookViewId="0">
      <pane xSplit="8" ySplit="7" topLeftCell="AO8" activePane="bottomRight" state="frozen"/>
      <selection sqref="A1:N1"/>
      <selection pane="topRight" sqref="A1:N1"/>
      <selection pane="bottomLeft" sqref="A1:N1"/>
      <selection pane="bottomRight" activeCell="BG58" sqref="BG58"/>
    </sheetView>
  </sheetViews>
  <sheetFormatPr defaultColWidth="9.15234375" defaultRowHeight="14.6"/>
  <cols>
    <col min="1" max="1" width="25.3828125" customWidth="1"/>
    <col min="2" max="2" width="14.69140625" customWidth="1"/>
    <col min="3" max="3" width="42.15234375" customWidth="1"/>
    <col min="4" max="8" width="17.15234375" hidden="1" customWidth="1"/>
    <col min="9" max="68" width="10.69140625" customWidth="1"/>
  </cols>
  <sheetData>
    <row r="1" spans="1:68" ht="34.5" customHeight="1" thickBot="1">
      <c r="A1" s="380" t="s">
        <v>1765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</row>
    <row r="2" spans="1:68" ht="30" hidden="1" customHeight="1">
      <c r="A2" s="237" t="s">
        <v>1667</v>
      </c>
      <c r="I2" s="220" t="str">
        <f>IF(OR(MONTH(I$5)=12,MONTH(I$5)=1,MONTH(I$5)=2),"중지","")</f>
        <v>중지</v>
      </c>
      <c r="J2" s="220" t="str">
        <f t="shared" ref="J2:AV2" si="0">IF(OR(MONTH(J$5)=12,MONTH(J$5)=1,MONTH(J$5)=2),"중지","")</f>
        <v>중지</v>
      </c>
      <c r="K2" s="220" t="str">
        <f t="shared" si="0"/>
        <v>중지</v>
      </c>
      <c r="L2" s="220" t="str">
        <f t="shared" si="0"/>
        <v/>
      </c>
      <c r="M2" s="220" t="str">
        <f t="shared" si="0"/>
        <v/>
      </c>
      <c r="N2" s="220" t="str">
        <f t="shared" si="0"/>
        <v/>
      </c>
      <c r="O2" s="220" t="str">
        <f t="shared" si="0"/>
        <v/>
      </c>
      <c r="P2" s="220" t="str">
        <f t="shared" si="0"/>
        <v/>
      </c>
      <c r="Q2" s="220" t="str">
        <f t="shared" si="0"/>
        <v/>
      </c>
      <c r="R2" s="220" t="str">
        <f t="shared" si="0"/>
        <v/>
      </c>
      <c r="S2" s="220" t="str">
        <f t="shared" si="0"/>
        <v/>
      </c>
      <c r="T2" s="220" t="str">
        <f t="shared" si="0"/>
        <v/>
      </c>
      <c r="U2" s="220" t="str">
        <f t="shared" si="0"/>
        <v>중지</v>
      </c>
      <c r="V2" s="220" t="str">
        <f t="shared" si="0"/>
        <v>중지</v>
      </c>
      <c r="W2" s="220" t="str">
        <f t="shared" si="0"/>
        <v>중지</v>
      </c>
      <c r="X2" s="220" t="str">
        <f t="shared" si="0"/>
        <v/>
      </c>
      <c r="Y2" s="220" t="str">
        <f t="shared" si="0"/>
        <v/>
      </c>
      <c r="Z2" s="220" t="str">
        <f t="shared" si="0"/>
        <v/>
      </c>
      <c r="AA2" s="220" t="str">
        <f t="shared" si="0"/>
        <v/>
      </c>
      <c r="AB2" s="220" t="str">
        <f t="shared" si="0"/>
        <v/>
      </c>
      <c r="AC2" s="220" t="str">
        <f t="shared" si="0"/>
        <v/>
      </c>
      <c r="AD2" s="220" t="str">
        <f t="shared" si="0"/>
        <v/>
      </c>
      <c r="AE2" s="220" t="str">
        <f t="shared" si="0"/>
        <v/>
      </c>
      <c r="AF2" s="220" t="str">
        <f t="shared" si="0"/>
        <v/>
      </c>
      <c r="AG2" s="220" t="str">
        <f t="shared" si="0"/>
        <v>중지</v>
      </c>
      <c r="AH2" s="220" t="str">
        <f t="shared" si="0"/>
        <v>중지</v>
      </c>
      <c r="AI2" s="220" t="str">
        <f t="shared" si="0"/>
        <v>중지</v>
      </c>
      <c r="AJ2" s="331" t="str">
        <f t="shared" si="0"/>
        <v/>
      </c>
      <c r="AK2" s="331" t="str">
        <f t="shared" si="0"/>
        <v/>
      </c>
      <c r="AL2" s="331" t="str">
        <f t="shared" si="0"/>
        <v/>
      </c>
      <c r="AM2" s="330" t="str">
        <f t="shared" si="0"/>
        <v/>
      </c>
      <c r="AN2" s="331" t="str">
        <f t="shared" si="0"/>
        <v/>
      </c>
      <c r="AO2" s="331" t="str">
        <f t="shared" si="0"/>
        <v/>
      </c>
      <c r="AP2" s="331" t="str">
        <f t="shared" si="0"/>
        <v/>
      </c>
      <c r="AQ2" s="331" t="str">
        <f t="shared" si="0"/>
        <v/>
      </c>
      <c r="AR2" s="220" t="str">
        <f t="shared" si="0"/>
        <v/>
      </c>
      <c r="AS2" s="220" t="str">
        <f t="shared" si="0"/>
        <v>중지</v>
      </c>
      <c r="AT2" s="220" t="str">
        <f t="shared" si="0"/>
        <v>중지</v>
      </c>
      <c r="AU2" s="220" t="str">
        <f t="shared" si="0"/>
        <v>중지</v>
      </c>
      <c r="AV2" s="220" t="str">
        <f t="shared" si="0"/>
        <v/>
      </c>
      <c r="AW2" s="220" t="str">
        <f t="shared" ref="AW2:BC2" si="1">IF(OR(MONTH(AW$5)=12,MONTH(AW$5)=1,MONTH(AW$5)=2),"중지","")</f>
        <v/>
      </c>
      <c r="AX2" s="220" t="str">
        <f t="shared" si="1"/>
        <v/>
      </c>
      <c r="AY2" s="220" t="str">
        <f t="shared" si="1"/>
        <v/>
      </c>
      <c r="AZ2" s="220" t="str">
        <f t="shared" si="1"/>
        <v/>
      </c>
      <c r="BA2" s="220" t="str">
        <f t="shared" si="1"/>
        <v/>
      </c>
      <c r="BB2" s="220" t="str">
        <f t="shared" si="1"/>
        <v/>
      </c>
      <c r="BC2" s="220" t="str">
        <f t="shared" si="1"/>
        <v/>
      </c>
    </row>
    <row r="3" spans="1:68" ht="30" hidden="1" customHeight="1">
      <c r="A3" s="237" t="s">
        <v>1500</v>
      </c>
      <c r="B3" s="237" t="s">
        <v>434</v>
      </c>
      <c r="C3" s="237" t="s">
        <v>1510</v>
      </c>
      <c r="D3" s="237" t="s">
        <v>1646</v>
      </c>
      <c r="E3" s="237" t="s">
        <v>1647</v>
      </c>
      <c r="F3" s="237" t="s">
        <v>1648</v>
      </c>
      <c r="G3" s="237" t="s">
        <v>1514</v>
      </c>
      <c r="H3" s="237" t="s">
        <v>1515</v>
      </c>
      <c r="I3" s="309">
        <f t="shared" ref="I3:AV3" si="2">YEAR(I$5)</f>
        <v>2026</v>
      </c>
      <c r="J3" s="309">
        <f t="shared" si="2"/>
        <v>2027</v>
      </c>
      <c r="K3" s="309">
        <f t="shared" si="2"/>
        <v>2027</v>
      </c>
      <c r="L3" s="309">
        <f t="shared" si="2"/>
        <v>2027</v>
      </c>
      <c r="M3" s="309">
        <f t="shared" si="2"/>
        <v>2027</v>
      </c>
      <c r="N3" s="309">
        <f t="shared" si="2"/>
        <v>2027</v>
      </c>
      <c r="O3" s="309">
        <f t="shared" si="2"/>
        <v>2027</v>
      </c>
      <c r="P3" s="309">
        <f t="shared" si="2"/>
        <v>2027</v>
      </c>
      <c r="Q3" s="309">
        <f t="shared" si="2"/>
        <v>2027</v>
      </c>
      <c r="R3" s="309">
        <f t="shared" si="2"/>
        <v>2027</v>
      </c>
      <c r="S3" s="309">
        <f t="shared" si="2"/>
        <v>2027</v>
      </c>
      <c r="T3" s="309">
        <f t="shared" si="2"/>
        <v>2027</v>
      </c>
      <c r="U3" s="309">
        <f t="shared" si="2"/>
        <v>2027</v>
      </c>
      <c r="V3" s="309">
        <f t="shared" si="2"/>
        <v>2028</v>
      </c>
      <c r="W3" s="309">
        <f t="shared" si="2"/>
        <v>2028</v>
      </c>
      <c r="X3" s="309">
        <f t="shared" si="2"/>
        <v>2028</v>
      </c>
      <c r="Y3" s="309">
        <f t="shared" si="2"/>
        <v>2028</v>
      </c>
      <c r="Z3" s="309">
        <f t="shared" si="2"/>
        <v>2028</v>
      </c>
      <c r="AA3" s="309">
        <f t="shared" si="2"/>
        <v>2028</v>
      </c>
      <c r="AB3" s="309">
        <f t="shared" si="2"/>
        <v>2028</v>
      </c>
      <c r="AC3" s="309">
        <f t="shared" si="2"/>
        <v>2028</v>
      </c>
      <c r="AD3" s="309">
        <f t="shared" si="2"/>
        <v>2028</v>
      </c>
      <c r="AE3" s="309">
        <f t="shared" si="2"/>
        <v>2028</v>
      </c>
      <c r="AF3" s="309">
        <f t="shared" si="2"/>
        <v>2028</v>
      </c>
      <c r="AG3" s="309">
        <f t="shared" si="2"/>
        <v>2028</v>
      </c>
      <c r="AH3" s="309">
        <f t="shared" si="2"/>
        <v>2029</v>
      </c>
      <c r="AI3" s="309">
        <f t="shared" si="2"/>
        <v>2029</v>
      </c>
      <c r="AJ3" s="309">
        <f t="shared" si="2"/>
        <v>2029</v>
      </c>
      <c r="AK3" s="309">
        <f t="shared" si="2"/>
        <v>2029</v>
      </c>
      <c r="AL3" s="309">
        <f t="shared" si="2"/>
        <v>2029</v>
      </c>
      <c r="AM3" s="309">
        <f t="shared" si="2"/>
        <v>2029</v>
      </c>
      <c r="AN3" s="309">
        <f t="shared" si="2"/>
        <v>2029</v>
      </c>
      <c r="AO3" s="309">
        <f t="shared" si="2"/>
        <v>2029</v>
      </c>
      <c r="AP3" s="309">
        <f t="shared" si="2"/>
        <v>2029</v>
      </c>
      <c r="AQ3" s="309">
        <f t="shared" si="2"/>
        <v>2029</v>
      </c>
      <c r="AR3" s="309">
        <f t="shared" si="2"/>
        <v>2029</v>
      </c>
      <c r="AS3" s="309">
        <f t="shared" si="2"/>
        <v>2029</v>
      </c>
      <c r="AT3" s="309">
        <f t="shared" si="2"/>
        <v>2030</v>
      </c>
      <c r="AU3" s="309">
        <f t="shared" si="2"/>
        <v>2030</v>
      </c>
      <c r="AV3" s="309">
        <f t="shared" si="2"/>
        <v>2030</v>
      </c>
      <c r="AW3" s="309">
        <f t="shared" ref="AW3:BC3" si="3">YEAR(AW$5)</f>
        <v>2030</v>
      </c>
      <c r="AX3" s="309">
        <f t="shared" si="3"/>
        <v>2030</v>
      </c>
      <c r="AY3" s="309">
        <f t="shared" si="3"/>
        <v>2030</v>
      </c>
      <c r="AZ3" s="309">
        <f t="shared" si="3"/>
        <v>2030</v>
      </c>
      <c r="BA3" s="309">
        <f t="shared" si="3"/>
        <v>2030</v>
      </c>
      <c r="BB3" s="309">
        <f t="shared" si="3"/>
        <v>2030</v>
      </c>
      <c r="BC3" s="309">
        <f t="shared" si="3"/>
        <v>2030</v>
      </c>
    </row>
    <row r="4" spans="1:68" ht="30" hidden="1" customHeight="1">
      <c r="I4" s="309" t="str">
        <f t="shared" ref="I4:AV4" si="4">MONTH(I$5)&amp;"월"</f>
        <v>12월</v>
      </c>
      <c r="J4" s="309" t="str">
        <f t="shared" si="4"/>
        <v>1월</v>
      </c>
      <c r="K4" s="309" t="str">
        <f t="shared" si="4"/>
        <v>2월</v>
      </c>
      <c r="L4" s="309" t="str">
        <f t="shared" si="4"/>
        <v>3월</v>
      </c>
      <c r="M4" s="309" t="str">
        <f t="shared" si="4"/>
        <v>4월</v>
      </c>
      <c r="N4" s="309" t="str">
        <f t="shared" si="4"/>
        <v>5월</v>
      </c>
      <c r="O4" s="309" t="str">
        <f t="shared" si="4"/>
        <v>6월</v>
      </c>
      <c r="P4" s="309" t="str">
        <f t="shared" si="4"/>
        <v>7월</v>
      </c>
      <c r="Q4" s="309" t="str">
        <f t="shared" si="4"/>
        <v>8월</v>
      </c>
      <c r="R4" s="309" t="str">
        <f t="shared" si="4"/>
        <v>9월</v>
      </c>
      <c r="S4" s="309" t="str">
        <f t="shared" si="4"/>
        <v>10월</v>
      </c>
      <c r="T4" s="309" t="str">
        <f t="shared" si="4"/>
        <v>11월</v>
      </c>
      <c r="U4" s="309" t="str">
        <f t="shared" si="4"/>
        <v>12월</v>
      </c>
      <c r="V4" s="309" t="str">
        <f t="shared" si="4"/>
        <v>1월</v>
      </c>
      <c r="W4" s="309" t="str">
        <f t="shared" si="4"/>
        <v>2월</v>
      </c>
      <c r="X4" s="309" t="str">
        <f t="shared" si="4"/>
        <v>3월</v>
      </c>
      <c r="Y4" s="309" t="str">
        <f t="shared" si="4"/>
        <v>4월</v>
      </c>
      <c r="Z4" s="309" t="str">
        <f t="shared" si="4"/>
        <v>5월</v>
      </c>
      <c r="AA4" s="309" t="str">
        <f t="shared" si="4"/>
        <v>6월</v>
      </c>
      <c r="AB4" s="309" t="str">
        <f t="shared" si="4"/>
        <v>7월</v>
      </c>
      <c r="AC4" s="309" t="str">
        <f t="shared" si="4"/>
        <v>8월</v>
      </c>
      <c r="AD4" s="309" t="str">
        <f t="shared" si="4"/>
        <v>9월</v>
      </c>
      <c r="AE4" s="309" t="str">
        <f t="shared" si="4"/>
        <v>10월</v>
      </c>
      <c r="AF4" s="309" t="str">
        <f t="shared" si="4"/>
        <v>11월</v>
      </c>
      <c r="AG4" s="309" t="str">
        <f t="shared" si="4"/>
        <v>12월</v>
      </c>
      <c r="AH4" s="309" t="str">
        <f t="shared" si="4"/>
        <v>1월</v>
      </c>
      <c r="AI4" s="332" t="str">
        <f t="shared" si="4"/>
        <v>2월</v>
      </c>
      <c r="AJ4" s="309" t="str">
        <f t="shared" si="4"/>
        <v>3월</v>
      </c>
      <c r="AK4" s="309" t="str">
        <f t="shared" si="4"/>
        <v>4월</v>
      </c>
      <c r="AL4" s="309" t="str">
        <f t="shared" si="4"/>
        <v>5월</v>
      </c>
      <c r="AM4" s="309" t="str">
        <f t="shared" si="4"/>
        <v>6월</v>
      </c>
      <c r="AN4" s="309" t="str">
        <f t="shared" si="4"/>
        <v>7월</v>
      </c>
      <c r="AO4" s="309" t="str">
        <f t="shared" si="4"/>
        <v>8월</v>
      </c>
      <c r="AP4" s="309" t="str">
        <f t="shared" si="4"/>
        <v>9월</v>
      </c>
      <c r="AQ4" s="309" t="str">
        <f t="shared" si="4"/>
        <v>10월</v>
      </c>
      <c r="AR4" s="309" t="str">
        <f t="shared" si="4"/>
        <v>11월</v>
      </c>
      <c r="AS4" s="309" t="str">
        <f t="shared" si="4"/>
        <v>12월</v>
      </c>
      <c r="AT4" s="309" t="str">
        <f t="shared" si="4"/>
        <v>1월</v>
      </c>
      <c r="AU4" s="309" t="str">
        <f t="shared" si="4"/>
        <v>2월</v>
      </c>
      <c r="AV4" s="309" t="str">
        <f t="shared" si="4"/>
        <v>3월</v>
      </c>
      <c r="AW4" s="309" t="str">
        <f t="shared" ref="AW4:BC4" si="5">MONTH(AW$5)&amp;"월"</f>
        <v>4월</v>
      </c>
      <c r="AX4" s="309" t="str">
        <f t="shared" si="5"/>
        <v>5월</v>
      </c>
      <c r="AY4" s="309" t="str">
        <f t="shared" si="5"/>
        <v>6월</v>
      </c>
      <c r="AZ4" s="309" t="str">
        <f t="shared" si="5"/>
        <v>7월</v>
      </c>
      <c r="BA4" s="309" t="str">
        <f t="shared" si="5"/>
        <v>8월</v>
      </c>
      <c r="BB4" s="309" t="str">
        <f t="shared" si="5"/>
        <v>9월</v>
      </c>
      <c r="BC4" s="309" t="str">
        <f t="shared" si="5"/>
        <v>10월</v>
      </c>
    </row>
    <row r="5" spans="1:68" ht="35.15" customHeight="1">
      <c r="A5" s="503" t="s">
        <v>1673</v>
      </c>
      <c r="B5" s="504"/>
      <c r="C5" s="387" t="s">
        <v>1674</v>
      </c>
      <c r="D5" s="343"/>
      <c r="E5" s="343"/>
      <c r="F5" s="343"/>
      <c r="G5" s="343"/>
      <c r="H5" s="343"/>
      <c r="I5" s="344">
        <f>DATE(YEAR(⑥공사기간종합!$C$9),MONTH(⑥공사기간종합!$C$9),1)</f>
        <v>46357</v>
      </c>
      <c r="J5" s="344">
        <f t="shared" ref="J5:AV5" si="6">EOMONTH(I$5,0)+1</f>
        <v>46388</v>
      </c>
      <c r="K5" s="344">
        <f t="shared" si="6"/>
        <v>46419</v>
      </c>
      <c r="L5" s="344">
        <f t="shared" si="6"/>
        <v>46447</v>
      </c>
      <c r="M5" s="344">
        <f t="shared" si="6"/>
        <v>46478</v>
      </c>
      <c r="N5" s="344">
        <f t="shared" si="6"/>
        <v>46508</v>
      </c>
      <c r="O5" s="344">
        <f t="shared" si="6"/>
        <v>46539</v>
      </c>
      <c r="P5" s="344">
        <f t="shared" si="6"/>
        <v>46569</v>
      </c>
      <c r="Q5" s="344">
        <f t="shared" si="6"/>
        <v>46600</v>
      </c>
      <c r="R5" s="344">
        <f t="shared" si="6"/>
        <v>46631</v>
      </c>
      <c r="S5" s="344">
        <f t="shared" si="6"/>
        <v>46661</v>
      </c>
      <c r="T5" s="344">
        <f t="shared" si="6"/>
        <v>46692</v>
      </c>
      <c r="U5" s="344">
        <f t="shared" si="6"/>
        <v>46722</v>
      </c>
      <c r="V5" s="344">
        <f t="shared" si="6"/>
        <v>46753</v>
      </c>
      <c r="W5" s="344">
        <f t="shared" si="6"/>
        <v>46784</v>
      </c>
      <c r="X5" s="344">
        <f t="shared" si="6"/>
        <v>46813</v>
      </c>
      <c r="Y5" s="344">
        <f t="shared" si="6"/>
        <v>46844</v>
      </c>
      <c r="Z5" s="344">
        <f t="shared" si="6"/>
        <v>46874</v>
      </c>
      <c r="AA5" s="344">
        <f t="shared" si="6"/>
        <v>46905</v>
      </c>
      <c r="AB5" s="344">
        <f t="shared" si="6"/>
        <v>46935</v>
      </c>
      <c r="AC5" s="344">
        <f t="shared" si="6"/>
        <v>46966</v>
      </c>
      <c r="AD5" s="344">
        <f t="shared" si="6"/>
        <v>46997</v>
      </c>
      <c r="AE5" s="344">
        <f t="shared" si="6"/>
        <v>47027</v>
      </c>
      <c r="AF5" s="344">
        <f t="shared" si="6"/>
        <v>47058</v>
      </c>
      <c r="AG5" s="344">
        <f t="shared" si="6"/>
        <v>47088</v>
      </c>
      <c r="AH5" s="344">
        <f t="shared" si="6"/>
        <v>47119</v>
      </c>
      <c r="AI5" s="344">
        <f t="shared" si="6"/>
        <v>47150</v>
      </c>
      <c r="AJ5" s="344">
        <f t="shared" si="6"/>
        <v>47178</v>
      </c>
      <c r="AK5" s="344">
        <f t="shared" si="6"/>
        <v>47209</v>
      </c>
      <c r="AL5" s="344">
        <f t="shared" si="6"/>
        <v>47239</v>
      </c>
      <c r="AM5" s="344">
        <f t="shared" si="6"/>
        <v>47270</v>
      </c>
      <c r="AN5" s="344">
        <f t="shared" si="6"/>
        <v>47300</v>
      </c>
      <c r="AO5" s="344">
        <f t="shared" si="6"/>
        <v>47331</v>
      </c>
      <c r="AP5" s="344">
        <f t="shared" si="6"/>
        <v>47362</v>
      </c>
      <c r="AQ5" s="344">
        <f t="shared" si="6"/>
        <v>47392</v>
      </c>
      <c r="AR5" s="344">
        <f t="shared" si="6"/>
        <v>47423</v>
      </c>
      <c r="AS5" s="344">
        <f t="shared" si="6"/>
        <v>47453</v>
      </c>
      <c r="AT5" s="344">
        <f t="shared" si="6"/>
        <v>47484</v>
      </c>
      <c r="AU5" s="344">
        <f t="shared" si="6"/>
        <v>47515</v>
      </c>
      <c r="AV5" s="344">
        <f t="shared" si="6"/>
        <v>47543</v>
      </c>
      <c r="AW5" s="345">
        <f t="shared" ref="AW5:BC5" si="7">EOMONTH(AV$5,0)+1</f>
        <v>47574</v>
      </c>
      <c r="AX5" s="345">
        <f t="shared" si="7"/>
        <v>47604</v>
      </c>
      <c r="AY5" s="345">
        <f t="shared" si="7"/>
        <v>47635</v>
      </c>
      <c r="AZ5" s="345">
        <f t="shared" si="7"/>
        <v>47665</v>
      </c>
      <c r="BA5" s="428">
        <f t="shared" si="7"/>
        <v>47696</v>
      </c>
      <c r="BB5" s="345">
        <f t="shared" si="7"/>
        <v>47727</v>
      </c>
      <c r="BC5" s="433">
        <f t="shared" si="7"/>
        <v>47757</v>
      </c>
      <c r="BE5" s="463" t="s">
        <v>1762</v>
      </c>
    </row>
    <row r="6" spans="1:68" s="311" customFormat="1" ht="24" customHeight="1">
      <c r="A6" s="386" t="s">
        <v>1649</v>
      </c>
      <c r="B6" s="346"/>
      <c r="C6" s="388" t="s">
        <v>1650</v>
      </c>
      <c r="D6" s="347">
        <f>⑤CP구성!$S$43</f>
        <v>46357</v>
      </c>
      <c r="E6" s="347">
        <f>⑤CP구성!$V$43</f>
        <v>47094.1</v>
      </c>
      <c r="F6" s="348">
        <f>⑤CP구성!$W$43</f>
        <v>738.09999999999854</v>
      </c>
      <c r="G6" s="348"/>
      <c r="H6" s="348"/>
      <c r="I6" s="401" t="str">
        <f>IF($D6="","",IF(AND($D6&lt;=EOMONTH(I$5,0),$E6&gt;=I$5),IF(AND(I$2="중지",$BE6&lt;&gt;"Y"),"","■"),""))</f>
        <v/>
      </c>
      <c r="J6" s="401" t="str">
        <f t="shared" ref="J6:Y21" si="8">IF($D6="","",IF(AND($D6&lt;=EOMONTH(J$5,0),$E6&gt;=J$5),IF(AND(J$2="중지",$BE6&lt;&gt;"Y"),"","■"),""))</f>
        <v/>
      </c>
      <c r="K6" s="401" t="str">
        <f t="shared" si="8"/>
        <v/>
      </c>
      <c r="L6" s="346" t="str">
        <f t="shared" si="8"/>
        <v>■</v>
      </c>
      <c r="M6" s="346" t="str">
        <f t="shared" si="8"/>
        <v>■</v>
      </c>
      <c r="N6" s="346" t="str">
        <f t="shared" si="8"/>
        <v>■</v>
      </c>
      <c r="O6" s="346" t="str">
        <f t="shared" si="8"/>
        <v>■</v>
      </c>
      <c r="P6" s="346" t="str">
        <f t="shared" si="8"/>
        <v>■</v>
      </c>
      <c r="Q6" s="346" t="str">
        <f t="shared" si="8"/>
        <v>■</v>
      </c>
      <c r="R6" s="346" t="str">
        <f t="shared" si="8"/>
        <v>■</v>
      </c>
      <c r="S6" s="346" t="str">
        <f t="shared" si="8"/>
        <v>■</v>
      </c>
      <c r="T6" s="346" t="str">
        <f t="shared" si="8"/>
        <v>■</v>
      </c>
      <c r="U6" s="401" t="str">
        <f t="shared" si="8"/>
        <v/>
      </c>
      <c r="V6" s="401" t="str">
        <f t="shared" si="8"/>
        <v/>
      </c>
      <c r="W6" s="401" t="str">
        <f t="shared" si="8"/>
        <v/>
      </c>
      <c r="X6" s="346" t="str">
        <f t="shared" si="8"/>
        <v>■</v>
      </c>
      <c r="Y6" s="346" t="str">
        <f t="shared" si="8"/>
        <v>■</v>
      </c>
      <c r="Z6" s="346" t="str">
        <f t="shared" ref="Z6:AO21" si="9">IF($D6="","",IF(AND($D6&lt;=EOMONTH(Z$5,0),$E6&gt;=Z$5),IF(AND(Z$2="중지",$BE6&lt;&gt;"Y"),"","■"),""))</f>
        <v>■</v>
      </c>
      <c r="AA6" s="346" t="str">
        <f t="shared" si="9"/>
        <v>■</v>
      </c>
      <c r="AB6" s="346" t="str">
        <f t="shared" si="9"/>
        <v>■</v>
      </c>
      <c r="AC6" s="346" t="str">
        <f t="shared" si="9"/>
        <v>■</v>
      </c>
      <c r="AD6" s="346" t="str">
        <f t="shared" si="9"/>
        <v>■</v>
      </c>
      <c r="AE6" s="346" t="str">
        <f t="shared" si="9"/>
        <v>■</v>
      </c>
      <c r="AF6" s="346" t="str">
        <f t="shared" si="9"/>
        <v>■</v>
      </c>
      <c r="AG6" s="401" t="str">
        <f t="shared" si="9"/>
        <v/>
      </c>
      <c r="AH6" s="401" t="str">
        <f t="shared" si="9"/>
        <v/>
      </c>
      <c r="AI6" s="401" t="str">
        <f t="shared" si="9"/>
        <v/>
      </c>
      <c r="AJ6" s="346" t="str">
        <f t="shared" si="9"/>
        <v/>
      </c>
      <c r="AK6" s="346" t="str">
        <f t="shared" si="9"/>
        <v/>
      </c>
      <c r="AL6" s="346" t="str">
        <f t="shared" si="9"/>
        <v/>
      </c>
      <c r="AM6" s="346" t="str">
        <f t="shared" si="9"/>
        <v/>
      </c>
      <c r="AN6" s="346" t="str">
        <f t="shared" si="9"/>
        <v/>
      </c>
      <c r="AO6" s="346" t="str">
        <f t="shared" si="9"/>
        <v/>
      </c>
      <c r="AP6" s="346" t="str">
        <f t="shared" ref="AP6:BC21" si="10">IF($D6="","",IF(AND($D6&lt;=EOMONTH(AP$5,0),$E6&gt;=AP$5),IF(AND(AP$2="중지",$BE6&lt;&gt;"Y"),"","■"),""))</f>
        <v/>
      </c>
      <c r="AQ6" s="346" t="str">
        <f t="shared" si="10"/>
        <v/>
      </c>
      <c r="AR6" s="346" t="str">
        <f t="shared" si="10"/>
        <v/>
      </c>
      <c r="AS6" s="401" t="str">
        <f t="shared" si="10"/>
        <v/>
      </c>
      <c r="AT6" s="401" t="str">
        <f t="shared" si="10"/>
        <v/>
      </c>
      <c r="AU6" s="401" t="str">
        <f t="shared" si="10"/>
        <v/>
      </c>
      <c r="AV6" s="346" t="str">
        <f t="shared" si="10"/>
        <v/>
      </c>
      <c r="AW6" s="349" t="str">
        <f t="shared" si="10"/>
        <v/>
      </c>
      <c r="AX6" s="349" t="str">
        <f t="shared" si="10"/>
        <v/>
      </c>
      <c r="AY6" s="350" t="str">
        <f t="shared" si="10"/>
        <v/>
      </c>
      <c r="AZ6" s="350" t="str">
        <f t="shared" si="10"/>
        <v/>
      </c>
      <c r="BA6" s="429" t="str">
        <f t="shared" si="10"/>
        <v/>
      </c>
      <c r="BB6" s="350" t="str">
        <f t="shared" si="10"/>
        <v/>
      </c>
      <c r="BC6" s="434" t="str">
        <f t="shared" si="10"/>
        <v/>
      </c>
      <c r="BD6"/>
      <c r="BE6"/>
      <c r="BF6"/>
      <c r="BG6"/>
      <c r="BH6"/>
      <c r="BI6"/>
      <c r="BJ6"/>
      <c r="BK6"/>
      <c r="BL6"/>
      <c r="BM6"/>
      <c r="BN6"/>
      <c r="BO6"/>
      <c r="BP6"/>
    </row>
    <row r="7" spans="1:68" s="311" customFormat="1" ht="24" customHeight="1">
      <c r="A7" s="386" t="str">
        <f>⑤CP구성!$C16</f>
        <v>횡산소규모</v>
      </c>
      <c r="B7" s="346">
        <f>⑤CP구성!$B16</f>
        <v>1</v>
      </c>
      <c r="C7" s="388" t="str">
        <f>⑤CP구성!$D16</f>
        <v>처리시설 - 토공</v>
      </c>
      <c r="D7" s="347">
        <f>⑤CP구성!$S16</f>
        <v>46594</v>
      </c>
      <c r="E7" s="347">
        <f>⑤CP구성!$V16</f>
        <v>46824.1</v>
      </c>
      <c r="F7" s="348">
        <f>⑤CP구성!$W16</f>
        <v>231.09999999999854</v>
      </c>
      <c r="G7" s="348">
        <f>⑤CP구성!$L16</f>
        <v>148</v>
      </c>
      <c r="H7" s="348">
        <f>⑤CP구성!$M16</f>
        <v>287.10000000000002</v>
      </c>
      <c r="I7" s="402" t="str">
        <f t="shared" ref="I7:X22" si="11">IF($D7="","",IF(AND($D7&lt;=EOMONTH(I$5,0),$E7&gt;=I$5),IF(AND(I$2="중지",$BE7&lt;&gt;"Y"),"","■"),""))</f>
        <v/>
      </c>
      <c r="J7" s="402" t="str">
        <f t="shared" si="8"/>
        <v/>
      </c>
      <c r="K7" s="402" t="str">
        <f t="shared" si="8"/>
        <v/>
      </c>
      <c r="L7" s="351" t="str">
        <f t="shared" si="8"/>
        <v/>
      </c>
      <c r="M7" s="351" t="str">
        <f t="shared" si="8"/>
        <v/>
      </c>
      <c r="N7" s="351" t="str">
        <f t="shared" si="8"/>
        <v/>
      </c>
      <c r="O7" s="351" t="str">
        <f t="shared" si="8"/>
        <v/>
      </c>
      <c r="P7" s="351" t="str">
        <f t="shared" si="8"/>
        <v>■</v>
      </c>
      <c r="Q7" s="351" t="str">
        <f t="shared" si="8"/>
        <v>■</v>
      </c>
      <c r="R7" s="351" t="str">
        <f t="shared" si="8"/>
        <v>■</v>
      </c>
      <c r="S7" s="351" t="str">
        <f t="shared" si="8"/>
        <v>■</v>
      </c>
      <c r="T7" s="351" t="str">
        <f t="shared" si="8"/>
        <v>■</v>
      </c>
      <c r="U7" s="402" t="str">
        <f t="shared" si="8"/>
        <v/>
      </c>
      <c r="V7" s="402" t="str">
        <f t="shared" si="8"/>
        <v/>
      </c>
      <c r="W7" s="402" t="str">
        <f t="shared" si="8"/>
        <v/>
      </c>
      <c r="X7" s="351" t="str">
        <f t="shared" si="8"/>
        <v>■</v>
      </c>
      <c r="Y7" s="351" t="str">
        <f t="shared" si="8"/>
        <v/>
      </c>
      <c r="Z7" s="351" t="str">
        <f t="shared" si="9"/>
        <v/>
      </c>
      <c r="AA7" s="351" t="str">
        <f t="shared" si="9"/>
        <v/>
      </c>
      <c r="AB7" s="351" t="str">
        <f t="shared" si="9"/>
        <v/>
      </c>
      <c r="AC7" s="351" t="str">
        <f t="shared" si="9"/>
        <v/>
      </c>
      <c r="AD7" s="351" t="str">
        <f t="shared" si="9"/>
        <v/>
      </c>
      <c r="AE7" s="351" t="str">
        <f t="shared" si="9"/>
        <v/>
      </c>
      <c r="AF7" s="351" t="str">
        <f t="shared" si="9"/>
        <v/>
      </c>
      <c r="AG7" s="402" t="str">
        <f t="shared" si="9"/>
        <v/>
      </c>
      <c r="AH7" s="402" t="str">
        <f t="shared" si="9"/>
        <v/>
      </c>
      <c r="AI7" s="402" t="str">
        <f t="shared" si="9"/>
        <v/>
      </c>
      <c r="AJ7" s="351" t="str">
        <f t="shared" si="9"/>
        <v/>
      </c>
      <c r="AK7" s="351" t="str">
        <f t="shared" si="9"/>
        <v/>
      </c>
      <c r="AL7" s="351" t="str">
        <f t="shared" si="9"/>
        <v/>
      </c>
      <c r="AM7" s="351" t="str">
        <f t="shared" si="9"/>
        <v/>
      </c>
      <c r="AN7" s="351" t="str">
        <f t="shared" si="9"/>
        <v/>
      </c>
      <c r="AO7" s="351" t="str">
        <f t="shared" si="9"/>
        <v/>
      </c>
      <c r="AP7" s="351" t="str">
        <f t="shared" si="10"/>
        <v/>
      </c>
      <c r="AQ7" s="351" t="str">
        <f t="shared" si="10"/>
        <v/>
      </c>
      <c r="AR7" s="351" t="str">
        <f t="shared" si="10"/>
        <v/>
      </c>
      <c r="AS7" s="402" t="str">
        <f t="shared" si="10"/>
        <v/>
      </c>
      <c r="AT7" s="402" t="str">
        <f t="shared" si="10"/>
        <v/>
      </c>
      <c r="AU7" s="402" t="str">
        <f t="shared" si="10"/>
        <v/>
      </c>
      <c r="AV7" s="351" t="str">
        <f t="shared" si="10"/>
        <v/>
      </c>
      <c r="AW7" s="349" t="str">
        <f t="shared" si="10"/>
        <v/>
      </c>
      <c r="AX7" s="349" t="str">
        <f t="shared" si="10"/>
        <v/>
      </c>
      <c r="AY7" s="350" t="str">
        <f t="shared" si="10"/>
        <v/>
      </c>
      <c r="AZ7" s="350" t="str">
        <f t="shared" si="10"/>
        <v/>
      </c>
      <c r="BA7" s="429" t="str">
        <f t="shared" si="10"/>
        <v/>
      </c>
      <c r="BB7" s="350" t="str">
        <f t="shared" si="10"/>
        <v/>
      </c>
      <c r="BC7" s="434" t="str">
        <f t="shared" si="10"/>
        <v/>
      </c>
      <c r="BD7"/>
      <c r="BE7" s="311">
        <f>⑤CP구성!$AF16</f>
        <v>0</v>
      </c>
      <c r="BF7"/>
      <c r="BG7"/>
      <c r="BH7"/>
      <c r="BI7"/>
      <c r="BJ7"/>
      <c r="BK7"/>
      <c r="BL7"/>
      <c r="BM7"/>
      <c r="BN7"/>
      <c r="BO7"/>
      <c r="BP7"/>
    </row>
    <row r="8" spans="1:68" s="311" customFormat="1" ht="24" customHeight="1">
      <c r="A8" s="386" t="str">
        <f>⑤CP구성!$C17</f>
        <v>횡산소규모</v>
      </c>
      <c r="B8" s="346">
        <f>⑤CP구성!$B17</f>
        <v>2</v>
      </c>
      <c r="C8" s="388" t="str">
        <f>⑤CP구성!$D17</f>
        <v>처리시설 - 가시설공</v>
      </c>
      <c r="D8" s="347">
        <f>⑤CP구성!$S17</f>
        <v>46606</v>
      </c>
      <c r="E8" s="347">
        <f>⑤CP구성!$V17</f>
        <v>46824.1</v>
      </c>
      <c r="F8" s="348">
        <f>⑤CP구성!$W17</f>
        <v>219.09999999999854</v>
      </c>
      <c r="G8" s="348">
        <f>⑤CP구성!$L17</f>
        <v>160</v>
      </c>
      <c r="H8" s="348">
        <f>⑤CP구성!$M17</f>
        <v>287.10000000000002</v>
      </c>
      <c r="I8" s="402" t="str">
        <f t="shared" si="11"/>
        <v/>
      </c>
      <c r="J8" s="402" t="str">
        <f t="shared" si="8"/>
        <v/>
      </c>
      <c r="K8" s="402" t="str">
        <f t="shared" si="8"/>
        <v/>
      </c>
      <c r="L8" s="351" t="str">
        <f t="shared" si="8"/>
        <v/>
      </c>
      <c r="M8" s="351" t="str">
        <f t="shared" si="8"/>
        <v/>
      </c>
      <c r="N8" s="351" t="str">
        <f t="shared" si="8"/>
        <v/>
      </c>
      <c r="O8" s="351" t="str">
        <f t="shared" si="8"/>
        <v/>
      </c>
      <c r="P8" s="351" t="str">
        <f t="shared" si="8"/>
        <v/>
      </c>
      <c r="Q8" s="351" t="str">
        <f t="shared" si="8"/>
        <v>■</v>
      </c>
      <c r="R8" s="351" t="str">
        <f t="shared" si="8"/>
        <v>■</v>
      </c>
      <c r="S8" s="351" t="str">
        <f t="shared" si="8"/>
        <v>■</v>
      </c>
      <c r="T8" s="351" t="str">
        <f t="shared" si="8"/>
        <v>■</v>
      </c>
      <c r="U8" s="402" t="str">
        <f t="shared" si="8"/>
        <v/>
      </c>
      <c r="V8" s="402" t="str">
        <f t="shared" si="8"/>
        <v/>
      </c>
      <c r="W8" s="402" t="str">
        <f t="shared" si="8"/>
        <v/>
      </c>
      <c r="X8" s="351" t="str">
        <f t="shared" si="8"/>
        <v>■</v>
      </c>
      <c r="Y8" s="351" t="str">
        <f t="shared" si="8"/>
        <v/>
      </c>
      <c r="Z8" s="351" t="str">
        <f t="shared" si="9"/>
        <v/>
      </c>
      <c r="AA8" s="351" t="str">
        <f t="shared" si="9"/>
        <v/>
      </c>
      <c r="AB8" s="351" t="str">
        <f t="shared" si="9"/>
        <v/>
      </c>
      <c r="AC8" s="351" t="str">
        <f t="shared" si="9"/>
        <v/>
      </c>
      <c r="AD8" s="351" t="str">
        <f t="shared" si="9"/>
        <v/>
      </c>
      <c r="AE8" s="351" t="str">
        <f t="shared" si="9"/>
        <v/>
      </c>
      <c r="AF8" s="351" t="str">
        <f t="shared" si="9"/>
        <v/>
      </c>
      <c r="AG8" s="402" t="str">
        <f t="shared" si="9"/>
        <v/>
      </c>
      <c r="AH8" s="402" t="str">
        <f t="shared" si="9"/>
        <v/>
      </c>
      <c r="AI8" s="402" t="str">
        <f t="shared" si="9"/>
        <v/>
      </c>
      <c r="AJ8" s="351" t="str">
        <f t="shared" si="9"/>
        <v/>
      </c>
      <c r="AK8" s="351" t="str">
        <f t="shared" si="9"/>
        <v/>
      </c>
      <c r="AL8" s="351" t="str">
        <f t="shared" si="9"/>
        <v/>
      </c>
      <c r="AM8" s="351" t="str">
        <f t="shared" si="9"/>
        <v/>
      </c>
      <c r="AN8" s="351" t="str">
        <f t="shared" si="9"/>
        <v/>
      </c>
      <c r="AO8" s="351" t="str">
        <f t="shared" si="9"/>
        <v/>
      </c>
      <c r="AP8" s="351" t="str">
        <f t="shared" si="10"/>
        <v/>
      </c>
      <c r="AQ8" s="351" t="str">
        <f t="shared" si="10"/>
        <v/>
      </c>
      <c r="AR8" s="351" t="str">
        <f t="shared" si="10"/>
        <v/>
      </c>
      <c r="AS8" s="402" t="str">
        <f t="shared" si="10"/>
        <v/>
      </c>
      <c r="AT8" s="402" t="str">
        <f t="shared" si="10"/>
        <v/>
      </c>
      <c r="AU8" s="402" t="str">
        <f t="shared" si="10"/>
        <v/>
      </c>
      <c r="AV8" s="351" t="str">
        <f t="shared" si="10"/>
        <v/>
      </c>
      <c r="AW8" s="349" t="str">
        <f t="shared" si="10"/>
        <v/>
      </c>
      <c r="AX8" s="349" t="str">
        <f t="shared" si="10"/>
        <v/>
      </c>
      <c r="AY8" s="350" t="str">
        <f t="shared" si="10"/>
        <v/>
      </c>
      <c r="AZ8" s="350" t="str">
        <f t="shared" si="10"/>
        <v/>
      </c>
      <c r="BA8" s="429" t="str">
        <f t="shared" si="10"/>
        <v/>
      </c>
      <c r="BB8" s="350" t="str">
        <f t="shared" si="10"/>
        <v/>
      </c>
      <c r="BC8" s="434" t="str">
        <f t="shared" si="10"/>
        <v/>
      </c>
      <c r="BD8"/>
      <c r="BE8" s="311">
        <f>⑤CP구성!$AF17</f>
        <v>0</v>
      </c>
      <c r="BF8"/>
      <c r="BG8"/>
      <c r="BH8"/>
      <c r="BI8"/>
      <c r="BJ8"/>
      <c r="BK8"/>
      <c r="BL8"/>
      <c r="BM8"/>
      <c r="BN8"/>
      <c r="BO8"/>
      <c r="BP8"/>
    </row>
    <row r="9" spans="1:68" s="124" customFormat="1" ht="24" customHeight="1">
      <c r="A9" s="352" t="str">
        <f>⑤CP구성!$C18</f>
        <v>횡산소규모</v>
      </c>
      <c r="B9" s="346">
        <f>⑤CP구성!$B18</f>
        <v>3</v>
      </c>
      <c r="C9" s="353" t="str">
        <f>⑤CP구성!$D18</f>
        <v>처리시설 - 구조물공</v>
      </c>
      <c r="D9" s="354">
        <f>⑤CP구성!$S18</f>
        <v>46655</v>
      </c>
      <c r="E9" s="354">
        <f>⑤CP구성!$V18</f>
        <v>46824.1</v>
      </c>
      <c r="F9" s="355">
        <f>⑤CP구성!$W18</f>
        <v>170.09999999999854</v>
      </c>
      <c r="G9" s="355">
        <f>⑤CP구성!$L18</f>
        <v>209</v>
      </c>
      <c r="H9" s="356">
        <f>⑤CP구성!$M18</f>
        <v>287.10000000000002</v>
      </c>
      <c r="I9" s="403" t="str">
        <f t="shared" si="11"/>
        <v/>
      </c>
      <c r="J9" s="403" t="str">
        <f t="shared" si="8"/>
        <v/>
      </c>
      <c r="K9" s="403" t="str">
        <f t="shared" si="8"/>
        <v/>
      </c>
      <c r="L9" s="357" t="str">
        <f t="shared" si="8"/>
        <v/>
      </c>
      <c r="M9" s="357" t="str">
        <f t="shared" si="8"/>
        <v/>
      </c>
      <c r="N9" s="357" t="str">
        <f t="shared" si="8"/>
        <v/>
      </c>
      <c r="O9" s="357" t="str">
        <f t="shared" si="8"/>
        <v/>
      </c>
      <c r="P9" s="357" t="str">
        <f t="shared" si="8"/>
        <v/>
      </c>
      <c r="Q9" s="357" t="str">
        <f t="shared" si="8"/>
        <v/>
      </c>
      <c r="R9" s="357" t="str">
        <f t="shared" si="8"/>
        <v>■</v>
      </c>
      <c r="S9" s="357" t="str">
        <f t="shared" si="8"/>
        <v>■</v>
      </c>
      <c r="T9" s="357" t="str">
        <f t="shared" si="8"/>
        <v>■</v>
      </c>
      <c r="U9" s="402" t="str">
        <f t="shared" si="8"/>
        <v/>
      </c>
      <c r="V9" s="402" t="str">
        <f t="shared" si="8"/>
        <v/>
      </c>
      <c r="W9" s="402" t="str">
        <f t="shared" si="8"/>
        <v/>
      </c>
      <c r="X9" s="357" t="str">
        <f t="shared" si="8"/>
        <v>■</v>
      </c>
      <c r="Y9" s="357" t="str">
        <f t="shared" si="8"/>
        <v/>
      </c>
      <c r="Z9" s="357" t="str">
        <f t="shared" si="9"/>
        <v/>
      </c>
      <c r="AA9" s="357" t="str">
        <f t="shared" si="9"/>
        <v/>
      </c>
      <c r="AB9" s="357" t="str">
        <f t="shared" si="9"/>
        <v/>
      </c>
      <c r="AC9" s="357" t="str">
        <f t="shared" si="9"/>
        <v/>
      </c>
      <c r="AD9" s="357" t="str">
        <f t="shared" si="9"/>
        <v/>
      </c>
      <c r="AE9" s="357" t="str">
        <f t="shared" si="9"/>
        <v/>
      </c>
      <c r="AF9" s="357" t="str">
        <f t="shared" si="9"/>
        <v/>
      </c>
      <c r="AG9" s="402" t="str">
        <f t="shared" si="9"/>
        <v/>
      </c>
      <c r="AH9" s="402" t="str">
        <f t="shared" si="9"/>
        <v/>
      </c>
      <c r="AI9" s="402" t="str">
        <f t="shared" si="9"/>
        <v/>
      </c>
      <c r="AJ9" s="357" t="str">
        <f t="shared" si="9"/>
        <v/>
      </c>
      <c r="AK9" s="357" t="str">
        <f t="shared" si="9"/>
        <v/>
      </c>
      <c r="AL9" s="357" t="str">
        <f t="shared" si="9"/>
        <v/>
      </c>
      <c r="AM9" s="357" t="str">
        <f t="shared" si="9"/>
        <v/>
      </c>
      <c r="AN9" s="357" t="str">
        <f t="shared" si="9"/>
        <v/>
      </c>
      <c r="AO9" s="357" t="str">
        <f t="shared" si="9"/>
        <v/>
      </c>
      <c r="AP9" s="357" t="str">
        <f t="shared" si="10"/>
        <v/>
      </c>
      <c r="AQ9" s="357" t="str">
        <f t="shared" si="10"/>
        <v/>
      </c>
      <c r="AR9" s="357" t="str">
        <f t="shared" si="10"/>
        <v/>
      </c>
      <c r="AS9" s="402" t="str">
        <f t="shared" si="10"/>
        <v/>
      </c>
      <c r="AT9" s="402" t="str">
        <f t="shared" si="10"/>
        <v/>
      </c>
      <c r="AU9" s="402" t="str">
        <f t="shared" si="10"/>
        <v/>
      </c>
      <c r="AV9" s="357" t="str">
        <f t="shared" si="10"/>
        <v/>
      </c>
      <c r="AW9" s="358" t="str">
        <f t="shared" si="10"/>
        <v/>
      </c>
      <c r="AX9" s="358" t="str">
        <f t="shared" si="10"/>
        <v/>
      </c>
      <c r="AY9" s="358" t="str">
        <f t="shared" si="10"/>
        <v/>
      </c>
      <c r="AZ9" s="358" t="str">
        <f t="shared" si="10"/>
        <v/>
      </c>
      <c r="BA9" s="430" t="str">
        <f t="shared" si="10"/>
        <v/>
      </c>
      <c r="BB9" s="358" t="str">
        <f t="shared" si="10"/>
        <v/>
      </c>
      <c r="BC9" s="435" t="str">
        <f t="shared" si="10"/>
        <v/>
      </c>
      <c r="BD9"/>
      <c r="BE9" s="464">
        <f>⑤CP구성!$AF18</f>
        <v>0</v>
      </c>
      <c r="BF9"/>
      <c r="BG9"/>
      <c r="BH9"/>
      <c r="BI9"/>
      <c r="BJ9"/>
      <c r="BK9"/>
      <c r="BL9"/>
      <c r="BM9"/>
      <c r="BN9"/>
      <c r="BO9"/>
      <c r="BP9"/>
    </row>
    <row r="10" spans="1:68" s="126" customFormat="1" ht="24" customHeight="1">
      <c r="A10" s="359" t="str">
        <f>⑤CP구성!$C19</f>
        <v>횡산소규모</v>
      </c>
      <c r="B10" s="360">
        <f>⑤CP구성!$B19</f>
        <v>4</v>
      </c>
      <c r="C10" s="360" t="str">
        <f>⑤CP구성!$D19</f>
        <v>처리시설 - 구내배관공</v>
      </c>
      <c r="D10" s="361">
        <f>⑤CP구성!$S19</f>
        <v>46817</v>
      </c>
      <c r="E10" s="361">
        <f>⑤CP구성!$V19</f>
        <v>46842</v>
      </c>
      <c r="F10" s="362">
        <f>⑤CP구성!$W19</f>
        <v>26</v>
      </c>
      <c r="G10" s="362">
        <f>⑤CP구성!$L19</f>
        <v>280</v>
      </c>
      <c r="H10" s="362">
        <f>⑤CP구성!$M19</f>
        <v>305</v>
      </c>
      <c r="I10" s="404" t="str">
        <f t="shared" si="11"/>
        <v/>
      </c>
      <c r="J10" s="404" t="str">
        <f t="shared" si="8"/>
        <v/>
      </c>
      <c r="K10" s="404" t="str">
        <f t="shared" si="8"/>
        <v/>
      </c>
      <c r="L10" s="363" t="str">
        <f t="shared" si="8"/>
        <v/>
      </c>
      <c r="M10" s="364" t="str">
        <f t="shared" si="8"/>
        <v/>
      </c>
      <c r="N10" s="364" t="str">
        <f t="shared" si="8"/>
        <v/>
      </c>
      <c r="O10" s="364" t="str">
        <f t="shared" si="8"/>
        <v/>
      </c>
      <c r="P10" s="364" t="str">
        <f t="shared" si="8"/>
        <v/>
      </c>
      <c r="Q10" s="364" t="str">
        <f t="shared" si="8"/>
        <v/>
      </c>
      <c r="R10" s="364" t="str">
        <f t="shared" si="8"/>
        <v/>
      </c>
      <c r="S10" s="364" t="str">
        <f t="shared" si="8"/>
        <v/>
      </c>
      <c r="T10" s="364" t="str">
        <f t="shared" si="8"/>
        <v/>
      </c>
      <c r="U10" s="402" t="str">
        <f t="shared" si="8"/>
        <v/>
      </c>
      <c r="V10" s="402" t="str">
        <f t="shared" si="8"/>
        <v/>
      </c>
      <c r="W10" s="402" t="str">
        <f t="shared" si="8"/>
        <v/>
      </c>
      <c r="X10" s="364" t="str">
        <f t="shared" si="8"/>
        <v>■</v>
      </c>
      <c r="Y10" s="364" t="str">
        <f t="shared" si="8"/>
        <v/>
      </c>
      <c r="Z10" s="364" t="str">
        <f t="shared" si="9"/>
        <v/>
      </c>
      <c r="AA10" s="364" t="str">
        <f t="shared" si="9"/>
        <v/>
      </c>
      <c r="AB10" s="364" t="str">
        <f t="shared" si="9"/>
        <v/>
      </c>
      <c r="AC10" s="364" t="str">
        <f t="shared" si="9"/>
        <v/>
      </c>
      <c r="AD10" s="364" t="str">
        <f t="shared" si="9"/>
        <v/>
      </c>
      <c r="AE10" s="364" t="str">
        <f t="shared" si="9"/>
        <v/>
      </c>
      <c r="AF10" s="364" t="str">
        <f t="shared" si="9"/>
        <v/>
      </c>
      <c r="AG10" s="402" t="str">
        <f t="shared" si="9"/>
        <v/>
      </c>
      <c r="AH10" s="402" t="str">
        <f t="shared" si="9"/>
        <v/>
      </c>
      <c r="AI10" s="402" t="str">
        <f t="shared" si="9"/>
        <v/>
      </c>
      <c r="AJ10" s="364" t="str">
        <f t="shared" si="9"/>
        <v/>
      </c>
      <c r="AK10" s="364" t="str">
        <f t="shared" si="9"/>
        <v/>
      </c>
      <c r="AL10" s="364" t="str">
        <f t="shared" si="9"/>
        <v/>
      </c>
      <c r="AM10" s="364" t="str">
        <f t="shared" si="9"/>
        <v/>
      </c>
      <c r="AN10" s="364" t="str">
        <f t="shared" si="9"/>
        <v/>
      </c>
      <c r="AO10" s="364" t="str">
        <f t="shared" si="9"/>
        <v/>
      </c>
      <c r="AP10" s="364" t="str">
        <f t="shared" si="10"/>
        <v/>
      </c>
      <c r="AQ10" s="364" t="str">
        <f t="shared" si="10"/>
        <v/>
      </c>
      <c r="AR10" s="364" t="str">
        <f t="shared" si="10"/>
        <v/>
      </c>
      <c r="AS10" s="402" t="str">
        <f t="shared" si="10"/>
        <v/>
      </c>
      <c r="AT10" s="402" t="str">
        <f t="shared" si="10"/>
        <v/>
      </c>
      <c r="AU10" s="402" t="str">
        <f t="shared" si="10"/>
        <v/>
      </c>
      <c r="AV10" s="364" t="str">
        <f t="shared" si="10"/>
        <v/>
      </c>
      <c r="AW10" s="365" t="str">
        <f t="shared" si="10"/>
        <v/>
      </c>
      <c r="AX10" s="365" t="str">
        <f t="shared" si="10"/>
        <v/>
      </c>
      <c r="AY10" s="366" t="str">
        <f t="shared" si="10"/>
        <v/>
      </c>
      <c r="AZ10" s="366" t="str">
        <f t="shared" si="10"/>
        <v/>
      </c>
      <c r="BA10" s="431" t="str">
        <f t="shared" si="10"/>
        <v/>
      </c>
      <c r="BB10" s="366" t="str">
        <f t="shared" si="10"/>
        <v/>
      </c>
      <c r="BC10" s="436" t="str">
        <f t="shared" si="10"/>
        <v/>
      </c>
      <c r="BD10"/>
      <c r="BE10" s="126">
        <f>⑤CP구성!$AF19</f>
        <v>0</v>
      </c>
      <c r="BF10"/>
      <c r="BG10"/>
      <c r="BH10"/>
      <c r="BI10"/>
      <c r="BJ10"/>
      <c r="BK10"/>
      <c r="BL10"/>
      <c r="BM10"/>
      <c r="BN10"/>
      <c r="BO10"/>
      <c r="BP10"/>
    </row>
    <row r="11" spans="1:68" s="126" customFormat="1" ht="24" customHeight="1">
      <c r="A11" s="359" t="str">
        <f>⑤CP구성!$C20</f>
        <v>횡산소규모</v>
      </c>
      <c r="B11" s="360">
        <f>⑤CP구성!$B20</f>
        <v>5</v>
      </c>
      <c r="C11" s="360" t="str">
        <f>⑤CP구성!$D20</f>
        <v>처리시설 - 우배수공</v>
      </c>
      <c r="D11" s="361">
        <f>⑤CP구성!$S20</f>
        <v>46839</v>
      </c>
      <c r="E11" s="361">
        <f>⑤CP구성!$V20</f>
        <v>46921.4</v>
      </c>
      <c r="F11" s="362">
        <f>⑤CP구성!$W20</f>
        <v>83.400000000001455</v>
      </c>
      <c r="G11" s="362">
        <f>⑤CP구성!$L20</f>
        <v>302</v>
      </c>
      <c r="H11" s="362">
        <f>⑤CP구성!$M20</f>
        <v>384.4</v>
      </c>
      <c r="I11" s="405" t="str">
        <f t="shared" si="11"/>
        <v/>
      </c>
      <c r="J11" s="405" t="str">
        <f t="shared" si="8"/>
        <v/>
      </c>
      <c r="K11" s="404" t="str">
        <f t="shared" si="8"/>
        <v/>
      </c>
      <c r="L11" s="363" t="str">
        <f t="shared" si="8"/>
        <v/>
      </c>
      <c r="M11" s="364" t="str">
        <f t="shared" si="8"/>
        <v/>
      </c>
      <c r="N11" s="364" t="str">
        <f t="shared" si="8"/>
        <v/>
      </c>
      <c r="O11" s="364" t="str">
        <f t="shared" si="8"/>
        <v/>
      </c>
      <c r="P11" s="364" t="str">
        <f t="shared" si="8"/>
        <v/>
      </c>
      <c r="Q11" s="364" t="str">
        <f t="shared" si="8"/>
        <v/>
      </c>
      <c r="R11" s="364" t="str">
        <f t="shared" si="8"/>
        <v/>
      </c>
      <c r="S11" s="364" t="str">
        <f t="shared" si="8"/>
        <v/>
      </c>
      <c r="T11" s="364" t="str">
        <f t="shared" si="8"/>
        <v/>
      </c>
      <c r="U11" s="402" t="str">
        <f t="shared" si="8"/>
        <v/>
      </c>
      <c r="V11" s="402" t="str">
        <f t="shared" si="8"/>
        <v/>
      </c>
      <c r="W11" s="402" t="str">
        <f t="shared" si="8"/>
        <v/>
      </c>
      <c r="X11" s="364" t="str">
        <f t="shared" si="8"/>
        <v>■</v>
      </c>
      <c r="Y11" s="364" t="str">
        <f t="shared" si="8"/>
        <v>■</v>
      </c>
      <c r="Z11" s="364" t="str">
        <f t="shared" si="9"/>
        <v>■</v>
      </c>
      <c r="AA11" s="364" t="str">
        <f t="shared" si="9"/>
        <v>■</v>
      </c>
      <c r="AB11" s="364" t="str">
        <f t="shared" si="9"/>
        <v/>
      </c>
      <c r="AC11" s="364" t="str">
        <f t="shared" si="9"/>
        <v/>
      </c>
      <c r="AD11" s="364" t="str">
        <f t="shared" si="9"/>
        <v/>
      </c>
      <c r="AE11" s="364" t="str">
        <f t="shared" si="9"/>
        <v/>
      </c>
      <c r="AF11" s="364" t="str">
        <f t="shared" si="9"/>
        <v/>
      </c>
      <c r="AG11" s="402" t="str">
        <f t="shared" si="9"/>
        <v/>
      </c>
      <c r="AH11" s="402" t="str">
        <f t="shared" si="9"/>
        <v/>
      </c>
      <c r="AI11" s="402" t="str">
        <f t="shared" si="9"/>
        <v/>
      </c>
      <c r="AJ11" s="364" t="str">
        <f t="shared" si="9"/>
        <v/>
      </c>
      <c r="AK11" s="364" t="str">
        <f t="shared" si="9"/>
        <v/>
      </c>
      <c r="AL11" s="364" t="str">
        <f t="shared" si="9"/>
        <v/>
      </c>
      <c r="AM11" s="364" t="str">
        <f t="shared" si="9"/>
        <v/>
      </c>
      <c r="AN11" s="364" t="str">
        <f t="shared" si="9"/>
        <v/>
      </c>
      <c r="AO11" s="364" t="str">
        <f t="shared" si="9"/>
        <v/>
      </c>
      <c r="AP11" s="364" t="str">
        <f t="shared" si="10"/>
        <v/>
      </c>
      <c r="AQ11" s="364" t="str">
        <f t="shared" si="10"/>
        <v/>
      </c>
      <c r="AR11" s="364" t="str">
        <f t="shared" si="10"/>
        <v/>
      </c>
      <c r="AS11" s="402" t="str">
        <f t="shared" si="10"/>
        <v/>
      </c>
      <c r="AT11" s="402" t="str">
        <f t="shared" si="10"/>
        <v/>
      </c>
      <c r="AU11" s="402" t="str">
        <f t="shared" si="10"/>
        <v/>
      </c>
      <c r="AV11" s="364" t="str">
        <f t="shared" si="10"/>
        <v/>
      </c>
      <c r="AW11" s="365" t="str">
        <f t="shared" si="10"/>
        <v/>
      </c>
      <c r="AX11" s="365" t="str">
        <f t="shared" si="10"/>
        <v/>
      </c>
      <c r="AY11" s="366" t="str">
        <f t="shared" si="10"/>
        <v/>
      </c>
      <c r="AZ11" s="366" t="str">
        <f t="shared" si="10"/>
        <v/>
      </c>
      <c r="BA11" s="431" t="str">
        <f t="shared" si="10"/>
        <v/>
      </c>
      <c r="BB11" s="366" t="str">
        <f t="shared" si="10"/>
        <v/>
      </c>
      <c r="BC11" s="436" t="str">
        <f t="shared" si="10"/>
        <v/>
      </c>
      <c r="BD11"/>
      <c r="BE11" s="126">
        <f>⑤CP구성!$AF20</f>
        <v>0</v>
      </c>
      <c r="BF11"/>
      <c r="BG11"/>
      <c r="BH11"/>
      <c r="BI11"/>
      <c r="BJ11"/>
      <c r="BK11"/>
      <c r="BL11"/>
      <c r="BM11"/>
      <c r="BN11"/>
      <c r="BO11"/>
      <c r="BP11"/>
    </row>
    <row r="12" spans="1:68" s="126" customFormat="1" ht="24" customHeight="1">
      <c r="A12" s="359" t="str">
        <f>⑤CP구성!$C21</f>
        <v>횡산소규모</v>
      </c>
      <c r="B12" s="360">
        <f>⑤CP구성!$B21</f>
        <v>6</v>
      </c>
      <c r="C12" s="360" t="str">
        <f>⑤CP구성!$D21</f>
        <v>처리시설 - 포장공</v>
      </c>
      <c r="D12" s="361">
        <f>⑤CP구성!$S21</f>
        <v>46922</v>
      </c>
      <c r="E12" s="361">
        <f>⑤CP구성!$V21</f>
        <v>46930.1</v>
      </c>
      <c r="F12" s="362">
        <f>⑤CP구성!$W21</f>
        <v>9.0999999999985448</v>
      </c>
      <c r="G12" s="362">
        <f>⑤CP구성!$L21</f>
        <v>385</v>
      </c>
      <c r="H12" s="362">
        <f>⑤CP구성!$M21</f>
        <v>393.1</v>
      </c>
      <c r="I12" s="404" t="str">
        <f t="shared" si="11"/>
        <v/>
      </c>
      <c r="J12" s="404" t="str">
        <f t="shared" si="8"/>
        <v/>
      </c>
      <c r="K12" s="404" t="str">
        <f t="shared" si="8"/>
        <v/>
      </c>
      <c r="L12" s="363" t="str">
        <f t="shared" si="8"/>
        <v/>
      </c>
      <c r="M12" s="364" t="str">
        <f t="shared" si="8"/>
        <v/>
      </c>
      <c r="N12" s="364" t="str">
        <f t="shared" si="8"/>
        <v/>
      </c>
      <c r="O12" s="364" t="str">
        <f t="shared" si="8"/>
        <v/>
      </c>
      <c r="P12" s="364" t="str">
        <f t="shared" si="8"/>
        <v/>
      </c>
      <c r="Q12" s="364" t="str">
        <f t="shared" si="8"/>
        <v/>
      </c>
      <c r="R12" s="364" t="str">
        <f t="shared" si="8"/>
        <v/>
      </c>
      <c r="S12" s="364" t="str">
        <f t="shared" si="8"/>
        <v/>
      </c>
      <c r="T12" s="364" t="str">
        <f t="shared" si="8"/>
        <v/>
      </c>
      <c r="U12" s="402" t="str">
        <f t="shared" si="8"/>
        <v/>
      </c>
      <c r="V12" s="402" t="str">
        <f t="shared" si="8"/>
        <v/>
      </c>
      <c r="W12" s="402" t="str">
        <f t="shared" si="8"/>
        <v/>
      </c>
      <c r="X12" s="364" t="str">
        <f t="shared" si="8"/>
        <v/>
      </c>
      <c r="Y12" s="364" t="str">
        <f t="shared" si="8"/>
        <v/>
      </c>
      <c r="Z12" s="364" t="str">
        <f t="shared" si="9"/>
        <v/>
      </c>
      <c r="AA12" s="364" t="str">
        <f t="shared" si="9"/>
        <v>■</v>
      </c>
      <c r="AB12" s="364" t="str">
        <f t="shared" si="9"/>
        <v/>
      </c>
      <c r="AC12" s="364" t="str">
        <f t="shared" si="9"/>
        <v/>
      </c>
      <c r="AD12" s="364" t="str">
        <f t="shared" si="9"/>
        <v/>
      </c>
      <c r="AE12" s="364" t="str">
        <f t="shared" si="9"/>
        <v/>
      </c>
      <c r="AF12" s="364" t="str">
        <f t="shared" si="9"/>
        <v/>
      </c>
      <c r="AG12" s="402" t="str">
        <f t="shared" si="9"/>
        <v/>
      </c>
      <c r="AH12" s="402" t="str">
        <f t="shared" si="9"/>
        <v/>
      </c>
      <c r="AI12" s="402" t="str">
        <f t="shared" si="9"/>
        <v/>
      </c>
      <c r="AJ12" s="364" t="str">
        <f t="shared" si="9"/>
        <v/>
      </c>
      <c r="AK12" s="364" t="str">
        <f t="shared" si="9"/>
        <v/>
      </c>
      <c r="AL12" s="364" t="str">
        <f t="shared" si="9"/>
        <v/>
      </c>
      <c r="AM12" s="364" t="str">
        <f t="shared" si="9"/>
        <v/>
      </c>
      <c r="AN12" s="364" t="str">
        <f t="shared" si="9"/>
        <v/>
      </c>
      <c r="AO12" s="364" t="str">
        <f t="shared" si="9"/>
        <v/>
      </c>
      <c r="AP12" s="364" t="str">
        <f t="shared" si="10"/>
        <v/>
      </c>
      <c r="AQ12" s="364" t="str">
        <f t="shared" si="10"/>
        <v/>
      </c>
      <c r="AR12" s="364" t="str">
        <f t="shared" si="10"/>
        <v/>
      </c>
      <c r="AS12" s="402" t="str">
        <f t="shared" si="10"/>
        <v/>
      </c>
      <c r="AT12" s="402" t="str">
        <f t="shared" si="10"/>
        <v/>
      </c>
      <c r="AU12" s="402" t="str">
        <f t="shared" si="10"/>
        <v/>
      </c>
      <c r="AV12" s="364" t="str">
        <f t="shared" si="10"/>
        <v/>
      </c>
      <c r="AW12" s="365" t="str">
        <f t="shared" si="10"/>
        <v/>
      </c>
      <c r="AX12" s="365" t="str">
        <f t="shared" si="10"/>
        <v/>
      </c>
      <c r="AY12" s="366" t="str">
        <f t="shared" si="10"/>
        <v/>
      </c>
      <c r="AZ12" s="366" t="str">
        <f t="shared" si="10"/>
        <v/>
      </c>
      <c r="BA12" s="431" t="str">
        <f t="shared" si="10"/>
        <v/>
      </c>
      <c r="BB12" s="366" t="str">
        <f t="shared" si="10"/>
        <v/>
      </c>
      <c r="BC12" s="436" t="str">
        <f t="shared" si="10"/>
        <v/>
      </c>
      <c r="BD12"/>
      <c r="BE12" s="126">
        <f>⑤CP구성!$AF21</f>
        <v>0</v>
      </c>
      <c r="BF12"/>
      <c r="BG12"/>
      <c r="BH12"/>
      <c r="BI12"/>
      <c r="BJ12"/>
      <c r="BK12"/>
      <c r="BL12"/>
      <c r="BM12"/>
      <c r="BN12"/>
      <c r="BO12"/>
      <c r="BP12"/>
    </row>
    <row r="13" spans="1:68" s="126" customFormat="1" ht="24" customHeight="1">
      <c r="A13" s="359" t="str">
        <f>⑤CP구성!$C22</f>
        <v>횡산소규모</v>
      </c>
      <c r="B13" s="360">
        <f>⑤CP구성!$B22</f>
        <v>7</v>
      </c>
      <c r="C13" s="360" t="str">
        <f>⑤CP구성!$D22</f>
        <v>처리시설 - 부대공</v>
      </c>
      <c r="D13" s="361">
        <f>⑤CP구성!$S22</f>
        <v>46930</v>
      </c>
      <c r="E13" s="361">
        <f>⑤CP구성!$V22</f>
        <v>46972.3</v>
      </c>
      <c r="F13" s="362">
        <f>⑤CP구성!$W22</f>
        <v>43.30000000000291</v>
      </c>
      <c r="G13" s="362">
        <f>⑤CP구성!$L22</f>
        <v>393</v>
      </c>
      <c r="H13" s="362">
        <f>⑤CP구성!$M22</f>
        <v>435.3</v>
      </c>
      <c r="I13" s="404" t="str">
        <f t="shared" si="11"/>
        <v/>
      </c>
      <c r="J13" s="404" t="str">
        <f t="shared" si="8"/>
        <v/>
      </c>
      <c r="K13" s="404" t="str">
        <f t="shared" si="8"/>
        <v/>
      </c>
      <c r="L13" s="363" t="str">
        <f t="shared" si="8"/>
        <v/>
      </c>
      <c r="M13" s="364" t="str">
        <f t="shared" si="8"/>
        <v/>
      </c>
      <c r="N13" s="364" t="str">
        <f t="shared" si="8"/>
        <v/>
      </c>
      <c r="O13" s="364" t="str">
        <f t="shared" si="8"/>
        <v/>
      </c>
      <c r="P13" s="364" t="str">
        <f t="shared" si="8"/>
        <v/>
      </c>
      <c r="Q13" s="364" t="str">
        <f t="shared" si="8"/>
        <v/>
      </c>
      <c r="R13" s="364" t="str">
        <f t="shared" si="8"/>
        <v/>
      </c>
      <c r="S13" s="364" t="str">
        <f t="shared" si="8"/>
        <v/>
      </c>
      <c r="T13" s="364" t="str">
        <f t="shared" si="8"/>
        <v/>
      </c>
      <c r="U13" s="402" t="str">
        <f t="shared" si="8"/>
        <v/>
      </c>
      <c r="V13" s="402" t="str">
        <f t="shared" si="8"/>
        <v/>
      </c>
      <c r="W13" s="402" t="str">
        <f t="shared" si="8"/>
        <v/>
      </c>
      <c r="X13" s="364" t="str">
        <f t="shared" si="8"/>
        <v/>
      </c>
      <c r="Y13" s="364" t="str">
        <f t="shared" si="8"/>
        <v/>
      </c>
      <c r="Z13" s="364" t="str">
        <f t="shared" si="9"/>
        <v/>
      </c>
      <c r="AA13" s="364" t="str">
        <f t="shared" si="9"/>
        <v>■</v>
      </c>
      <c r="AB13" s="364" t="str">
        <f t="shared" si="9"/>
        <v>■</v>
      </c>
      <c r="AC13" s="364" t="str">
        <f t="shared" si="9"/>
        <v>■</v>
      </c>
      <c r="AD13" s="364" t="str">
        <f t="shared" si="9"/>
        <v/>
      </c>
      <c r="AE13" s="364" t="str">
        <f t="shared" si="9"/>
        <v/>
      </c>
      <c r="AF13" s="364" t="str">
        <f t="shared" si="9"/>
        <v/>
      </c>
      <c r="AG13" s="402" t="str">
        <f t="shared" si="9"/>
        <v/>
      </c>
      <c r="AH13" s="402" t="str">
        <f t="shared" si="9"/>
        <v/>
      </c>
      <c r="AI13" s="402" t="str">
        <f t="shared" si="9"/>
        <v/>
      </c>
      <c r="AJ13" s="364" t="str">
        <f t="shared" si="9"/>
        <v/>
      </c>
      <c r="AK13" s="364" t="str">
        <f t="shared" si="9"/>
        <v/>
      </c>
      <c r="AL13" s="364" t="str">
        <f t="shared" si="9"/>
        <v/>
      </c>
      <c r="AM13" s="364" t="str">
        <f t="shared" si="9"/>
        <v/>
      </c>
      <c r="AN13" s="364" t="str">
        <f t="shared" si="9"/>
        <v/>
      </c>
      <c r="AO13" s="364" t="str">
        <f t="shared" si="9"/>
        <v/>
      </c>
      <c r="AP13" s="364" t="str">
        <f t="shared" si="10"/>
        <v/>
      </c>
      <c r="AQ13" s="364" t="str">
        <f t="shared" si="10"/>
        <v/>
      </c>
      <c r="AR13" s="364" t="str">
        <f t="shared" si="10"/>
        <v/>
      </c>
      <c r="AS13" s="402" t="str">
        <f t="shared" si="10"/>
        <v/>
      </c>
      <c r="AT13" s="402" t="str">
        <f t="shared" si="10"/>
        <v/>
      </c>
      <c r="AU13" s="402" t="str">
        <f t="shared" si="10"/>
        <v/>
      </c>
      <c r="AV13" s="364" t="str">
        <f t="shared" si="10"/>
        <v/>
      </c>
      <c r="AW13" s="365" t="str">
        <f t="shared" si="10"/>
        <v/>
      </c>
      <c r="AX13" s="365" t="str">
        <f t="shared" si="10"/>
        <v/>
      </c>
      <c r="AY13" s="366" t="str">
        <f t="shared" si="10"/>
        <v/>
      </c>
      <c r="AZ13" s="366" t="str">
        <f t="shared" si="10"/>
        <v/>
      </c>
      <c r="BA13" s="431" t="str">
        <f t="shared" si="10"/>
        <v/>
      </c>
      <c r="BB13" s="366" t="str">
        <f t="shared" si="10"/>
        <v/>
      </c>
      <c r="BC13" s="436" t="str">
        <f t="shared" si="10"/>
        <v/>
      </c>
      <c r="BD13"/>
      <c r="BE13" s="126">
        <f>⑤CP구성!$AF22</f>
        <v>0</v>
      </c>
      <c r="BF13"/>
      <c r="BG13"/>
      <c r="BH13"/>
      <c r="BI13"/>
      <c r="BJ13"/>
      <c r="BK13"/>
      <c r="BL13"/>
      <c r="BM13"/>
      <c r="BN13"/>
      <c r="BO13"/>
      <c r="BP13"/>
    </row>
    <row r="14" spans="1:68" s="126" customFormat="1" ht="24" customHeight="1">
      <c r="A14" s="359" t="str">
        <f>⑤CP구성!$C23</f>
        <v>횡산소규모</v>
      </c>
      <c r="B14" s="360">
        <f>⑤CP구성!$B23</f>
        <v>8</v>
      </c>
      <c r="C14" s="360" t="str">
        <f>⑤CP구성!$D23</f>
        <v>오수관로 - 토공</v>
      </c>
      <c r="D14" s="361">
        <f>⑤CP구성!$S23</f>
        <v>46447</v>
      </c>
      <c r="E14" s="361">
        <f>⑤CP구성!$V23</f>
        <v>46836.3</v>
      </c>
      <c r="F14" s="362">
        <f>⑤CP구성!$W23</f>
        <v>390.30000000000291</v>
      </c>
      <c r="G14" s="362">
        <f>⑤CP구성!$L23</f>
        <v>1</v>
      </c>
      <c r="H14" s="362">
        <f>⑤CP구성!$M23</f>
        <v>299.3</v>
      </c>
      <c r="I14" s="406" t="str">
        <f t="shared" si="11"/>
        <v/>
      </c>
      <c r="J14" s="406" t="str">
        <f t="shared" si="8"/>
        <v/>
      </c>
      <c r="K14" s="405" t="str">
        <f t="shared" si="8"/>
        <v/>
      </c>
      <c r="L14" s="364" t="str">
        <f t="shared" si="8"/>
        <v>■</v>
      </c>
      <c r="M14" s="364" t="str">
        <f t="shared" si="8"/>
        <v>■</v>
      </c>
      <c r="N14" s="364" t="str">
        <f t="shared" si="8"/>
        <v>■</v>
      </c>
      <c r="O14" s="364" t="str">
        <f t="shared" si="8"/>
        <v>■</v>
      </c>
      <c r="P14" s="364" t="str">
        <f t="shared" si="8"/>
        <v>■</v>
      </c>
      <c r="Q14" s="364" t="str">
        <f t="shared" si="8"/>
        <v>■</v>
      </c>
      <c r="R14" s="364" t="str">
        <f t="shared" si="8"/>
        <v>■</v>
      </c>
      <c r="S14" s="364" t="str">
        <f t="shared" si="8"/>
        <v>■</v>
      </c>
      <c r="T14" s="364" t="str">
        <f t="shared" si="8"/>
        <v>■</v>
      </c>
      <c r="U14" s="402" t="str">
        <f t="shared" si="8"/>
        <v/>
      </c>
      <c r="V14" s="402" t="str">
        <f t="shared" si="8"/>
        <v/>
      </c>
      <c r="W14" s="402" t="str">
        <f t="shared" si="8"/>
        <v/>
      </c>
      <c r="X14" s="364" t="str">
        <f t="shared" si="8"/>
        <v>■</v>
      </c>
      <c r="Y14" s="364" t="str">
        <f t="shared" si="8"/>
        <v/>
      </c>
      <c r="Z14" s="364" t="str">
        <f t="shared" si="9"/>
        <v/>
      </c>
      <c r="AA14" s="364" t="str">
        <f t="shared" si="9"/>
        <v/>
      </c>
      <c r="AB14" s="364" t="str">
        <f t="shared" si="9"/>
        <v/>
      </c>
      <c r="AC14" s="364" t="str">
        <f t="shared" si="9"/>
        <v/>
      </c>
      <c r="AD14" s="364" t="str">
        <f t="shared" si="9"/>
        <v/>
      </c>
      <c r="AE14" s="364" t="str">
        <f t="shared" si="9"/>
        <v/>
      </c>
      <c r="AF14" s="364" t="str">
        <f t="shared" si="9"/>
        <v/>
      </c>
      <c r="AG14" s="402" t="str">
        <f t="shared" si="9"/>
        <v/>
      </c>
      <c r="AH14" s="402" t="str">
        <f t="shared" si="9"/>
        <v/>
      </c>
      <c r="AI14" s="402" t="str">
        <f t="shared" si="9"/>
        <v/>
      </c>
      <c r="AJ14" s="364" t="str">
        <f t="shared" si="9"/>
        <v/>
      </c>
      <c r="AK14" s="364" t="str">
        <f t="shared" si="9"/>
        <v/>
      </c>
      <c r="AL14" s="364" t="str">
        <f t="shared" si="9"/>
        <v/>
      </c>
      <c r="AM14" s="364" t="str">
        <f t="shared" si="9"/>
        <v/>
      </c>
      <c r="AN14" s="364" t="str">
        <f t="shared" si="9"/>
        <v/>
      </c>
      <c r="AO14" s="364" t="str">
        <f t="shared" si="9"/>
        <v/>
      </c>
      <c r="AP14" s="364" t="str">
        <f t="shared" si="10"/>
        <v/>
      </c>
      <c r="AQ14" s="364" t="str">
        <f t="shared" si="10"/>
        <v/>
      </c>
      <c r="AR14" s="364" t="str">
        <f t="shared" si="10"/>
        <v/>
      </c>
      <c r="AS14" s="402" t="str">
        <f t="shared" si="10"/>
        <v/>
      </c>
      <c r="AT14" s="402" t="str">
        <f t="shared" si="10"/>
        <v/>
      </c>
      <c r="AU14" s="402" t="str">
        <f t="shared" si="10"/>
        <v/>
      </c>
      <c r="AV14" s="364" t="str">
        <f t="shared" si="10"/>
        <v/>
      </c>
      <c r="AW14" s="365" t="str">
        <f t="shared" si="10"/>
        <v/>
      </c>
      <c r="AX14" s="365" t="str">
        <f t="shared" si="10"/>
        <v/>
      </c>
      <c r="AY14" s="366" t="str">
        <f t="shared" si="10"/>
        <v/>
      </c>
      <c r="AZ14" s="366" t="str">
        <f t="shared" si="10"/>
        <v/>
      </c>
      <c r="BA14" s="431" t="str">
        <f t="shared" si="10"/>
        <v/>
      </c>
      <c r="BB14" s="366" t="str">
        <f t="shared" si="10"/>
        <v/>
      </c>
      <c r="BC14" s="436" t="str">
        <f t="shared" si="10"/>
        <v/>
      </c>
      <c r="BD14"/>
      <c r="BE14" s="126">
        <f>⑤CP구성!$AF23</f>
        <v>0</v>
      </c>
      <c r="BF14"/>
      <c r="BG14"/>
      <c r="BH14"/>
      <c r="BI14"/>
      <c r="BJ14"/>
      <c r="BK14"/>
      <c r="BL14"/>
      <c r="BM14"/>
      <c r="BN14"/>
      <c r="BO14"/>
      <c r="BP14"/>
    </row>
    <row r="15" spans="1:68" s="126" customFormat="1" ht="24" customHeight="1">
      <c r="A15" s="359" t="str">
        <f>⑤CP구성!$C24</f>
        <v>횡산소규모</v>
      </c>
      <c r="B15" s="360">
        <f>⑤CP구성!$B24</f>
        <v>9</v>
      </c>
      <c r="C15" s="360" t="str">
        <f>⑤CP구성!$D24</f>
        <v>오수관로 - 가시설공</v>
      </c>
      <c r="D15" s="361">
        <f>⑤CP구성!$S24</f>
        <v>46522</v>
      </c>
      <c r="E15" s="361">
        <f>⑤CP구성!$V24</f>
        <v>46836.3</v>
      </c>
      <c r="F15" s="362">
        <f>⑤CP구성!$W24</f>
        <v>315.30000000000291</v>
      </c>
      <c r="G15" s="362">
        <f>⑤CP구성!$L24</f>
        <v>76</v>
      </c>
      <c r="H15" s="362">
        <f>⑤CP구성!$M24</f>
        <v>299.3</v>
      </c>
      <c r="I15" s="404" t="str">
        <f t="shared" si="11"/>
        <v/>
      </c>
      <c r="J15" s="404" t="str">
        <f t="shared" si="8"/>
        <v/>
      </c>
      <c r="K15" s="404" t="str">
        <f t="shared" si="8"/>
        <v/>
      </c>
      <c r="L15" s="363" t="str">
        <f t="shared" si="8"/>
        <v/>
      </c>
      <c r="M15" s="364" t="str">
        <f t="shared" si="8"/>
        <v/>
      </c>
      <c r="N15" s="364" t="str">
        <f t="shared" si="8"/>
        <v>■</v>
      </c>
      <c r="O15" s="364" t="str">
        <f t="shared" si="8"/>
        <v>■</v>
      </c>
      <c r="P15" s="364" t="str">
        <f t="shared" si="8"/>
        <v>■</v>
      </c>
      <c r="Q15" s="364" t="str">
        <f t="shared" si="8"/>
        <v>■</v>
      </c>
      <c r="R15" s="364" t="str">
        <f t="shared" si="8"/>
        <v>■</v>
      </c>
      <c r="S15" s="364" t="str">
        <f t="shared" si="8"/>
        <v>■</v>
      </c>
      <c r="T15" s="364" t="str">
        <f t="shared" si="8"/>
        <v>■</v>
      </c>
      <c r="U15" s="402" t="str">
        <f t="shared" si="8"/>
        <v/>
      </c>
      <c r="V15" s="402" t="str">
        <f t="shared" si="8"/>
        <v/>
      </c>
      <c r="W15" s="402" t="str">
        <f t="shared" si="8"/>
        <v/>
      </c>
      <c r="X15" s="364" t="str">
        <f t="shared" si="8"/>
        <v>■</v>
      </c>
      <c r="Y15" s="364" t="str">
        <f t="shared" si="8"/>
        <v/>
      </c>
      <c r="Z15" s="364" t="str">
        <f t="shared" si="9"/>
        <v/>
      </c>
      <c r="AA15" s="364" t="str">
        <f t="shared" si="9"/>
        <v/>
      </c>
      <c r="AB15" s="364" t="str">
        <f t="shared" si="9"/>
        <v/>
      </c>
      <c r="AC15" s="364" t="str">
        <f t="shared" si="9"/>
        <v/>
      </c>
      <c r="AD15" s="364" t="str">
        <f t="shared" si="9"/>
        <v/>
      </c>
      <c r="AE15" s="364" t="str">
        <f t="shared" si="9"/>
        <v/>
      </c>
      <c r="AF15" s="364" t="str">
        <f t="shared" si="9"/>
        <v/>
      </c>
      <c r="AG15" s="402" t="str">
        <f t="shared" si="9"/>
        <v/>
      </c>
      <c r="AH15" s="402" t="str">
        <f t="shared" si="9"/>
        <v/>
      </c>
      <c r="AI15" s="402" t="str">
        <f t="shared" si="9"/>
        <v/>
      </c>
      <c r="AJ15" s="364" t="str">
        <f t="shared" si="9"/>
        <v/>
      </c>
      <c r="AK15" s="364" t="str">
        <f t="shared" si="9"/>
        <v/>
      </c>
      <c r="AL15" s="364" t="str">
        <f t="shared" si="9"/>
        <v/>
      </c>
      <c r="AM15" s="364" t="str">
        <f t="shared" si="9"/>
        <v/>
      </c>
      <c r="AN15" s="364" t="str">
        <f t="shared" si="9"/>
        <v/>
      </c>
      <c r="AO15" s="364" t="str">
        <f t="shared" si="9"/>
        <v/>
      </c>
      <c r="AP15" s="364" t="str">
        <f t="shared" si="10"/>
        <v/>
      </c>
      <c r="AQ15" s="364" t="str">
        <f t="shared" si="10"/>
        <v/>
      </c>
      <c r="AR15" s="364" t="str">
        <f t="shared" si="10"/>
        <v/>
      </c>
      <c r="AS15" s="402" t="str">
        <f t="shared" si="10"/>
        <v/>
      </c>
      <c r="AT15" s="402" t="str">
        <f t="shared" si="10"/>
        <v/>
      </c>
      <c r="AU15" s="402" t="str">
        <f t="shared" si="10"/>
        <v/>
      </c>
      <c r="AV15" s="364" t="str">
        <f t="shared" si="10"/>
        <v/>
      </c>
      <c r="AW15" s="365" t="str">
        <f t="shared" si="10"/>
        <v/>
      </c>
      <c r="AX15" s="365" t="str">
        <f t="shared" si="10"/>
        <v/>
      </c>
      <c r="AY15" s="366" t="str">
        <f t="shared" si="10"/>
        <v/>
      </c>
      <c r="AZ15" s="366" t="str">
        <f t="shared" si="10"/>
        <v/>
      </c>
      <c r="BA15" s="431" t="str">
        <f t="shared" si="10"/>
        <v/>
      </c>
      <c r="BB15" s="366" t="str">
        <f t="shared" si="10"/>
        <v/>
      </c>
      <c r="BC15" s="436" t="str">
        <f t="shared" si="10"/>
        <v/>
      </c>
      <c r="BD15"/>
      <c r="BE15" s="126">
        <f>⑤CP구성!$AF24</f>
        <v>0</v>
      </c>
      <c r="BF15"/>
      <c r="BG15"/>
      <c r="BH15"/>
      <c r="BI15"/>
      <c r="BJ15"/>
      <c r="BK15"/>
      <c r="BL15"/>
      <c r="BM15"/>
      <c r="BN15"/>
      <c r="BO15"/>
      <c r="BP15"/>
    </row>
    <row r="16" spans="1:68" s="126" customFormat="1" ht="24" customHeight="1">
      <c r="A16" s="359" t="str">
        <f>⑤CP구성!$C25</f>
        <v>횡산소규모</v>
      </c>
      <c r="B16" s="369">
        <f>⑤CP구성!$B25</f>
        <v>10</v>
      </c>
      <c r="C16" s="369" t="str">
        <f>⑤CP구성!$D25</f>
        <v>오수관로 - 관 부설</v>
      </c>
      <c r="D16" s="361">
        <f>⑤CP구성!$S25</f>
        <v>46538</v>
      </c>
      <c r="E16" s="361">
        <f>⑤CP구성!$V25</f>
        <v>46676.4</v>
      </c>
      <c r="F16" s="362">
        <f>⑤CP구성!$W25</f>
        <v>139.40000000000146</v>
      </c>
      <c r="G16" s="362">
        <f>⑤CP구성!$L25</f>
        <v>92</v>
      </c>
      <c r="H16" s="362">
        <f>⑤CP구성!$M25</f>
        <v>230.4</v>
      </c>
      <c r="I16" s="404" t="str">
        <f t="shared" si="11"/>
        <v/>
      </c>
      <c r="J16" s="404" t="str">
        <f t="shared" si="8"/>
        <v/>
      </c>
      <c r="K16" s="404" t="str">
        <f t="shared" si="8"/>
        <v/>
      </c>
      <c r="L16" s="363" t="str">
        <f t="shared" si="8"/>
        <v/>
      </c>
      <c r="M16" s="364" t="str">
        <f t="shared" si="8"/>
        <v/>
      </c>
      <c r="N16" s="364" t="str">
        <f t="shared" si="8"/>
        <v>■</v>
      </c>
      <c r="O16" s="364" t="str">
        <f t="shared" si="8"/>
        <v>■</v>
      </c>
      <c r="P16" s="364" t="str">
        <f t="shared" si="8"/>
        <v>■</v>
      </c>
      <c r="Q16" s="364" t="str">
        <f t="shared" si="8"/>
        <v>■</v>
      </c>
      <c r="R16" s="364" t="str">
        <f t="shared" si="8"/>
        <v>■</v>
      </c>
      <c r="S16" s="364" t="str">
        <f t="shared" si="8"/>
        <v>■</v>
      </c>
      <c r="T16" s="364" t="str">
        <f t="shared" si="8"/>
        <v/>
      </c>
      <c r="U16" s="402" t="str">
        <f t="shared" si="8"/>
        <v/>
      </c>
      <c r="V16" s="402" t="str">
        <f t="shared" si="8"/>
        <v/>
      </c>
      <c r="W16" s="402" t="str">
        <f t="shared" si="8"/>
        <v/>
      </c>
      <c r="X16" s="364" t="str">
        <f t="shared" si="8"/>
        <v/>
      </c>
      <c r="Y16" s="364" t="str">
        <f t="shared" si="8"/>
        <v/>
      </c>
      <c r="Z16" s="364" t="str">
        <f t="shared" si="9"/>
        <v/>
      </c>
      <c r="AA16" s="364" t="str">
        <f t="shared" si="9"/>
        <v/>
      </c>
      <c r="AB16" s="364" t="str">
        <f t="shared" si="9"/>
        <v/>
      </c>
      <c r="AC16" s="364" t="str">
        <f t="shared" si="9"/>
        <v/>
      </c>
      <c r="AD16" s="364" t="str">
        <f t="shared" si="9"/>
        <v/>
      </c>
      <c r="AE16" s="364" t="str">
        <f t="shared" si="9"/>
        <v/>
      </c>
      <c r="AF16" s="364" t="str">
        <f t="shared" si="9"/>
        <v/>
      </c>
      <c r="AG16" s="402" t="str">
        <f t="shared" si="9"/>
        <v/>
      </c>
      <c r="AH16" s="402" t="str">
        <f t="shared" si="9"/>
        <v/>
      </c>
      <c r="AI16" s="402" t="str">
        <f t="shared" si="9"/>
        <v/>
      </c>
      <c r="AJ16" s="364" t="str">
        <f t="shared" si="9"/>
        <v/>
      </c>
      <c r="AK16" s="364" t="str">
        <f t="shared" si="9"/>
        <v/>
      </c>
      <c r="AL16" s="364" t="str">
        <f t="shared" si="9"/>
        <v/>
      </c>
      <c r="AM16" s="364" t="str">
        <f t="shared" si="9"/>
        <v/>
      </c>
      <c r="AN16" s="364" t="str">
        <f t="shared" si="9"/>
        <v/>
      </c>
      <c r="AO16" s="364" t="str">
        <f t="shared" si="9"/>
        <v/>
      </c>
      <c r="AP16" s="364" t="str">
        <f t="shared" si="10"/>
        <v/>
      </c>
      <c r="AQ16" s="364" t="str">
        <f t="shared" si="10"/>
        <v/>
      </c>
      <c r="AR16" s="364" t="str">
        <f t="shared" si="10"/>
        <v/>
      </c>
      <c r="AS16" s="402" t="str">
        <f t="shared" si="10"/>
        <v/>
      </c>
      <c r="AT16" s="402" t="str">
        <f t="shared" si="10"/>
        <v/>
      </c>
      <c r="AU16" s="402" t="str">
        <f t="shared" si="10"/>
        <v/>
      </c>
      <c r="AV16" s="364" t="str">
        <f t="shared" si="10"/>
        <v/>
      </c>
      <c r="AW16" s="365" t="str">
        <f t="shared" si="10"/>
        <v/>
      </c>
      <c r="AX16" s="365" t="str">
        <f t="shared" si="10"/>
        <v/>
      </c>
      <c r="AY16" s="366" t="str">
        <f t="shared" si="10"/>
        <v/>
      </c>
      <c r="AZ16" s="366" t="str">
        <f t="shared" si="10"/>
        <v/>
      </c>
      <c r="BA16" s="431" t="str">
        <f t="shared" si="10"/>
        <v/>
      </c>
      <c r="BB16" s="366" t="str">
        <f t="shared" si="10"/>
        <v/>
      </c>
      <c r="BC16" s="436" t="str">
        <f t="shared" si="10"/>
        <v/>
      </c>
      <c r="BD16"/>
      <c r="BE16" s="126">
        <f>⑤CP구성!$AF25</f>
        <v>0</v>
      </c>
      <c r="BF16"/>
      <c r="BG16"/>
      <c r="BH16"/>
      <c r="BI16"/>
      <c r="BJ16"/>
      <c r="BK16"/>
      <c r="BL16"/>
      <c r="BM16"/>
      <c r="BN16"/>
      <c r="BO16"/>
      <c r="BP16"/>
    </row>
    <row r="17" spans="1:68" s="126" customFormat="1" ht="24" customHeight="1">
      <c r="A17" s="359" t="str">
        <f>⑤CP구성!$C26</f>
        <v>횡산소규모</v>
      </c>
      <c r="B17" s="369">
        <f>⑤CP구성!$B26</f>
        <v>11</v>
      </c>
      <c r="C17" s="369" t="str">
        <f>⑤CP구성!$D26</f>
        <v>오수관로 - 맨홀공</v>
      </c>
      <c r="D17" s="361">
        <f>⑤CP구성!$S26</f>
        <v>46656</v>
      </c>
      <c r="E17" s="361">
        <f>⑤CP구성!$V26</f>
        <v>46836.3</v>
      </c>
      <c r="F17" s="362">
        <f>⑤CP구성!$W26</f>
        <v>181.30000000000291</v>
      </c>
      <c r="G17" s="362">
        <f>⑤CP구성!$L26</f>
        <v>210</v>
      </c>
      <c r="H17" s="362">
        <f>⑤CP구성!$M26</f>
        <v>299.3</v>
      </c>
      <c r="I17" s="406" t="str">
        <f t="shared" si="11"/>
        <v/>
      </c>
      <c r="J17" s="406" t="str">
        <f t="shared" si="8"/>
        <v/>
      </c>
      <c r="K17" s="405" t="str">
        <f t="shared" si="8"/>
        <v/>
      </c>
      <c r="L17" s="363" t="str">
        <f t="shared" si="8"/>
        <v/>
      </c>
      <c r="M17" s="364" t="str">
        <f t="shared" si="8"/>
        <v/>
      </c>
      <c r="N17" s="364" t="str">
        <f t="shared" si="8"/>
        <v/>
      </c>
      <c r="O17" s="364" t="str">
        <f t="shared" si="8"/>
        <v/>
      </c>
      <c r="P17" s="364" t="str">
        <f t="shared" si="8"/>
        <v/>
      </c>
      <c r="Q17" s="364" t="str">
        <f t="shared" si="8"/>
        <v/>
      </c>
      <c r="R17" s="364" t="str">
        <f t="shared" si="8"/>
        <v>■</v>
      </c>
      <c r="S17" s="364" t="str">
        <f t="shared" si="8"/>
        <v>■</v>
      </c>
      <c r="T17" s="364" t="str">
        <f t="shared" si="8"/>
        <v>■</v>
      </c>
      <c r="U17" s="402" t="str">
        <f t="shared" si="8"/>
        <v/>
      </c>
      <c r="V17" s="402" t="str">
        <f t="shared" si="8"/>
        <v/>
      </c>
      <c r="W17" s="402" t="str">
        <f t="shared" si="8"/>
        <v/>
      </c>
      <c r="X17" s="364" t="str">
        <f t="shared" si="8"/>
        <v>■</v>
      </c>
      <c r="Y17" s="364" t="str">
        <f t="shared" si="8"/>
        <v/>
      </c>
      <c r="Z17" s="364" t="str">
        <f t="shared" si="9"/>
        <v/>
      </c>
      <c r="AA17" s="364" t="str">
        <f t="shared" si="9"/>
        <v/>
      </c>
      <c r="AB17" s="364" t="str">
        <f t="shared" si="9"/>
        <v/>
      </c>
      <c r="AC17" s="364" t="str">
        <f t="shared" si="9"/>
        <v/>
      </c>
      <c r="AD17" s="364" t="str">
        <f t="shared" si="9"/>
        <v/>
      </c>
      <c r="AE17" s="364" t="str">
        <f t="shared" si="9"/>
        <v/>
      </c>
      <c r="AF17" s="364" t="str">
        <f t="shared" si="9"/>
        <v/>
      </c>
      <c r="AG17" s="402" t="str">
        <f t="shared" si="9"/>
        <v/>
      </c>
      <c r="AH17" s="402" t="str">
        <f t="shared" si="9"/>
        <v/>
      </c>
      <c r="AI17" s="402" t="str">
        <f t="shared" si="9"/>
        <v/>
      </c>
      <c r="AJ17" s="364" t="str">
        <f t="shared" si="9"/>
        <v/>
      </c>
      <c r="AK17" s="364" t="str">
        <f t="shared" si="9"/>
        <v/>
      </c>
      <c r="AL17" s="364" t="str">
        <f t="shared" si="9"/>
        <v/>
      </c>
      <c r="AM17" s="364" t="str">
        <f t="shared" si="9"/>
        <v/>
      </c>
      <c r="AN17" s="364" t="str">
        <f t="shared" si="9"/>
        <v/>
      </c>
      <c r="AO17" s="364" t="str">
        <f t="shared" si="9"/>
        <v/>
      </c>
      <c r="AP17" s="364" t="str">
        <f t="shared" si="10"/>
        <v/>
      </c>
      <c r="AQ17" s="364" t="str">
        <f t="shared" si="10"/>
        <v/>
      </c>
      <c r="AR17" s="364" t="str">
        <f t="shared" si="10"/>
        <v/>
      </c>
      <c r="AS17" s="402" t="str">
        <f t="shared" si="10"/>
        <v/>
      </c>
      <c r="AT17" s="402" t="str">
        <f t="shared" si="10"/>
        <v/>
      </c>
      <c r="AU17" s="402" t="str">
        <f t="shared" si="10"/>
        <v/>
      </c>
      <c r="AV17" s="364" t="str">
        <f t="shared" si="10"/>
        <v/>
      </c>
      <c r="AW17" s="365" t="str">
        <f t="shared" si="10"/>
        <v/>
      </c>
      <c r="AX17" s="365" t="str">
        <f t="shared" si="10"/>
        <v/>
      </c>
      <c r="AY17" s="366" t="str">
        <f t="shared" si="10"/>
        <v/>
      </c>
      <c r="AZ17" s="366" t="str">
        <f t="shared" si="10"/>
        <v/>
      </c>
      <c r="BA17" s="431" t="str">
        <f t="shared" si="10"/>
        <v/>
      </c>
      <c r="BB17" s="366" t="str">
        <f t="shared" si="10"/>
        <v/>
      </c>
      <c r="BC17" s="436" t="str">
        <f t="shared" si="10"/>
        <v/>
      </c>
      <c r="BD17"/>
      <c r="BE17" s="126">
        <f>⑤CP구성!$AF26</f>
        <v>0</v>
      </c>
      <c r="BF17"/>
      <c r="BG17"/>
      <c r="BH17"/>
      <c r="BI17"/>
      <c r="BJ17"/>
      <c r="BK17"/>
      <c r="BL17"/>
      <c r="BM17"/>
      <c r="BN17"/>
      <c r="BO17"/>
      <c r="BP17"/>
    </row>
    <row r="18" spans="1:68" s="126" customFormat="1" ht="24" customHeight="1">
      <c r="A18" s="359" t="str">
        <f>⑤CP구성!$C27</f>
        <v>횡산소규모</v>
      </c>
      <c r="B18" s="369">
        <f>⑤CP구성!$B27</f>
        <v>12</v>
      </c>
      <c r="C18" s="369" t="str">
        <f>⑤CP구성!$D27</f>
        <v>오수관로 - 포장 복구</v>
      </c>
      <c r="D18" s="361">
        <f>⑤CP구성!$S27</f>
        <v>46828</v>
      </c>
      <c r="E18" s="361">
        <f>⑤CP구성!$V27</f>
        <v>46893</v>
      </c>
      <c r="F18" s="362">
        <f>⑤CP구성!$W27</f>
        <v>66</v>
      </c>
      <c r="G18" s="362">
        <f>⑤CP구성!$L27</f>
        <v>291</v>
      </c>
      <c r="H18" s="362">
        <f>⑤CP구성!$M27</f>
        <v>356</v>
      </c>
      <c r="I18" s="404" t="str">
        <f t="shared" si="11"/>
        <v/>
      </c>
      <c r="J18" s="404" t="str">
        <f t="shared" si="8"/>
        <v/>
      </c>
      <c r="K18" s="404" t="str">
        <f t="shared" si="8"/>
        <v/>
      </c>
      <c r="L18" s="363" t="str">
        <f t="shared" si="8"/>
        <v/>
      </c>
      <c r="M18" s="364" t="str">
        <f t="shared" si="8"/>
        <v/>
      </c>
      <c r="N18" s="364" t="str">
        <f t="shared" si="8"/>
        <v/>
      </c>
      <c r="O18" s="364" t="str">
        <f t="shared" si="8"/>
        <v/>
      </c>
      <c r="P18" s="364" t="str">
        <f t="shared" si="8"/>
        <v/>
      </c>
      <c r="Q18" s="364" t="str">
        <f t="shared" si="8"/>
        <v/>
      </c>
      <c r="R18" s="364" t="str">
        <f t="shared" si="8"/>
        <v/>
      </c>
      <c r="S18" s="364" t="str">
        <f t="shared" si="8"/>
        <v/>
      </c>
      <c r="T18" s="364" t="str">
        <f t="shared" si="8"/>
        <v/>
      </c>
      <c r="U18" s="402" t="str">
        <f t="shared" si="8"/>
        <v/>
      </c>
      <c r="V18" s="402" t="str">
        <f t="shared" si="8"/>
        <v/>
      </c>
      <c r="W18" s="402" t="str">
        <f t="shared" si="8"/>
        <v/>
      </c>
      <c r="X18" s="364" t="str">
        <f t="shared" si="8"/>
        <v>■</v>
      </c>
      <c r="Y18" s="364" t="str">
        <f t="shared" si="8"/>
        <v>■</v>
      </c>
      <c r="Z18" s="364" t="str">
        <f t="shared" si="9"/>
        <v>■</v>
      </c>
      <c r="AA18" s="364" t="str">
        <f t="shared" si="9"/>
        <v/>
      </c>
      <c r="AB18" s="364" t="str">
        <f t="shared" si="9"/>
        <v/>
      </c>
      <c r="AC18" s="364" t="str">
        <f t="shared" si="9"/>
        <v/>
      </c>
      <c r="AD18" s="364" t="str">
        <f t="shared" si="9"/>
        <v/>
      </c>
      <c r="AE18" s="364" t="str">
        <f t="shared" si="9"/>
        <v/>
      </c>
      <c r="AF18" s="364" t="str">
        <f t="shared" si="9"/>
        <v/>
      </c>
      <c r="AG18" s="402" t="str">
        <f t="shared" si="9"/>
        <v/>
      </c>
      <c r="AH18" s="402" t="str">
        <f t="shared" si="9"/>
        <v/>
      </c>
      <c r="AI18" s="402" t="str">
        <f t="shared" si="9"/>
        <v/>
      </c>
      <c r="AJ18" s="364" t="str">
        <f t="shared" si="9"/>
        <v/>
      </c>
      <c r="AK18" s="364" t="str">
        <f t="shared" si="9"/>
        <v/>
      </c>
      <c r="AL18" s="364" t="str">
        <f t="shared" si="9"/>
        <v/>
      </c>
      <c r="AM18" s="364" t="str">
        <f t="shared" si="9"/>
        <v/>
      </c>
      <c r="AN18" s="364" t="str">
        <f t="shared" si="9"/>
        <v/>
      </c>
      <c r="AO18" s="364" t="str">
        <f t="shared" si="9"/>
        <v/>
      </c>
      <c r="AP18" s="364" t="str">
        <f t="shared" si="10"/>
        <v/>
      </c>
      <c r="AQ18" s="364" t="str">
        <f t="shared" si="10"/>
        <v/>
      </c>
      <c r="AR18" s="364" t="str">
        <f t="shared" si="10"/>
        <v/>
      </c>
      <c r="AS18" s="402" t="str">
        <f t="shared" si="10"/>
        <v/>
      </c>
      <c r="AT18" s="402" t="str">
        <f t="shared" si="10"/>
        <v/>
      </c>
      <c r="AU18" s="402" t="str">
        <f t="shared" si="10"/>
        <v/>
      </c>
      <c r="AV18" s="364" t="str">
        <f t="shared" si="10"/>
        <v/>
      </c>
      <c r="AW18" s="365" t="str">
        <f t="shared" si="10"/>
        <v/>
      </c>
      <c r="AX18" s="365" t="str">
        <f t="shared" si="10"/>
        <v/>
      </c>
      <c r="AY18" s="366" t="str">
        <f t="shared" si="10"/>
        <v/>
      </c>
      <c r="AZ18" s="366" t="str">
        <f t="shared" si="10"/>
        <v/>
      </c>
      <c r="BA18" s="431" t="str">
        <f t="shared" si="10"/>
        <v/>
      </c>
      <c r="BB18" s="366" t="str">
        <f t="shared" si="10"/>
        <v/>
      </c>
      <c r="BC18" s="436" t="str">
        <f t="shared" si="10"/>
        <v/>
      </c>
      <c r="BD18"/>
      <c r="BE18" s="126">
        <f>⑤CP구성!$AF27</f>
        <v>0</v>
      </c>
      <c r="BF18"/>
      <c r="BG18"/>
      <c r="BH18"/>
      <c r="BI18"/>
      <c r="BJ18"/>
      <c r="BK18"/>
      <c r="BL18"/>
      <c r="BM18"/>
      <c r="BN18"/>
      <c r="BO18"/>
      <c r="BP18"/>
    </row>
    <row r="19" spans="1:68" s="126" customFormat="1" ht="24" customHeight="1">
      <c r="A19" s="359" t="str">
        <f>⑤CP구성!$C28</f>
        <v>횡산소규모</v>
      </c>
      <c r="B19" s="360">
        <f>⑤CP구성!$B28</f>
        <v>13</v>
      </c>
      <c r="C19" s="360" t="str">
        <f>⑤CP구성!$D28</f>
        <v>오수관로 - 부대공</v>
      </c>
      <c r="D19" s="361">
        <f>⑤CP구성!$S28</f>
        <v>46884</v>
      </c>
      <c r="E19" s="361">
        <f>⑤CP구성!$V28</f>
        <v>46969.4</v>
      </c>
      <c r="F19" s="362">
        <f>⑤CP구성!$W28</f>
        <v>86.400000000001455</v>
      </c>
      <c r="G19" s="362">
        <f>⑤CP구성!$L28</f>
        <v>347</v>
      </c>
      <c r="H19" s="362">
        <f>⑤CP구성!$M28</f>
        <v>432.4</v>
      </c>
      <c r="I19" s="404" t="str">
        <f t="shared" si="11"/>
        <v/>
      </c>
      <c r="J19" s="404" t="str">
        <f t="shared" si="8"/>
        <v/>
      </c>
      <c r="K19" s="404" t="str">
        <f t="shared" si="8"/>
        <v/>
      </c>
      <c r="L19" s="363" t="str">
        <f t="shared" si="8"/>
        <v/>
      </c>
      <c r="M19" s="364" t="str">
        <f t="shared" si="8"/>
        <v/>
      </c>
      <c r="N19" s="364" t="str">
        <f t="shared" si="8"/>
        <v/>
      </c>
      <c r="O19" s="364" t="str">
        <f t="shared" si="8"/>
        <v/>
      </c>
      <c r="P19" s="364" t="str">
        <f t="shared" si="8"/>
        <v/>
      </c>
      <c r="Q19" s="364" t="str">
        <f t="shared" si="8"/>
        <v/>
      </c>
      <c r="R19" s="364" t="str">
        <f t="shared" si="8"/>
        <v/>
      </c>
      <c r="S19" s="364" t="str">
        <f t="shared" si="8"/>
        <v/>
      </c>
      <c r="T19" s="364" t="str">
        <f t="shared" si="8"/>
        <v/>
      </c>
      <c r="U19" s="402" t="str">
        <f t="shared" si="8"/>
        <v/>
      </c>
      <c r="V19" s="402" t="str">
        <f t="shared" si="8"/>
        <v/>
      </c>
      <c r="W19" s="402" t="str">
        <f t="shared" si="8"/>
        <v/>
      </c>
      <c r="X19" s="364" t="str">
        <f t="shared" si="8"/>
        <v/>
      </c>
      <c r="Y19" s="364" t="str">
        <f t="shared" si="8"/>
        <v/>
      </c>
      <c r="Z19" s="364" t="str">
        <f t="shared" si="9"/>
        <v>■</v>
      </c>
      <c r="AA19" s="364" t="str">
        <f t="shared" si="9"/>
        <v>■</v>
      </c>
      <c r="AB19" s="364" t="str">
        <f t="shared" si="9"/>
        <v>■</v>
      </c>
      <c r="AC19" s="364" t="str">
        <f t="shared" si="9"/>
        <v>■</v>
      </c>
      <c r="AD19" s="364" t="str">
        <f t="shared" si="9"/>
        <v/>
      </c>
      <c r="AE19" s="364" t="str">
        <f t="shared" si="9"/>
        <v/>
      </c>
      <c r="AF19" s="364" t="str">
        <f t="shared" si="9"/>
        <v/>
      </c>
      <c r="AG19" s="402" t="str">
        <f t="shared" si="9"/>
        <v/>
      </c>
      <c r="AH19" s="402" t="str">
        <f t="shared" si="9"/>
        <v/>
      </c>
      <c r="AI19" s="402" t="str">
        <f t="shared" si="9"/>
        <v/>
      </c>
      <c r="AJ19" s="364" t="str">
        <f t="shared" si="9"/>
        <v/>
      </c>
      <c r="AK19" s="364" t="str">
        <f t="shared" si="9"/>
        <v/>
      </c>
      <c r="AL19" s="364" t="str">
        <f t="shared" si="9"/>
        <v/>
      </c>
      <c r="AM19" s="364" t="str">
        <f t="shared" si="9"/>
        <v/>
      </c>
      <c r="AN19" s="364" t="str">
        <f t="shared" si="9"/>
        <v/>
      </c>
      <c r="AO19" s="364" t="str">
        <f t="shared" si="9"/>
        <v/>
      </c>
      <c r="AP19" s="364" t="str">
        <f t="shared" si="10"/>
        <v/>
      </c>
      <c r="AQ19" s="364" t="str">
        <f t="shared" si="10"/>
        <v/>
      </c>
      <c r="AR19" s="364" t="str">
        <f t="shared" si="10"/>
        <v/>
      </c>
      <c r="AS19" s="402" t="str">
        <f t="shared" si="10"/>
        <v/>
      </c>
      <c r="AT19" s="402" t="str">
        <f t="shared" si="10"/>
        <v/>
      </c>
      <c r="AU19" s="402" t="str">
        <f t="shared" si="10"/>
        <v/>
      </c>
      <c r="AV19" s="364" t="str">
        <f t="shared" si="10"/>
        <v/>
      </c>
      <c r="AW19" s="365" t="str">
        <f t="shared" si="10"/>
        <v/>
      </c>
      <c r="AX19" s="365" t="str">
        <f t="shared" si="10"/>
        <v/>
      </c>
      <c r="AY19" s="366" t="str">
        <f t="shared" si="10"/>
        <v/>
      </c>
      <c r="AZ19" s="366" t="str">
        <f t="shared" si="10"/>
        <v/>
      </c>
      <c r="BA19" s="431" t="str">
        <f t="shared" si="10"/>
        <v/>
      </c>
      <c r="BB19" s="366" t="str">
        <f t="shared" si="10"/>
        <v/>
      </c>
      <c r="BC19" s="436" t="str">
        <f t="shared" si="10"/>
        <v/>
      </c>
      <c r="BD19"/>
      <c r="BE19" s="126">
        <f>⑤CP구성!$AF28</f>
        <v>0</v>
      </c>
      <c r="BF19"/>
      <c r="BG19"/>
      <c r="BH19"/>
      <c r="BI19"/>
      <c r="BJ19"/>
      <c r="BK19"/>
      <c r="BL19"/>
      <c r="BM19"/>
      <c r="BN19"/>
      <c r="BO19"/>
      <c r="BP19"/>
    </row>
    <row r="20" spans="1:68" s="126" customFormat="1" ht="24" customHeight="1">
      <c r="A20" s="359" t="str">
        <f>⑤CP구성!$C29</f>
        <v>횡산소규모</v>
      </c>
      <c r="B20" s="360">
        <f>⑤CP구성!$B29</f>
        <v>14</v>
      </c>
      <c r="C20" s="360" t="str">
        <f>⑤CP구성!$D29</f>
        <v>펌프장 - 토공</v>
      </c>
      <c r="D20" s="361">
        <f>⑤CP구성!$S29</f>
        <v>46828</v>
      </c>
      <c r="E20" s="361">
        <f>⑤CP구성!$V29</f>
        <v>46851.5</v>
      </c>
      <c r="F20" s="362">
        <f>⑤CP구성!$W29</f>
        <v>24.5</v>
      </c>
      <c r="G20" s="362">
        <f>⑤CP구성!$L29</f>
        <v>291</v>
      </c>
      <c r="H20" s="362">
        <f>⑤CP구성!$M29</f>
        <v>314.5</v>
      </c>
      <c r="I20" s="406" t="str">
        <f t="shared" si="11"/>
        <v/>
      </c>
      <c r="J20" s="406" t="str">
        <f t="shared" si="8"/>
        <v/>
      </c>
      <c r="K20" s="405" t="str">
        <f t="shared" si="8"/>
        <v/>
      </c>
      <c r="L20" s="367" t="str">
        <f t="shared" si="8"/>
        <v/>
      </c>
      <c r="M20" s="367" t="str">
        <f t="shared" si="8"/>
        <v/>
      </c>
      <c r="N20" s="367" t="str">
        <f t="shared" si="8"/>
        <v/>
      </c>
      <c r="O20" s="367" t="str">
        <f t="shared" si="8"/>
        <v/>
      </c>
      <c r="P20" s="367" t="str">
        <f t="shared" si="8"/>
        <v/>
      </c>
      <c r="Q20" s="367" t="str">
        <f t="shared" si="8"/>
        <v/>
      </c>
      <c r="R20" s="367" t="str">
        <f t="shared" si="8"/>
        <v/>
      </c>
      <c r="S20" s="367" t="str">
        <f t="shared" si="8"/>
        <v/>
      </c>
      <c r="T20" s="367" t="str">
        <f t="shared" si="8"/>
        <v/>
      </c>
      <c r="U20" s="402" t="str">
        <f t="shared" si="8"/>
        <v/>
      </c>
      <c r="V20" s="402" t="str">
        <f t="shared" si="8"/>
        <v/>
      </c>
      <c r="W20" s="402" t="str">
        <f t="shared" si="8"/>
        <v/>
      </c>
      <c r="X20" s="367" t="str">
        <f t="shared" si="8"/>
        <v>■</v>
      </c>
      <c r="Y20" s="367" t="str">
        <f t="shared" si="8"/>
        <v>■</v>
      </c>
      <c r="Z20" s="367" t="str">
        <f t="shared" si="9"/>
        <v/>
      </c>
      <c r="AA20" s="367" t="str">
        <f t="shared" si="9"/>
        <v/>
      </c>
      <c r="AB20" s="367" t="str">
        <f t="shared" si="9"/>
        <v/>
      </c>
      <c r="AC20" s="367" t="str">
        <f t="shared" si="9"/>
        <v/>
      </c>
      <c r="AD20" s="367" t="str">
        <f t="shared" si="9"/>
        <v/>
      </c>
      <c r="AE20" s="367" t="str">
        <f t="shared" si="9"/>
        <v/>
      </c>
      <c r="AF20" s="367" t="str">
        <f t="shared" si="9"/>
        <v/>
      </c>
      <c r="AG20" s="402" t="str">
        <f t="shared" si="9"/>
        <v/>
      </c>
      <c r="AH20" s="402" t="str">
        <f t="shared" si="9"/>
        <v/>
      </c>
      <c r="AI20" s="402" t="str">
        <f t="shared" si="9"/>
        <v/>
      </c>
      <c r="AJ20" s="367" t="str">
        <f t="shared" si="9"/>
        <v/>
      </c>
      <c r="AK20" s="367" t="str">
        <f t="shared" si="9"/>
        <v/>
      </c>
      <c r="AL20" s="367" t="str">
        <f t="shared" si="9"/>
        <v/>
      </c>
      <c r="AM20" s="367" t="str">
        <f t="shared" si="9"/>
        <v/>
      </c>
      <c r="AN20" s="364" t="str">
        <f t="shared" si="9"/>
        <v/>
      </c>
      <c r="AO20" s="364" t="str">
        <f t="shared" si="9"/>
        <v/>
      </c>
      <c r="AP20" s="364" t="str">
        <f t="shared" si="10"/>
        <v/>
      </c>
      <c r="AQ20" s="364" t="str">
        <f t="shared" si="10"/>
        <v/>
      </c>
      <c r="AR20" s="364" t="str">
        <f t="shared" si="10"/>
        <v/>
      </c>
      <c r="AS20" s="402" t="str">
        <f t="shared" si="10"/>
        <v/>
      </c>
      <c r="AT20" s="402" t="str">
        <f t="shared" si="10"/>
        <v/>
      </c>
      <c r="AU20" s="402" t="str">
        <f t="shared" si="10"/>
        <v/>
      </c>
      <c r="AV20" s="364" t="str">
        <f t="shared" si="10"/>
        <v/>
      </c>
      <c r="AW20" s="365" t="str">
        <f t="shared" si="10"/>
        <v/>
      </c>
      <c r="AX20" s="365" t="str">
        <f t="shared" si="10"/>
        <v/>
      </c>
      <c r="AY20" s="366" t="str">
        <f t="shared" si="10"/>
        <v/>
      </c>
      <c r="AZ20" s="366" t="str">
        <f t="shared" si="10"/>
        <v/>
      </c>
      <c r="BA20" s="431" t="str">
        <f t="shared" si="10"/>
        <v/>
      </c>
      <c r="BB20" s="366" t="str">
        <f t="shared" si="10"/>
        <v/>
      </c>
      <c r="BC20" s="436" t="str">
        <f t="shared" si="10"/>
        <v/>
      </c>
      <c r="BD20"/>
      <c r="BE20" s="126">
        <f>⑤CP구성!$AF29</f>
        <v>0</v>
      </c>
      <c r="BF20"/>
      <c r="BG20"/>
      <c r="BH20"/>
      <c r="BI20"/>
      <c r="BJ20"/>
      <c r="BK20"/>
      <c r="BL20"/>
      <c r="BM20"/>
      <c r="BN20"/>
      <c r="BO20"/>
      <c r="BP20"/>
    </row>
    <row r="21" spans="1:68" s="126" customFormat="1" ht="24" customHeight="1">
      <c r="A21" s="359" t="str">
        <f>⑤CP구성!$C30</f>
        <v>횡산소규모</v>
      </c>
      <c r="B21" s="360">
        <f>⑤CP구성!$B30</f>
        <v>15</v>
      </c>
      <c r="C21" s="360" t="str">
        <f>⑤CP구성!$D30</f>
        <v>펌프장 - 가시설·포장</v>
      </c>
      <c r="D21" s="361">
        <f>⑤CP구성!$S30</f>
        <v>46834</v>
      </c>
      <c r="E21" s="361">
        <f>⑤CP구성!$V30</f>
        <v>46851.5</v>
      </c>
      <c r="F21" s="362">
        <f>⑤CP구성!$W30</f>
        <v>18.5</v>
      </c>
      <c r="G21" s="362">
        <f>⑤CP구성!$L30</f>
        <v>297</v>
      </c>
      <c r="H21" s="362">
        <f>⑤CP구성!$M30</f>
        <v>314.5</v>
      </c>
      <c r="I21" s="404" t="str">
        <f t="shared" si="11"/>
        <v/>
      </c>
      <c r="J21" s="404" t="str">
        <f t="shared" si="8"/>
        <v/>
      </c>
      <c r="K21" s="404" t="str">
        <f t="shared" si="8"/>
        <v/>
      </c>
      <c r="L21" s="363" t="str">
        <f t="shared" si="8"/>
        <v/>
      </c>
      <c r="M21" s="364" t="str">
        <f t="shared" si="8"/>
        <v/>
      </c>
      <c r="N21" s="364" t="str">
        <f t="shared" si="8"/>
        <v/>
      </c>
      <c r="O21" s="364" t="str">
        <f t="shared" si="8"/>
        <v/>
      </c>
      <c r="P21" s="364" t="str">
        <f t="shared" si="8"/>
        <v/>
      </c>
      <c r="Q21" s="364" t="str">
        <f t="shared" si="8"/>
        <v/>
      </c>
      <c r="R21" s="364" t="str">
        <f t="shared" si="8"/>
        <v/>
      </c>
      <c r="S21" s="364" t="str">
        <f t="shared" si="8"/>
        <v/>
      </c>
      <c r="T21" s="364" t="str">
        <f t="shared" si="8"/>
        <v/>
      </c>
      <c r="U21" s="402" t="str">
        <f t="shared" si="8"/>
        <v/>
      </c>
      <c r="V21" s="402" t="str">
        <f t="shared" si="8"/>
        <v/>
      </c>
      <c r="W21" s="402" t="str">
        <f t="shared" si="8"/>
        <v/>
      </c>
      <c r="X21" s="364" t="str">
        <f t="shared" si="8"/>
        <v>■</v>
      </c>
      <c r="Y21" s="364" t="str">
        <f t="shared" ref="Y21:AN36" si="12">IF($D21="","",IF(AND($D21&lt;=EOMONTH(Y$5,0),$E21&gt;=Y$5),IF(AND(Y$2="중지",$BE21&lt;&gt;"Y"),"","■"),""))</f>
        <v>■</v>
      </c>
      <c r="Z21" s="364" t="str">
        <f t="shared" si="9"/>
        <v/>
      </c>
      <c r="AA21" s="364" t="str">
        <f t="shared" si="9"/>
        <v/>
      </c>
      <c r="AB21" s="364" t="str">
        <f t="shared" si="9"/>
        <v/>
      </c>
      <c r="AC21" s="364" t="str">
        <f t="shared" si="9"/>
        <v/>
      </c>
      <c r="AD21" s="364" t="str">
        <f t="shared" si="9"/>
        <v/>
      </c>
      <c r="AE21" s="364" t="str">
        <f t="shared" si="9"/>
        <v/>
      </c>
      <c r="AF21" s="364" t="str">
        <f t="shared" si="9"/>
        <v/>
      </c>
      <c r="AG21" s="402" t="str">
        <f t="shared" si="9"/>
        <v/>
      </c>
      <c r="AH21" s="402" t="str">
        <f t="shared" si="9"/>
        <v/>
      </c>
      <c r="AI21" s="402" t="str">
        <f t="shared" si="9"/>
        <v/>
      </c>
      <c r="AJ21" s="364" t="str">
        <f t="shared" si="9"/>
        <v/>
      </c>
      <c r="AK21" s="364" t="str">
        <f t="shared" si="9"/>
        <v/>
      </c>
      <c r="AL21" s="364" t="str">
        <f t="shared" si="9"/>
        <v/>
      </c>
      <c r="AM21" s="364" t="str">
        <f t="shared" si="9"/>
        <v/>
      </c>
      <c r="AN21" s="364" t="str">
        <f t="shared" si="9"/>
        <v/>
      </c>
      <c r="AO21" s="364" t="str">
        <f t="shared" ref="AO21:BC36" si="13">IF($D21="","",IF(AND($D21&lt;=EOMONTH(AO$5,0),$E21&gt;=AO$5),IF(AND(AO$2="중지",$BE21&lt;&gt;"Y"),"","■"),""))</f>
        <v/>
      </c>
      <c r="AP21" s="364" t="str">
        <f t="shared" si="10"/>
        <v/>
      </c>
      <c r="AQ21" s="364" t="str">
        <f t="shared" si="10"/>
        <v/>
      </c>
      <c r="AR21" s="364" t="str">
        <f t="shared" si="10"/>
        <v/>
      </c>
      <c r="AS21" s="402" t="str">
        <f t="shared" si="10"/>
        <v/>
      </c>
      <c r="AT21" s="402" t="str">
        <f t="shared" si="10"/>
        <v/>
      </c>
      <c r="AU21" s="402" t="str">
        <f t="shared" si="10"/>
        <v/>
      </c>
      <c r="AV21" s="364" t="str">
        <f t="shared" si="10"/>
        <v/>
      </c>
      <c r="AW21" s="365" t="str">
        <f t="shared" si="10"/>
        <v/>
      </c>
      <c r="AX21" s="365" t="str">
        <f t="shared" si="10"/>
        <v/>
      </c>
      <c r="AY21" s="366" t="str">
        <f t="shared" si="10"/>
        <v/>
      </c>
      <c r="AZ21" s="366" t="str">
        <f t="shared" si="10"/>
        <v/>
      </c>
      <c r="BA21" s="431" t="str">
        <f t="shared" si="10"/>
        <v/>
      </c>
      <c r="BB21" s="366" t="str">
        <f t="shared" si="10"/>
        <v/>
      </c>
      <c r="BC21" s="436" t="str">
        <f t="shared" si="10"/>
        <v/>
      </c>
      <c r="BD21"/>
      <c r="BE21" s="126">
        <f>⑤CP구성!$AF30</f>
        <v>0</v>
      </c>
      <c r="BF21"/>
      <c r="BG21"/>
      <c r="BH21"/>
      <c r="BI21"/>
      <c r="BJ21"/>
      <c r="BK21"/>
      <c r="BL21"/>
      <c r="BM21"/>
      <c r="BN21"/>
      <c r="BO21"/>
      <c r="BP21"/>
    </row>
    <row r="22" spans="1:68" s="126" customFormat="1" ht="24" customHeight="1">
      <c r="A22" s="359" t="str">
        <f>⑤CP구성!$C31</f>
        <v>횡산소규모</v>
      </c>
      <c r="B22" s="368">
        <f>⑤CP구성!$B31</f>
        <v>16</v>
      </c>
      <c r="C22" s="368" t="str">
        <f>⑤CP구성!$D31</f>
        <v>펌프장 - 구조물</v>
      </c>
      <c r="D22" s="361">
        <f>⑤CP구성!$S31</f>
        <v>46838</v>
      </c>
      <c r="E22" s="361">
        <f>⑤CP구성!$V31</f>
        <v>46851.5</v>
      </c>
      <c r="F22" s="362">
        <f>⑤CP구성!$W31</f>
        <v>14.5</v>
      </c>
      <c r="G22" s="362">
        <f>⑤CP구성!$L31</f>
        <v>301</v>
      </c>
      <c r="H22" s="362">
        <f>⑤CP구성!$M31</f>
        <v>314.5</v>
      </c>
      <c r="I22" s="404" t="str">
        <f t="shared" si="11"/>
        <v/>
      </c>
      <c r="J22" s="404" t="str">
        <f t="shared" si="11"/>
        <v/>
      </c>
      <c r="K22" s="404" t="str">
        <f t="shared" si="11"/>
        <v/>
      </c>
      <c r="L22" s="363" t="str">
        <f t="shared" si="11"/>
        <v/>
      </c>
      <c r="M22" s="364" t="str">
        <f t="shared" si="11"/>
        <v/>
      </c>
      <c r="N22" s="364" t="str">
        <f t="shared" si="11"/>
        <v/>
      </c>
      <c r="O22" s="364" t="str">
        <f t="shared" si="11"/>
        <v/>
      </c>
      <c r="P22" s="364" t="str">
        <f t="shared" si="11"/>
        <v/>
      </c>
      <c r="Q22" s="364" t="str">
        <f t="shared" si="11"/>
        <v/>
      </c>
      <c r="R22" s="364" t="str">
        <f t="shared" si="11"/>
        <v/>
      </c>
      <c r="S22" s="364" t="str">
        <f t="shared" si="11"/>
        <v/>
      </c>
      <c r="T22" s="364" t="str">
        <f t="shared" si="11"/>
        <v/>
      </c>
      <c r="U22" s="402" t="str">
        <f t="shared" si="11"/>
        <v/>
      </c>
      <c r="V22" s="402" t="str">
        <f t="shared" si="11"/>
        <v/>
      </c>
      <c r="W22" s="402" t="str">
        <f t="shared" si="11"/>
        <v/>
      </c>
      <c r="X22" s="364" t="str">
        <f t="shared" si="11"/>
        <v>■</v>
      </c>
      <c r="Y22" s="364" t="str">
        <f t="shared" si="12"/>
        <v>■</v>
      </c>
      <c r="Z22" s="364" t="str">
        <f t="shared" si="12"/>
        <v/>
      </c>
      <c r="AA22" s="364" t="str">
        <f t="shared" si="12"/>
        <v/>
      </c>
      <c r="AB22" s="364" t="str">
        <f t="shared" si="12"/>
        <v/>
      </c>
      <c r="AC22" s="364" t="str">
        <f t="shared" si="12"/>
        <v/>
      </c>
      <c r="AD22" s="364" t="str">
        <f t="shared" si="12"/>
        <v/>
      </c>
      <c r="AE22" s="364" t="str">
        <f t="shared" si="12"/>
        <v/>
      </c>
      <c r="AF22" s="364" t="str">
        <f t="shared" si="12"/>
        <v/>
      </c>
      <c r="AG22" s="402" t="str">
        <f t="shared" si="12"/>
        <v/>
      </c>
      <c r="AH22" s="402" t="str">
        <f t="shared" si="12"/>
        <v/>
      </c>
      <c r="AI22" s="402" t="str">
        <f t="shared" si="12"/>
        <v/>
      </c>
      <c r="AJ22" s="364" t="str">
        <f t="shared" si="12"/>
        <v/>
      </c>
      <c r="AK22" s="364" t="str">
        <f t="shared" si="12"/>
        <v/>
      </c>
      <c r="AL22" s="364" t="str">
        <f t="shared" si="12"/>
        <v/>
      </c>
      <c r="AM22" s="364" t="str">
        <f t="shared" si="12"/>
        <v/>
      </c>
      <c r="AN22" s="364" t="str">
        <f t="shared" si="12"/>
        <v/>
      </c>
      <c r="AO22" s="364" t="str">
        <f t="shared" si="13"/>
        <v/>
      </c>
      <c r="AP22" s="364" t="str">
        <f t="shared" si="13"/>
        <v/>
      </c>
      <c r="AQ22" s="364" t="str">
        <f t="shared" si="13"/>
        <v/>
      </c>
      <c r="AR22" s="364" t="str">
        <f t="shared" si="13"/>
        <v/>
      </c>
      <c r="AS22" s="402" t="str">
        <f t="shared" si="13"/>
        <v/>
      </c>
      <c r="AT22" s="402" t="str">
        <f t="shared" si="13"/>
        <v/>
      </c>
      <c r="AU22" s="402" t="str">
        <f t="shared" si="13"/>
        <v/>
      </c>
      <c r="AV22" s="364" t="str">
        <f t="shared" si="13"/>
        <v/>
      </c>
      <c r="AW22" s="365" t="str">
        <f t="shared" si="13"/>
        <v/>
      </c>
      <c r="AX22" s="365" t="str">
        <f t="shared" si="13"/>
        <v/>
      </c>
      <c r="AY22" s="366" t="str">
        <f t="shared" si="13"/>
        <v/>
      </c>
      <c r="AZ22" s="366" t="str">
        <f t="shared" si="13"/>
        <v/>
      </c>
      <c r="BA22" s="431" t="str">
        <f t="shared" si="13"/>
        <v/>
      </c>
      <c r="BB22" s="366" t="str">
        <f t="shared" si="13"/>
        <v/>
      </c>
      <c r="BC22" s="436" t="str">
        <f t="shared" si="13"/>
        <v/>
      </c>
      <c r="BD22"/>
      <c r="BE22" s="126">
        <f>⑤CP구성!$AF31</f>
        <v>0</v>
      </c>
      <c r="BF22"/>
      <c r="BG22"/>
      <c r="BH22"/>
      <c r="BI22"/>
      <c r="BJ22"/>
      <c r="BK22"/>
      <c r="BL22"/>
      <c r="BM22"/>
      <c r="BN22"/>
      <c r="BO22"/>
      <c r="BP22"/>
    </row>
    <row r="23" spans="1:68" s="126" customFormat="1" ht="24" customHeight="1">
      <c r="A23" s="359" t="str">
        <f>⑤CP구성!$C32</f>
        <v>횡산소규모</v>
      </c>
      <c r="B23" s="369">
        <f>⑤CP구성!$B32</f>
        <v>17</v>
      </c>
      <c r="C23" s="369" t="str">
        <f>⑤CP구성!$D32</f>
        <v>배수설비 - 토공</v>
      </c>
      <c r="D23" s="361">
        <f>⑤CP구성!$S32</f>
        <v>46580</v>
      </c>
      <c r="E23" s="361">
        <f>⑤CP구성!$V32</f>
        <v>46903.1</v>
      </c>
      <c r="F23" s="362">
        <f>⑤CP구성!$W32</f>
        <v>324.09999999999854</v>
      </c>
      <c r="G23" s="362">
        <f>⑤CP구성!$L32</f>
        <v>134</v>
      </c>
      <c r="H23" s="362">
        <f>⑤CP구성!$M32</f>
        <v>366.1</v>
      </c>
      <c r="I23" s="406" t="str">
        <f t="shared" ref="I23:X38" si="14">IF($D23="","",IF(AND($D23&lt;=EOMONTH(I$5,0),$E23&gt;=I$5),IF(AND(I$2="중지",$BE23&lt;&gt;"Y"),"","■"),""))</f>
        <v/>
      </c>
      <c r="J23" s="406" t="str">
        <f t="shared" si="14"/>
        <v/>
      </c>
      <c r="K23" s="405" t="str">
        <f t="shared" si="14"/>
        <v/>
      </c>
      <c r="L23" s="367" t="str">
        <f t="shared" si="14"/>
        <v/>
      </c>
      <c r="M23" s="363" t="str">
        <f t="shared" si="14"/>
        <v/>
      </c>
      <c r="N23" s="364" t="str">
        <f t="shared" si="14"/>
        <v/>
      </c>
      <c r="O23" s="364" t="str">
        <f t="shared" si="14"/>
        <v/>
      </c>
      <c r="P23" s="364" t="str">
        <f t="shared" si="14"/>
        <v>■</v>
      </c>
      <c r="Q23" s="364" t="str">
        <f t="shared" si="14"/>
        <v>■</v>
      </c>
      <c r="R23" s="364" t="str">
        <f t="shared" si="14"/>
        <v>■</v>
      </c>
      <c r="S23" s="364" t="str">
        <f t="shared" si="14"/>
        <v>■</v>
      </c>
      <c r="T23" s="364" t="str">
        <f t="shared" si="14"/>
        <v>■</v>
      </c>
      <c r="U23" s="402" t="str">
        <f t="shared" si="14"/>
        <v/>
      </c>
      <c r="V23" s="402" t="str">
        <f t="shared" si="14"/>
        <v/>
      </c>
      <c r="W23" s="402" t="str">
        <f t="shared" si="14"/>
        <v/>
      </c>
      <c r="X23" s="364" t="str">
        <f t="shared" si="14"/>
        <v>■</v>
      </c>
      <c r="Y23" s="364" t="str">
        <f t="shared" si="12"/>
        <v>■</v>
      </c>
      <c r="Z23" s="364" t="str">
        <f t="shared" si="12"/>
        <v>■</v>
      </c>
      <c r="AA23" s="364" t="str">
        <f t="shared" si="12"/>
        <v/>
      </c>
      <c r="AB23" s="364" t="str">
        <f t="shared" si="12"/>
        <v/>
      </c>
      <c r="AC23" s="364" t="str">
        <f t="shared" si="12"/>
        <v/>
      </c>
      <c r="AD23" s="364" t="str">
        <f t="shared" si="12"/>
        <v/>
      </c>
      <c r="AE23" s="364" t="str">
        <f t="shared" si="12"/>
        <v/>
      </c>
      <c r="AF23" s="364" t="str">
        <f t="shared" si="12"/>
        <v/>
      </c>
      <c r="AG23" s="402" t="str">
        <f t="shared" si="12"/>
        <v/>
      </c>
      <c r="AH23" s="402" t="str">
        <f t="shared" si="12"/>
        <v/>
      </c>
      <c r="AI23" s="402" t="str">
        <f t="shared" si="12"/>
        <v/>
      </c>
      <c r="AJ23" s="364" t="str">
        <f t="shared" si="12"/>
        <v/>
      </c>
      <c r="AK23" s="364" t="str">
        <f t="shared" si="12"/>
        <v/>
      </c>
      <c r="AL23" s="364" t="str">
        <f t="shared" si="12"/>
        <v/>
      </c>
      <c r="AM23" s="364" t="str">
        <f t="shared" si="12"/>
        <v/>
      </c>
      <c r="AN23" s="364" t="str">
        <f t="shared" si="12"/>
        <v/>
      </c>
      <c r="AO23" s="364" t="str">
        <f t="shared" si="13"/>
        <v/>
      </c>
      <c r="AP23" s="364" t="str">
        <f t="shared" si="13"/>
        <v/>
      </c>
      <c r="AQ23" s="364" t="str">
        <f t="shared" si="13"/>
        <v/>
      </c>
      <c r="AR23" s="364" t="str">
        <f t="shared" si="13"/>
        <v/>
      </c>
      <c r="AS23" s="402" t="str">
        <f t="shared" si="13"/>
        <v/>
      </c>
      <c r="AT23" s="402" t="str">
        <f t="shared" si="13"/>
        <v/>
      </c>
      <c r="AU23" s="402" t="str">
        <f t="shared" si="13"/>
        <v/>
      </c>
      <c r="AV23" s="364" t="str">
        <f t="shared" si="13"/>
        <v/>
      </c>
      <c r="AW23" s="365" t="str">
        <f t="shared" si="13"/>
        <v/>
      </c>
      <c r="AX23" s="365" t="str">
        <f t="shared" si="13"/>
        <v/>
      </c>
      <c r="AY23" s="366" t="str">
        <f t="shared" si="13"/>
        <v/>
      </c>
      <c r="AZ23" s="366" t="str">
        <f t="shared" si="13"/>
        <v/>
      </c>
      <c r="BA23" s="431" t="str">
        <f t="shared" si="13"/>
        <v/>
      </c>
      <c r="BB23" s="366" t="str">
        <f t="shared" si="13"/>
        <v/>
      </c>
      <c r="BC23" s="436" t="str">
        <f t="shared" si="13"/>
        <v/>
      </c>
      <c r="BD23"/>
      <c r="BE23" s="126">
        <f>⑤CP구성!$AF32</f>
        <v>0</v>
      </c>
      <c r="BF23"/>
      <c r="BG23"/>
      <c r="BH23"/>
      <c r="BI23"/>
      <c r="BJ23"/>
      <c r="BK23"/>
      <c r="BL23"/>
      <c r="BM23"/>
      <c r="BN23"/>
      <c r="BO23"/>
      <c r="BP23"/>
    </row>
    <row r="24" spans="1:68" s="126" customFormat="1" ht="24" customHeight="1">
      <c r="A24" s="359" t="str">
        <f>⑤CP구성!$C33</f>
        <v>횡산소규모</v>
      </c>
      <c r="B24" s="368">
        <f>⑤CP구성!$B33</f>
        <v>18</v>
      </c>
      <c r="C24" s="368" t="str">
        <f>⑤CP구성!$D33</f>
        <v>배수설비 - 관로(옥외)</v>
      </c>
      <c r="D24" s="361">
        <f>⑤CP구성!$S33</f>
        <v>46634</v>
      </c>
      <c r="E24" s="361">
        <f>⑤CP구성!$V33</f>
        <v>46701.8</v>
      </c>
      <c r="F24" s="362">
        <f>⑤CP구성!$W33</f>
        <v>68.80000000000291</v>
      </c>
      <c r="G24" s="362">
        <f>⑤CP구성!$L33</f>
        <v>188</v>
      </c>
      <c r="H24" s="362">
        <f>⑤CP구성!$M33</f>
        <v>255.8</v>
      </c>
      <c r="I24" s="404" t="str">
        <f t="shared" si="14"/>
        <v/>
      </c>
      <c r="J24" s="404" t="str">
        <f t="shared" si="14"/>
        <v/>
      </c>
      <c r="K24" s="404" t="str">
        <f t="shared" si="14"/>
        <v/>
      </c>
      <c r="L24" s="363" t="str">
        <f t="shared" si="14"/>
        <v/>
      </c>
      <c r="M24" s="364" t="str">
        <f t="shared" si="14"/>
        <v/>
      </c>
      <c r="N24" s="364" t="str">
        <f t="shared" si="14"/>
        <v/>
      </c>
      <c r="O24" s="364" t="str">
        <f t="shared" si="14"/>
        <v/>
      </c>
      <c r="P24" s="364" t="str">
        <f t="shared" si="14"/>
        <v/>
      </c>
      <c r="Q24" s="364" t="str">
        <f t="shared" si="14"/>
        <v/>
      </c>
      <c r="R24" s="364" t="str">
        <f t="shared" si="14"/>
        <v>■</v>
      </c>
      <c r="S24" s="364" t="str">
        <f t="shared" si="14"/>
        <v>■</v>
      </c>
      <c r="T24" s="364" t="str">
        <f t="shared" si="14"/>
        <v>■</v>
      </c>
      <c r="U24" s="402" t="str">
        <f t="shared" si="14"/>
        <v/>
      </c>
      <c r="V24" s="402" t="str">
        <f t="shared" si="14"/>
        <v/>
      </c>
      <c r="W24" s="402" t="str">
        <f t="shared" si="14"/>
        <v/>
      </c>
      <c r="X24" s="364" t="str">
        <f t="shared" si="14"/>
        <v/>
      </c>
      <c r="Y24" s="364" t="str">
        <f t="shared" si="12"/>
        <v/>
      </c>
      <c r="Z24" s="364" t="str">
        <f t="shared" si="12"/>
        <v/>
      </c>
      <c r="AA24" s="364" t="str">
        <f t="shared" si="12"/>
        <v/>
      </c>
      <c r="AB24" s="364" t="str">
        <f t="shared" si="12"/>
        <v/>
      </c>
      <c r="AC24" s="364" t="str">
        <f t="shared" si="12"/>
        <v/>
      </c>
      <c r="AD24" s="364" t="str">
        <f t="shared" si="12"/>
        <v/>
      </c>
      <c r="AE24" s="364" t="str">
        <f t="shared" si="12"/>
        <v/>
      </c>
      <c r="AF24" s="364" t="str">
        <f t="shared" si="12"/>
        <v/>
      </c>
      <c r="AG24" s="402" t="str">
        <f t="shared" si="12"/>
        <v/>
      </c>
      <c r="AH24" s="402" t="str">
        <f t="shared" si="12"/>
        <v/>
      </c>
      <c r="AI24" s="402" t="str">
        <f t="shared" si="12"/>
        <v/>
      </c>
      <c r="AJ24" s="364" t="str">
        <f t="shared" si="12"/>
        <v/>
      </c>
      <c r="AK24" s="364" t="str">
        <f t="shared" si="12"/>
        <v/>
      </c>
      <c r="AL24" s="364" t="str">
        <f t="shared" si="12"/>
        <v/>
      </c>
      <c r="AM24" s="364" t="str">
        <f t="shared" si="12"/>
        <v/>
      </c>
      <c r="AN24" s="364" t="str">
        <f t="shared" si="12"/>
        <v/>
      </c>
      <c r="AO24" s="364" t="str">
        <f t="shared" si="13"/>
        <v/>
      </c>
      <c r="AP24" s="364" t="str">
        <f t="shared" si="13"/>
        <v/>
      </c>
      <c r="AQ24" s="364" t="str">
        <f t="shared" si="13"/>
        <v/>
      </c>
      <c r="AR24" s="364" t="str">
        <f t="shared" si="13"/>
        <v/>
      </c>
      <c r="AS24" s="402" t="str">
        <f t="shared" si="13"/>
        <v/>
      </c>
      <c r="AT24" s="402" t="str">
        <f t="shared" si="13"/>
        <v/>
      </c>
      <c r="AU24" s="402" t="str">
        <f t="shared" si="13"/>
        <v/>
      </c>
      <c r="AV24" s="364" t="str">
        <f t="shared" si="13"/>
        <v/>
      </c>
      <c r="AW24" s="365" t="str">
        <f t="shared" si="13"/>
        <v/>
      </c>
      <c r="AX24" s="365" t="str">
        <f t="shared" si="13"/>
        <v/>
      </c>
      <c r="AY24" s="366" t="str">
        <f t="shared" si="13"/>
        <v/>
      </c>
      <c r="AZ24" s="366" t="str">
        <f t="shared" si="13"/>
        <v/>
      </c>
      <c r="BA24" s="431" t="str">
        <f t="shared" si="13"/>
        <v/>
      </c>
      <c r="BB24" s="366" t="str">
        <f t="shared" si="13"/>
        <v/>
      </c>
      <c r="BC24" s="436" t="str">
        <f t="shared" si="13"/>
        <v/>
      </c>
      <c r="BD24"/>
      <c r="BE24" s="126">
        <f>⑤CP구성!$AF33</f>
        <v>0</v>
      </c>
      <c r="BF24"/>
      <c r="BG24"/>
      <c r="BH24"/>
      <c r="BI24"/>
      <c r="BJ24"/>
      <c r="BK24"/>
      <c r="BL24"/>
      <c r="BM24"/>
      <c r="BN24"/>
      <c r="BO24"/>
      <c r="BP24"/>
    </row>
    <row r="25" spans="1:68" s="126" customFormat="1" ht="24" customHeight="1">
      <c r="A25" s="359" t="str">
        <f>⑤CP구성!$C34</f>
        <v>횡산소규모</v>
      </c>
      <c r="B25" s="368">
        <f>⑤CP구성!$B34</f>
        <v>19</v>
      </c>
      <c r="C25" s="368" t="str">
        <f>⑤CP구성!$D34</f>
        <v>배수설비 - 관로(옥내)</v>
      </c>
      <c r="D25" s="361">
        <f>⑤CP구성!$S34</f>
        <v>46692</v>
      </c>
      <c r="E25" s="361">
        <f>⑤CP구성!$V34</f>
        <v>46886.5</v>
      </c>
      <c r="F25" s="362">
        <f>⑤CP구성!$W34</f>
        <v>195.5</v>
      </c>
      <c r="G25" s="362">
        <f>⑤CP구성!$L34</f>
        <v>246</v>
      </c>
      <c r="H25" s="362">
        <f>⑤CP구성!$M34</f>
        <v>349.5</v>
      </c>
      <c r="I25" s="404" t="str">
        <f t="shared" si="14"/>
        <v/>
      </c>
      <c r="J25" s="404" t="str">
        <f t="shared" si="14"/>
        <v/>
      </c>
      <c r="K25" s="404" t="str">
        <f t="shared" si="14"/>
        <v/>
      </c>
      <c r="L25" s="363" t="str">
        <f t="shared" si="14"/>
        <v/>
      </c>
      <c r="M25" s="364" t="str">
        <f t="shared" si="14"/>
        <v/>
      </c>
      <c r="N25" s="364" t="str">
        <f t="shared" si="14"/>
        <v/>
      </c>
      <c r="O25" s="364" t="str">
        <f t="shared" si="14"/>
        <v/>
      </c>
      <c r="P25" s="364" t="str">
        <f t="shared" si="14"/>
        <v/>
      </c>
      <c r="Q25" s="364" t="str">
        <f t="shared" si="14"/>
        <v/>
      </c>
      <c r="R25" s="364" t="str">
        <f t="shared" si="14"/>
        <v/>
      </c>
      <c r="S25" s="364" t="str">
        <f t="shared" si="14"/>
        <v/>
      </c>
      <c r="T25" s="364" t="str">
        <f t="shared" si="14"/>
        <v>■</v>
      </c>
      <c r="U25" s="402" t="str">
        <f t="shared" si="14"/>
        <v/>
      </c>
      <c r="V25" s="402" t="str">
        <f t="shared" si="14"/>
        <v/>
      </c>
      <c r="W25" s="402" t="str">
        <f t="shared" si="14"/>
        <v/>
      </c>
      <c r="X25" s="364" t="str">
        <f t="shared" si="14"/>
        <v>■</v>
      </c>
      <c r="Y25" s="364" t="str">
        <f t="shared" si="12"/>
        <v>■</v>
      </c>
      <c r="Z25" s="364" t="str">
        <f t="shared" si="12"/>
        <v>■</v>
      </c>
      <c r="AA25" s="364" t="str">
        <f t="shared" si="12"/>
        <v/>
      </c>
      <c r="AB25" s="364" t="str">
        <f t="shared" si="12"/>
        <v/>
      </c>
      <c r="AC25" s="364" t="str">
        <f t="shared" si="12"/>
        <v/>
      </c>
      <c r="AD25" s="364" t="str">
        <f t="shared" si="12"/>
        <v/>
      </c>
      <c r="AE25" s="364" t="str">
        <f t="shared" si="12"/>
        <v/>
      </c>
      <c r="AF25" s="364" t="str">
        <f t="shared" si="12"/>
        <v/>
      </c>
      <c r="AG25" s="402" t="str">
        <f t="shared" si="12"/>
        <v/>
      </c>
      <c r="AH25" s="402" t="str">
        <f t="shared" si="12"/>
        <v/>
      </c>
      <c r="AI25" s="402" t="str">
        <f t="shared" si="12"/>
        <v/>
      </c>
      <c r="AJ25" s="364" t="str">
        <f t="shared" si="12"/>
        <v/>
      </c>
      <c r="AK25" s="364" t="str">
        <f t="shared" si="12"/>
        <v/>
      </c>
      <c r="AL25" s="364" t="str">
        <f t="shared" si="12"/>
        <v/>
      </c>
      <c r="AM25" s="364" t="str">
        <f t="shared" si="12"/>
        <v/>
      </c>
      <c r="AN25" s="364" t="str">
        <f t="shared" si="12"/>
        <v/>
      </c>
      <c r="AO25" s="364" t="str">
        <f t="shared" si="13"/>
        <v/>
      </c>
      <c r="AP25" s="364" t="str">
        <f t="shared" si="13"/>
        <v/>
      </c>
      <c r="AQ25" s="364" t="str">
        <f t="shared" si="13"/>
        <v/>
      </c>
      <c r="AR25" s="364" t="str">
        <f t="shared" si="13"/>
        <v/>
      </c>
      <c r="AS25" s="402" t="str">
        <f t="shared" si="13"/>
        <v/>
      </c>
      <c r="AT25" s="402" t="str">
        <f t="shared" si="13"/>
        <v/>
      </c>
      <c r="AU25" s="402" t="str">
        <f t="shared" si="13"/>
        <v/>
      </c>
      <c r="AV25" s="364" t="str">
        <f t="shared" si="13"/>
        <v/>
      </c>
      <c r="AW25" s="365" t="str">
        <f t="shared" si="13"/>
        <v/>
      </c>
      <c r="AX25" s="365" t="str">
        <f t="shared" si="13"/>
        <v/>
      </c>
      <c r="AY25" s="366" t="str">
        <f t="shared" si="13"/>
        <v/>
      </c>
      <c r="AZ25" s="366" t="str">
        <f t="shared" si="13"/>
        <v/>
      </c>
      <c r="BA25" s="431" t="str">
        <f t="shared" si="13"/>
        <v/>
      </c>
      <c r="BB25" s="366" t="str">
        <f t="shared" si="13"/>
        <v/>
      </c>
      <c r="BC25" s="436" t="str">
        <f t="shared" si="13"/>
        <v/>
      </c>
      <c r="BD25"/>
      <c r="BE25" s="126">
        <f>⑤CP구성!$AF34</f>
        <v>0</v>
      </c>
      <c r="BF25"/>
      <c r="BG25"/>
      <c r="BH25"/>
      <c r="BI25"/>
      <c r="BJ25"/>
      <c r="BK25"/>
      <c r="BL25"/>
      <c r="BM25"/>
      <c r="BN25"/>
      <c r="BO25"/>
      <c r="BP25"/>
    </row>
    <row r="26" spans="1:68" s="126" customFormat="1" ht="24" customHeight="1">
      <c r="A26" s="359" t="str">
        <f>⑤CP구성!$C35</f>
        <v>횡산소규모</v>
      </c>
      <c r="B26" s="370">
        <f>⑤CP구성!$B35</f>
        <v>20</v>
      </c>
      <c r="C26" s="369" t="str">
        <f>⑤CP구성!$D35</f>
        <v>배수설비 - 맨홀·오수받이</v>
      </c>
      <c r="D26" s="361">
        <f>⑤CP구성!$S35</f>
        <v>46872</v>
      </c>
      <c r="E26" s="361">
        <f>⑤CP구성!$V35</f>
        <v>46903.1</v>
      </c>
      <c r="F26" s="362">
        <f>⑤CP구성!$W35</f>
        <v>32.099999999998545</v>
      </c>
      <c r="G26" s="362">
        <f>⑤CP구성!$L35</f>
        <v>335</v>
      </c>
      <c r="H26" s="362">
        <f>⑤CP구성!$M35</f>
        <v>366.1</v>
      </c>
      <c r="I26" s="406" t="str">
        <f t="shared" si="14"/>
        <v/>
      </c>
      <c r="J26" s="406" t="str">
        <f t="shared" si="14"/>
        <v/>
      </c>
      <c r="K26" s="406" t="str">
        <f t="shared" si="14"/>
        <v/>
      </c>
      <c r="L26" s="367" t="str">
        <f t="shared" si="14"/>
        <v/>
      </c>
      <c r="M26" s="363" t="str">
        <f t="shared" si="14"/>
        <v/>
      </c>
      <c r="N26" s="363" t="str">
        <f t="shared" si="14"/>
        <v/>
      </c>
      <c r="O26" s="363" t="str">
        <f t="shared" si="14"/>
        <v/>
      </c>
      <c r="P26" s="363" t="str">
        <f t="shared" si="14"/>
        <v/>
      </c>
      <c r="Q26" s="363" t="str">
        <f t="shared" si="14"/>
        <v/>
      </c>
      <c r="R26" s="363" t="str">
        <f t="shared" si="14"/>
        <v/>
      </c>
      <c r="S26" s="363" t="str">
        <f t="shared" si="14"/>
        <v/>
      </c>
      <c r="T26" s="363" t="str">
        <f t="shared" si="14"/>
        <v/>
      </c>
      <c r="U26" s="402" t="str">
        <f t="shared" si="14"/>
        <v/>
      </c>
      <c r="V26" s="402" t="str">
        <f t="shared" si="14"/>
        <v/>
      </c>
      <c r="W26" s="402" t="str">
        <f t="shared" si="14"/>
        <v/>
      </c>
      <c r="X26" s="363" t="str">
        <f t="shared" si="14"/>
        <v/>
      </c>
      <c r="Y26" s="363" t="str">
        <f t="shared" si="12"/>
        <v>■</v>
      </c>
      <c r="Z26" s="363" t="str">
        <f t="shared" si="12"/>
        <v>■</v>
      </c>
      <c r="AA26" s="363" t="str">
        <f t="shared" si="12"/>
        <v/>
      </c>
      <c r="AB26" s="363" t="str">
        <f t="shared" si="12"/>
        <v/>
      </c>
      <c r="AC26" s="363" t="str">
        <f t="shared" si="12"/>
        <v/>
      </c>
      <c r="AD26" s="363" t="str">
        <f t="shared" si="12"/>
        <v/>
      </c>
      <c r="AE26" s="363" t="str">
        <f t="shared" si="12"/>
        <v/>
      </c>
      <c r="AF26" s="363" t="str">
        <f t="shared" si="12"/>
        <v/>
      </c>
      <c r="AG26" s="402" t="str">
        <f t="shared" si="12"/>
        <v/>
      </c>
      <c r="AH26" s="402" t="str">
        <f t="shared" si="12"/>
        <v/>
      </c>
      <c r="AI26" s="402" t="str">
        <f t="shared" si="12"/>
        <v/>
      </c>
      <c r="AJ26" s="363" t="str">
        <f t="shared" si="12"/>
        <v/>
      </c>
      <c r="AK26" s="363" t="str">
        <f t="shared" si="12"/>
        <v/>
      </c>
      <c r="AL26" s="363" t="str">
        <f t="shared" si="12"/>
        <v/>
      </c>
      <c r="AM26" s="363" t="str">
        <f t="shared" si="12"/>
        <v/>
      </c>
      <c r="AN26" s="364" t="str">
        <f t="shared" si="12"/>
        <v/>
      </c>
      <c r="AO26" s="364" t="str">
        <f t="shared" si="13"/>
        <v/>
      </c>
      <c r="AP26" s="364" t="str">
        <f t="shared" si="13"/>
        <v/>
      </c>
      <c r="AQ26" s="364" t="str">
        <f t="shared" si="13"/>
        <v/>
      </c>
      <c r="AR26" s="364" t="str">
        <f t="shared" si="13"/>
        <v/>
      </c>
      <c r="AS26" s="402" t="str">
        <f t="shared" si="13"/>
        <v/>
      </c>
      <c r="AT26" s="402" t="str">
        <f t="shared" si="13"/>
        <v/>
      </c>
      <c r="AU26" s="402" t="str">
        <f t="shared" si="13"/>
        <v/>
      </c>
      <c r="AV26" s="364" t="str">
        <f t="shared" si="13"/>
        <v/>
      </c>
      <c r="AW26" s="365" t="str">
        <f t="shared" si="13"/>
        <v/>
      </c>
      <c r="AX26" s="365" t="str">
        <f t="shared" si="13"/>
        <v/>
      </c>
      <c r="AY26" s="366" t="str">
        <f t="shared" si="13"/>
        <v/>
      </c>
      <c r="AZ26" s="366" t="str">
        <f t="shared" si="13"/>
        <v/>
      </c>
      <c r="BA26" s="431" t="str">
        <f t="shared" si="13"/>
        <v/>
      </c>
      <c r="BB26" s="366" t="str">
        <f t="shared" si="13"/>
        <v/>
      </c>
      <c r="BC26" s="436" t="str">
        <f t="shared" si="13"/>
        <v/>
      </c>
      <c r="BD26"/>
      <c r="BE26" s="126">
        <f>⑤CP구성!$AF35</f>
        <v>0</v>
      </c>
      <c r="BF26"/>
      <c r="BG26"/>
      <c r="BH26"/>
      <c r="BI26"/>
      <c r="BJ26"/>
      <c r="BK26"/>
      <c r="BL26"/>
      <c r="BM26"/>
      <c r="BN26"/>
      <c r="BO26"/>
      <c r="BP26"/>
    </row>
    <row r="27" spans="1:68" s="126" customFormat="1" ht="24" customHeight="1">
      <c r="A27" s="359" t="str">
        <f>⑤CP구성!$C36</f>
        <v>횡산소규모</v>
      </c>
      <c r="B27" s="368">
        <f>⑤CP구성!$B36</f>
        <v>21</v>
      </c>
      <c r="C27" s="368" t="str">
        <f>⑤CP구성!$D36</f>
        <v>배수설비 - 포장 복구</v>
      </c>
      <c r="D27" s="361">
        <f>⑤CP구성!$S36</f>
        <v>46901</v>
      </c>
      <c r="E27" s="361">
        <f>⑤CP구성!$V36</f>
        <v>46990.1</v>
      </c>
      <c r="F27" s="362">
        <f>⑤CP구성!$W36</f>
        <v>90.099999999998545</v>
      </c>
      <c r="G27" s="362">
        <f>⑤CP구성!$L36</f>
        <v>364</v>
      </c>
      <c r="H27" s="362">
        <f>⑤CP구성!$M36</f>
        <v>453.1</v>
      </c>
      <c r="I27" s="404" t="str">
        <f t="shared" si="14"/>
        <v/>
      </c>
      <c r="J27" s="404" t="str">
        <f t="shared" si="14"/>
        <v/>
      </c>
      <c r="K27" s="404" t="str">
        <f t="shared" si="14"/>
        <v/>
      </c>
      <c r="L27" s="363" t="str">
        <f t="shared" si="14"/>
        <v/>
      </c>
      <c r="M27" s="364" t="str">
        <f t="shared" si="14"/>
        <v/>
      </c>
      <c r="N27" s="364" t="str">
        <f t="shared" si="14"/>
        <v/>
      </c>
      <c r="O27" s="364" t="str">
        <f t="shared" si="14"/>
        <v/>
      </c>
      <c r="P27" s="364" t="str">
        <f t="shared" si="14"/>
        <v/>
      </c>
      <c r="Q27" s="364" t="str">
        <f t="shared" si="14"/>
        <v/>
      </c>
      <c r="R27" s="364" t="str">
        <f t="shared" si="14"/>
        <v/>
      </c>
      <c r="S27" s="364" t="str">
        <f t="shared" si="14"/>
        <v/>
      </c>
      <c r="T27" s="364" t="str">
        <f t="shared" si="14"/>
        <v/>
      </c>
      <c r="U27" s="402" t="str">
        <f t="shared" si="14"/>
        <v/>
      </c>
      <c r="V27" s="402" t="str">
        <f t="shared" si="14"/>
        <v/>
      </c>
      <c r="W27" s="402" t="str">
        <f t="shared" si="14"/>
        <v/>
      </c>
      <c r="X27" s="364" t="str">
        <f t="shared" si="14"/>
        <v/>
      </c>
      <c r="Y27" s="364" t="str">
        <f t="shared" si="12"/>
        <v/>
      </c>
      <c r="Z27" s="364" t="str">
        <f t="shared" si="12"/>
        <v>■</v>
      </c>
      <c r="AA27" s="364" t="str">
        <f t="shared" si="12"/>
        <v>■</v>
      </c>
      <c r="AB27" s="364" t="str">
        <f t="shared" si="12"/>
        <v>■</v>
      </c>
      <c r="AC27" s="364" t="str">
        <f t="shared" si="12"/>
        <v>■</v>
      </c>
      <c r="AD27" s="364" t="str">
        <f t="shared" si="12"/>
        <v/>
      </c>
      <c r="AE27" s="364" t="str">
        <f t="shared" si="12"/>
        <v/>
      </c>
      <c r="AF27" s="364" t="str">
        <f t="shared" si="12"/>
        <v/>
      </c>
      <c r="AG27" s="402" t="str">
        <f t="shared" si="12"/>
        <v/>
      </c>
      <c r="AH27" s="402" t="str">
        <f t="shared" si="12"/>
        <v/>
      </c>
      <c r="AI27" s="402" t="str">
        <f t="shared" si="12"/>
        <v/>
      </c>
      <c r="AJ27" s="364" t="str">
        <f t="shared" si="12"/>
        <v/>
      </c>
      <c r="AK27" s="364" t="str">
        <f t="shared" si="12"/>
        <v/>
      </c>
      <c r="AL27" s="364" t="str">
        <f t="shared" si="12"/>
        <v/>
      </c>
      <c r="AM27" s="364" t="str">
        <f t="shared" si="12"/>
        <v/>
      </c>
      <c r="AN27" s="364" t="str">
        <f t="shared" si="12"/>
        <v/>
      </c>
      <c r="AO27" s="364" t="str">
        <f t="shared" si="13"/>
        <v/>
      </c>
      <c r="AP27" s="364" t="str">
        <f t="shared" si="13"/>
        <v/>
      </c>
      <c r="AQ27" s="364" t="str">
        <f t="shared" si="13"/>
        <v/>
      </c>
      <c r="AR27" s="364" t="str">
        <f t="shared" si="13"/>
        <v/>
      </c>
      <c r="AS27" s="402" t="str">
        <f t="shared" si="13"/>
        <v/>
      </c>
      <c r="AT27" s="402" t="str">
        <f t="shared" si="13"/>
        <v/>
      </c>
      <c r="AU27" s="402" t="str">
        <f t="shared" si="13"/>
        <v/>
      </c>
      <c r="AV27" s="364" t="str">
        <f t="shared" si="13"/>
        <v/>
      </c>
      <c r="AW27" s="365" t="str">
        <f t="shared" si="13"/>
        <v/>
      </c>
      <c r="AX27" s="365" t="str">
        <f t="shared" si="13"/>
        <v/>
      </c>
      <c r="AY27" s="366" t="str">
        <f t="shared" si="13"/>
        <v/>
      </c>
      <c r="AZ27" s="366" t="str">
        <f t="shared" si="13"/>
        <v/>
      </c>
      <c r="BA27" s="431" t="str">
        <f t="shared" si="13"/>
        <v/>
      </c>
      <c r="BB27" s="366" t="str">
        <f t="shared" si="13"/>
        <v/>
      </c>
      <c r="BC27" s="436" t="str">
        <f t="shared" si="13"/>
        <v/>
      </c>
      <c r="BD27"/>
      <c r="BE27" s="126">
        <f>⑤CP구성!$AF36</f>
        <v>0</v>
      </c>
      <c r="BF27"/>
      <c r="BG27"/>
      <c r="BH27"/>
      <c r="BI27"/>
      <c r="BJ27"/>
      <c r="BK27"/>
      <c r="BL27"/>
      <c r="BM27"/>
      <c r="BN27"/>
      <c r="BO27"/>
      <c r="BP27"/>
    </row>
    <row r="28" spans="1:68" s="126" customFormat="1" ht="24" customHeight="1">
      <c r="A28" s="359" t="str">
        <f>⑤CP구성!$C37</f>
        <v>횡산소규모</v>
      </c>
      <c r="B28" s="368">
        <f>⑤CP구성!$B37</f>
        <v>22</v>
      </c>
      <c r="C28" s="368" t="str">
        <f>⑤CP구성!$D37</f>
        <v>배수설비 - 부대공</v>
      </c>
      <c r="D28" s="361">
        <f>⑤CP구성!$S37</f>
        <v>46978</v>
      </c>
      <c r="E28" s="361">
        <f>⑤CP구성!$V37</f>
        <v>47018.400000000001</v>
      </c>
      <c r="F28" s="362">
        <f>⑤CP구성!$W37</f>
        <v>41.400000000001455</v>
      </c>
      <c r="G28" s="362">
        <f>⑤CP구성!$L37</f>
        <v>441</v>
      </c>
      <c r="H28" s="362">
        <f>⑤CP구성!$M37</f>
        <v>481.4</v>
      </c>
      <c r="I28" s="404" t="str">
        <f t="shared" si="14"/>
        <v/>
      </c>
      <c r="J28" s="404" t="str">
        <f t="shared" si="14"/>
        <v/>
      </c>
      <c r="K28" s="404" t="str">
        <f t="shared" si="14"/>
        <v/>
      </c>
      <c r="L28" s="363" t="str">
        <f t="shared" si="14"/>
        <v/>
      </c>
      <c r="M28" s="364" t="str">
        <f t="shared" si="14"/>
        <v/>
      </c>
      <c r="N28" s="364" t="str">
        <f t="shared" si="14"/>
        <v/>
      </c>
      <c r="O28" s="364" t="str">
        <f t="shared" si="14"/>
        <v/>
      </c>
      <c r="P28" s="364" t="str">
        <f t="shared" si="14"/>
        <v/>
      </c>
      <c r="Q28" s="364" t="str">
        <f t="shared" si="14"/>
        <v/>
      </c>
      <c r="R28" s="364" t="str">
        <f t="shared" si="14"/>
        <v/>
      </c>
      <c r="S28" s="364" t="str">
        <f t="shared" si="14"/>
        <v/>
      </c>
      <c r="T28" s="364" t="str">
        <f t="shared" si="14"/>
        <v/>
      </c>
      <c r="U28" s="402" t="str">
        <f t="shared" si="14"/>
        <v/>
      </c>
      <c r="V28" s="402" t="str">
        <f t="shared" si="14"/>
        <v/>
      </c>
      <c r="W28" s="402" t="str">
        <f t="shared" si="14"/>
        <v/>
      </c>
      <c r="X28" s="364" t="str">
        <f t="shared" si="14"/>
        <v/>
      </c>
      <c r="Y28" s="364" t="str">
        <f t="shared" si="12"/>
        <v/>
      </c>
      <c r="Z28" s="364" t="str">
        <f t="shared" si="12"/>
        <v/>
      </c>
      <c r="AA28" s="364" t="str">
        <f t="shared" si="12"/>
        <v/>
      </c>
      <c r="AB28" s="364" t="str">
        <f t="shared" si="12"/>
        <v/>
      </c>
      <c r="AC28" s="364" t="str">
        <f t="shared" si="12"/>
        <v>■</v>
      </c>
      <c r="AD28" s="364" t="str">
        <f t="shared" si="12"/>
        <v>■</v>
      </c>
      <c r="AE28" s="364" t="str">
        <f t="shared" si="12"/>
        <v/>
      </c>
      <c r="AF28" s="364" t="str">
        <f t="shared" si="12"/>
        <v/>
      </c>
      <c r="AG28" s="402" t="str">
        <f t="shared" si="12"/>
        <v/>
      </c>
      <c r="AH28" s="402" t="str">
        <f t="shared" si="12"/>
        <v/>
      </c>
      <c r="AI28" s="402" t="str">
        <f t="shared" si="12"/>
        <v/>
      </c>
      <c r="AJ28" s="364" t="str">
        <f t="shared" si="12"/>
        <v/>
      </c>
      <c r="AK28" s="364" t="str">
        <f t="shared" si="12"/>
        <v/>
      </c>
      <c r="AL28" s="364" t="str">
        <f t="shared" si="12"/>
        <v/>
      </c>
      <c r="AM28" s="364" t="str">
        <f t="shared" si="12"/>
        <v/>
      </c>
      <c r="AN28" s="364" t="str">
        <f t="shared" si="12"/>
        <v/>
      </c>
      <c r="AO28" s="364" t="str">
        <f t="shared" si="13"/>
        <v/>
      </c>
      <c r="AP28" s="364" t="str">
        <f t="shared" si="13"/>
        <v/>
      </c>
      <c r="AQ28" s="364" t="str">
        <f t="shared" si="13"/>
        <v/>
      </c>
      <c r="AR28" s="364" t="str">
        <f t="shared" si="13"/>
        <v/>
      </c>
      <c r="AS28" s="402" t="str">
        <f t="shared" si="13"/>
        <v/>
      </c>
      <c r="AT28" s="402" t="str">
        <f t="shared" si="13"/>
        <v/>
      </c>
      <c r="AU28" s="402" t="str">
        <f t="shared" si="13"/>
        <v/>
      </c>
      <c r="AV28" s="364" t="str">
        <f t="shared" si="13"/>
        <v/>
      </c>
      <c r="AW28" s="365" t="str">
        <f t="shared" si="13"/>
        <v/>
      </c>
      <c r="AX28" s="365" t="str">
        <f t="shared" si="13"/>
        <v/>
      </c>
      <c r="AY28" s="366" t="str">
        <f t="shared" si="13"/>
        <v/>
      </c>
      <c r="AZ28" s="366" t="str">
        <f t="shared" si="13"/>
        <v/>
      </c>
      <c r="BA28" s="431" t="str">
        <f t="shared" si="13"/>
        <v/>
      </c>
      <c r="BB28" s="366" t="str">
        <f t="shared" si="13"/>
        <v/>
      </c>
      <c r="BC28" s="436" t="str">
        <f t="shared" si="13"/>
        <v/>
      </c>
      <c r="BD28"/>
      <c r="BE28" s="126">
        <f>⑤CP구성!$AF37</f>
        <v>0</v>
      </c>
      <c r="BF28"/>
      <c r="BG28"/>
      <c r="BH28"/>
      <c r="BI28"/>
      <c r="BJ28"/>
      <c r="BK28"/>
      <c r="BL28"/>
      <c r="BM28"/>
      <c r="BN28"/>
      <c r="BO28"/>
      <c r="BP28"/>
    </row>
    <row r="29" spans="1:68" s="126" customFormat="1" ht="24" customHeight="1">
      <c r="A29" s="359" t="str">
        <f>⑤CP구성!$C38</f>
        <v>횡산소규모</v>
      </c>
      <c r="B29" s="368">
        <f>⑤CP구성!$B38</f>
        <v>23</v>
      </c>
      <c r="C29" s="368" t="str">
        <f>⑤CP구성!$D38</f>
        <v>건축공사</v>
      </c>
      <c r="D29" s="361">
        <f>⑤CP구성!$S38</f>
        <v>46825.1</v>
      </c>
      <c r="E29" s="361">
        <f>⑤CP구성!$V38</f>
        <v>47004.1</v>
      </c>
      <c r="F29" s="362">
        <f>⑤CP구성!$W38</f>
        <v>180</v>
      </c>
      <c r="G29" s="362">
        <f>⑤CP구성!$L38</f>
        <v>288.10000000000002</v>
      </c>
      <c r="H29" s="362">
        <f>⑤CP구성!$M38</f>
        <v>467.1</v>
      </c>
      <c r="I29" s="404" t="str">
        <f t="shared" si="14"/>
        <v/>
      </c>
      <c r="J29" s="404" t="str">
        <f t="shared" si="14"/>
        <v/>
      </c>
      <c r="K29" s="404" t="str">
        <f t="shared" si="14"/>
        <v/>
      </c>
      <c r="L29" s="363" t="str">
        <f t="shared" si="14"/>
        <v/>
      </c>
      <c r="M29" s="364" t="str">
        <f t="shared" si="14"/>
        <v/>
      </c>
      <c r="N29" s="364" t="str">
        <f t="shared" si="14"/>
        <v/>
      </c>
      <c r="O29" s="364" t="str">
        <f t="shared" si="14"/>
        <v/>
      </c>
      <c r="P29" s="364" t="str">
        <f t="shared" si="14"/>
        <v/>
      </c>
      <c r="Q29" s="364" t="str">
        <f t="shared" si="14"/>
        <v/>
      </c>
      <c r="R29" s="364" t="str">
        <f t="shared" si="14"/>
        <v/>
      </c>
      <c r="S29" s="364" t="str">
        <f t="shared" si="14"/>
        <v/>
      </c>
      <c r="T29" s="364" t="str">
        <f t="shared" si="14"/>
        <v/>
      </c>
      <c r="U29" s="402" t="str">
        <f t="shared" si="14"/>
        <v/>
      </c>
      <c r="V29" s="402" t="str">
        <f t="shared" si="14"/>
        <v/>
      </c>
      <c r="W29" s="402" t="str">
        <f t="shared" si="14"/>
        <v/>
      </c>
      <c r="X29" s="364" t="str">
        <f t="shared" si="14"/>
        <v>■</v>
      </c>
      <c r="Y29" s="364" t="str">
        <f t="shared" si="12"/>
        <v>■</v>
      </c>
      <c r="Z29" s="364" t="str">
        <f t="shared" si="12"/>
        <v>■</v>
      </c>
      <c r="AA29" s="364" t="str">
        <f t="shared" si="12"/>
        <v>■</v>
      </c>
      <c r="AB29" s="364" t="str">
        <f t="shared" si="12"/>
        <v>■</v>
      </c>
      <c r="AC29" s="364" t="str">
        <f t="shared" si="12"/>
        <v>■</v>
      </c>
      <c r="AD29" s="364" t="str">
        <f t="shared" si="12"/>
        <v>■</v>
      </c>
      <c r="AE29" s="364" t="str">
        <f t="shared" si="12"/>
        <v/>
      </c>
      <c r="AF29" s="364" t="str">
        <f t="shared" si="12"/>
        <v/>
      </c>
      <c r="AG29" s="402" t="str">
        <f t="shared" si="12"/>
        <v/>
      </c>
      <c r="AH29" s="402" t="str">
        <f t="shared" si="12"/>
        <v/>
      </c>
      <c r="AI29" s="402" t="str">
        <f t="shared" si="12"/>
        <v/>
      </c>
      <c r="AJ29" s="364" t="str">
        <f t="shared" si="12"/>
        <v/>
      </c>
      <c r="AK29" s="364" t="str">
        <f t="shared" si="12"/>
        <v/>
      </c>
      <c r="AL29" s="364" t="str">
        <f t="shared" si="12"/>
        <v/>
      </c>
      <c r="AM29" s="364" t="str">
        <f t="shared" si="12"/>
        <v/>
      </c>
      <c r="AN29" s="364" t="str">
        <f t="shared" si="12"/>
        <v/>
      </c>
      <c r="AO29" s="364" t="str">
        <f t="shared" si="13"/>
        <v/>
      </c>
      <c r="AP29" s="364" t="str">
        <f t="shared" si="13"/>
        <v/>
      </c>
      <c r="AQ29" s="364" t="str">
        <f t="shared" si="13"/>
        <v/>
      </c>
      <c r="AR29" s="364" t="str">
        <f t="shared" si="13"/>
        <v/>
      </c>
      <c r="AS29" s="402" t="str">
        <f t="shared" si="13"/>
        <v/>
      </c>
      <c r="AT29" s="402" t="str">
        <f t="shared" si="13"/>
        <v/>
      </c>
      <c r="AU29" s="402" t="str">
        <f t="shared" si="13"/>
        <v/>
      </c>
      <c r="AV29" s="364" t="str">
        <f t="shared" si="13"/>
        <v/>
      </c>
      <c r="AW29" s="365" t="str">
        <f t="shared" si="13"/>
        <v/>
      </c>
      <c r="AX29" s="365" t="str">
        <f t="shared" si="13"/>
        <v/>
      </c>
      <c r="AY29" s="366" t="str">
        <f t="shared" si="13"/>
        <v/>
      </c>
      <c r="AZ29" s="366" t="str">
        <f t="shared" si="13"/>
        <v/>
      </c>
      <c r="BA29" s="431" t="str">
        <f t="shared" si="13"/>
        <v/>
      </c>
      <c r="BB29" s="366" t="str">
        <f t="shared" si="13"/>
        <v/>
      </c>
      <c r="BC29" s="436" t="str">
        <f t="shared" si="13"/>
        <v/>
      </c>
      <c r="BD29"/>
      <c r="BE29" s="126">
        <f>⑤CP구성!$AF38</f>
        <v>0</v>
      </c>
      <c r="BF29"/>
      <c r="BG29"/>
      <c r="BH29"/>
      <c r="BI29"/>
      <c r="BJ29"/>
      <c r="BK29"/>
      <c r="BL29"/>
      <c r="BM29"/>
      <c r="BN29"/>
      <c r="BO29"/>
      <c r="BP29"/>
    </row>
    <row r="30" spans="1:68" s="126" customFormat="1" ht="24" customHeight="1">
      <c r="A30" s="359" t="str">
        <f>⑤CP구성!$C39</f>
        <v>횡산소규모</v>
      </c>
      <c r="B30" s="368">
        <f>⑤CP구성!$B39</f>
        <v>24</v>
      </c>
      <c r="C30" s="368" t="str">
        <f>⑤CP구성!$D39</f>
        <v>기계공사</v>
      </c>
      <c r="D30" s="361">
        <f>⑤CP구성!$S39</f>
        <v>46825.1</v>
      </c>
      <c r="E30" s="361">
        <f>⑤CP구성!$V39</f>
        <v>46974.1</v>
      </c>
      <c r="F30" s="362">
        <f>⑤CP구성!$W39</f>
        <v>150</v>
      </c>
      <c r="G30" s="362">
        <f>⑤CP구성!$L39</f>
        <v>288.10000000000002</v>
      </c>
      <c r="H30" s="362">
        <f>⑤CP구성!$M39</f>
        <v>437.1</v>
      </c>
      <c r="I30" s="404" t="str">
        <f t="shared" si="14"/>
        <v/>
      </c>
      <c r="J30" s="404" t="str">
        <f t="shared" si="14"/>
        <v/>
      </c>
      <c r="K30" s="404" t="str">
        <f t="shared" si="14"/>
        <v/>
      </c>
      <c r="L30" s="363" t="str">
        <f t="shared" si="14"/>
        <v/>
      </c>
      <c r="M30" s="364" t="str">
        <f t="shared" si="14"/>
        <v/>
      </c>
      <c r="N30" s="364" t="str">
        <f t="shared" si="14"/>
        <v/>
      </c>
      <c r="O30" s="364" t="str">
        <f t="shared" si="14"/>
        <v/>
      </c>
      <c r="P30" s="364" t="str">
        <f t="shared" si="14"/>
        <v/>
      </c>
      <c r="Q30" s="364" t="str">
        <f t="shared" si="14"/>
        <v/>
      </c>
      <c r="R30" s="364" t="str">
        <f t="shared" si="14"/>
        <v/>
      </c>
      <c r="S30" s="364" t="str">
        <f t="shared" si="14"/>
        <v/>
      </c>
      <c r="T30" s="364" t="str">
        <f t="shared" si="14"/>
        <v/>
      </c>
      <c r="U30" s="402" t="str">
        <f t="shared" si="14"/>
        <v/>
      </c>
      <c r="V30" s="402" t="str">
        <f t="shared" si="14"/>
        <v/>
      </c>
      <c r="W30" s="402" t="str">
        <f t="shared" si="14"/>
        <v/>
      </c>
      <c r="X30" s="364" t="str">
        <f t="shared" si="14"/>
        <v>■</v>
      </c>
      <c r="Y30" s="364" t="str">
        <f t="shared" si="12"/>
        <v>■</v>
      </c>
      <c r="Z30" s="364" t="str">
        <f t="shared" si="12"/>
        <v>■</v>
      </c>
      <c r="AA30" s="364" t="str">
        <f t="shared" si="12"/>
        <v>■</v>
      </c>
      <c r="AB30" s="364" t="str">
        <f t="shared" si="12"/>
        <v>■</v>
      </c>
      <c r="AC30" s="364" t="str">
        <f t="shared" si="12"/>
        <v>■</v>
      </c>
      <c r="AD30" s="364" t="str">
        <f t="shared" si="12"/>
        <v/>
      </c>
      <c r="AE30" s="364" t="str">
        <f t="shared" si="12"/>
        <v/>
      </c>
      <c r="AF30" s="364" t="str">
        <f t="shared" si="12"/>
        <v/>
      </c>
      <c r="AG30" s="402" t="str">
        <f t="shared" si="12"/>
        <v/>
      </c>
      <c r="AH30" s="402" t="str">
        <f t="shared" si="12"/>
        <v/>
      </c>
      <c r="AI30" s="402" t="str">
        <f t="shared" si="12"/>
        <v/>
      </c>
      <c r="AJ30" s="364" t="str">
        <f t="shared" si="12"/>
        <v/>
      </c>
      <c r="AK30" s="364" t="str">
        <f t="shared" si="12"/>
        <v/>
      </c>
      <c r="AL30" s="364" t="str">
        <f t="shared" si="12"/>
        <v/>
      </c>
      <c r="AM30" s="364" t="str">
        <f t="shared" si="12"/>
        <v/>
      </c>
      <c r="AN30" s="364" t="str">
        <f t="shared" si="12"/>
        <v/>
      </c>
      <c r="AO30" s="364" t="str">
        <f t="shared" si="13"/>
        <v/>
      </c>
      <c r="AP30" s="364" t="str">
        <f t="shared" si="13"/>
        <v/>
      </c>
      <c r="AQ30" s="364" t="str">
        <f t="shared" si="13"/>
        <v/>
      </c>
      <c r="AR30" s="364" t="str">
        <f t="shared" si="13"/>
        <v/>
      </c>
      <c r="AS30" s="402" t="str">
        <f t="shared" si="13"/>
        <v/>
      </c>
      <c r="AT30" s="402" t="str">
        <f t="shared" si="13"/>
        <v/>
      </c>
      <c r="AU30" s="402" t="str">
        <f t="shared" si="13"/>
        <v/>
      </c>
      <c r="AV30" s="364" t="str">
        <f t="shared" si="13"/>
        <v/>
      </c>
      <c r="AW30" s="365" t="str">
        <f t="shared" si="13"/>
        <v/>
      </c>
      <c r="AX30" s="365" t="str">
        <f t="shared" si="13"/>
        <v/>
      </c>
      <c r="AY30" s="366" t="str">
        <f t="shared" si="13"/>
        <v/>
      </c>
      <c r="AZ30" s="366" t="str">
        <f t="shared" si="13"/>
        <v/>
      </c>
      <c r="BA30" s="431" t="str">
        <f t="shared" si="13"/>
        <v/>
      </c>
      <c r="BB30" s="366" t="str">
        <f t="shared" si="13"/>
        <v/>
      </c>
      <c r="BC30" s="436" t="str">
        <f t="shared" si="13"/>
        <v/>
      </c>
      <c r="BD30"/>
      <c r="BE30" s="126">
        <f>⑤CP구성!$AF39</f>
        <v>0</v>
      </c>
      <c r="BF30"/>
      <c r="BG30"/>
      <c r="BH30"/>
      <c r="BI30"/>
      <c r="BJ30"/>
      <c r="BK30"/>
      <c r="BL30"/>
      <c r="BM30"/>
      <c r="BN30"/>
      <c r="BO30"/>
      <c r="BP30"/>
    </row>
    <row r="31" spans="1:68" s="126" customFormat="1" ht="24" customHeight="1">
      <c r="A31" s="359" t="str">
        <f>⑤CP구성!$C40</f>
        <v>횡산소규모</v>
      </c>
      <c r="B31" s="368">
        <f>⑤CP구성!$B40</f>
        <v>25</v>
      </c>
      <c r="C31" s="368" t="str">
        <f>⑤CP구성!$D40</f>
        <v>전기공사</v>
      </c>
      <c r="D31" s="361">
        <f>⑤CP구성!$S40</f>
        <v>46825.1</v>
      </c>
      <c r="E31" s="361">
        <f>⑤CP구성!$V40</f>
        <v>46944.1</v>
      </c>
      <c r="F31" s="362">
        <f>⑤CP구성!$W40</f>
        <v>120</v>
      </c>
      <c r="G31" s="362">
        <f>⑤CP구성!$L40</f>
        <v>288.10000000000002</v>
      </c>
      <c r="H31" s="362">
        <f>⑤CP구성!$M40</f>
        <v>407.1</v>
      </c>
      <c r="I31" s="404" t="str">
        <f t="shared" si="14"/>
        <v/>
      </c>
      <c r="J31" s="404" t="str">
        <f t="shared" si="14"/>
        <v/>
      </c>
      <c r="K31" s="404" t="str">
        <f t="shared" si="14"/>
        <v/>
      </c>
      <c r="L31" s="363" t="str">
        <f t="shared" si="14"/>
        <v/>
      </c>
      <c r="M31" s="364" t="str">
        <f t="shared" si="14"/>
        <v/>
      </c>
      <c r="N31" s="364" t="str">
        <f t="shared" si="14"/>
        <v/>
      </c>
      <c r="O31" s="364" t="str">
        <f t="shared" si="14"/>
        <v/>
      </c>
      <c r="P31" s="364" t="str">
        <f t="shared" si="14"/>
        <v/>
      </c>
      <c r="Q31" s="364" t="str">
        <f t="shared" si="14"/>
        <v/>
      </c>
      <c r="R31" s="364" t="str">
        <f t="shared" si="14"/>
        <v/>
      </c>
      <c r="S31" s="364" t="str">
        <f t="shared" si="14"/>
        <v/>
      </c>
      <c r="T31" s="364" t="str">
        <f t="shared" si="14"/>
        <v/>
      </c>
      <c r="U31" s="402" t="str">
        <f t="shared" si="14"/>
        <v/>
      </c>
      <c r="V31" s="402" t="str">
        <f t="shared" si="14"/>
        <v/>
      </c>
      <c r="W31" s="402" t="str">
        <f t="shared" si="14"/>
        <v/>
      </c>
      <c r="X31" s="364" t="str">
        <f t="shared" si="14"/>
        <v>■</v>
      </c>
      <c r="Y31" s="364" t="str">
        <f t="shared" si="12"/>
        <v>■</v>
      </c>
      <c r="Z31" s="364" t="str">
        <f t="shared" si="12"/>
        <v>■</v>
      </c>
      <c r="AA31" s="364" t="str">
        <f t="shared" si="12"/>
        <v>■</v>
      </c>
      <c r="AB31" s="364" t="str">
        <f t="shared" si="12"/>
        <v>■</v>
      </c>
      <c r="AC31" s="364" t="str">
        <f t="shared" si="12"/>
        <v/>
      </c>
      <c r="AD31" s="364" t="str">
        <f t="shared" si="12"/>
        <v/>
      </c>
      <c r="AE31" s="364" t="str">
        <f t="shared" si="12"/>
        <v/>
      </c>
      <c r="AF31" s="364" t="str">
        <f t="shared" si="12"/>
        <v/>
      </c>
      <c r="AG31" s="402" t="str">
        <f t="shared" si="12"/>
        <v/>
      </c>
      <c r="AH31" s="402" t="str">
        <f t="shared" si="12"/>
        <v/>
      </c>
      <c r="AI31" s="402" t="str">
        <f t="shared" si="12"/>
        <v/>
      </c>
      <c r="AJ31" s="364" t="str">
        <f t="shared" si="12"/>
        <v/>
      </c>
      <c r="AK31" s="364" t="str">
        <f t="shared" si="12"/>
        <v/>
      </c>
      <c r="AL31" s="364" t="str">
        <f t="shared" si="12"/>
        <v/>
      </c>
      <c r="AM31" s="364" t="str">
        <f t="shared" si="12"/>
        <v/>
      </c>
      <c r="AN31" s="364" t="str">
        <f t="shared" si="12"/>
        <v/>
      </c>
      <c r="AO31" s="364" t="str">
        <f t="shared" si="13"/>
        <v/>
      </c>
      <c r="AP31" s="364" t="str">
        <f t="shared" si="13"/>
        <v/>
      </c>
      <c r="AQ31" s="364" t="str">
        <f t="shared" si="13"/>
        <v/>
      </c>
      <c r="AR31" s="364" t="str">
        <f t="shared" si="13"/>
        <v/>
      </c>
      <c r="AS31" s="402" t="str">
        <f t="shared" si="13"/>
        <v/>
      </c>
      <c r="AT31" s="402" t="str">
        <f t="shared" si="13"/>
        <v/>
      </c>
      <c r="AU31" s="402" t="str">
        <f t="shared" si="13"/>
        <v/>
      </c>
      <c r="AV31" s="364" t="str">
        <f t="shared" si="13"/>
        <v/>
      </c>
      <c r="AW31" s="365" t="str">
        <f t="shared" si="13"/>
        <v/>
      </c>
      <c r="AX31" s="365" t="str">
        <f t="shared" si="13"/>
        <v/>
      </c>
      <c r="AY31" s="366" t="str">
        <f t="shared" si="13"/>
        <v/>
      </c>
      <c r="AZ31" s="366" t="str">
        <f t="shared" si="13"/>
        <v/>
      </c>
      <c r="BA31" s="431" t="str">
        <f t="shared" si="13"/>
        <v/>
      </c>
      <c r="BB31" s="366" t="str">
        <f t="shared" si="13"/>
        <v/>
      </c>
      <c r="BC31" s="436" t="str">
        <f t="shared" si="13"/>
        <v/>
      </c>
      <c r="BD31"/>
      <c r="BE31" s="126">
        <f>⑤CP구성!$AF40</f>
        <v>0</v>
      </c>
      <c r="BF31"/>
      <c r="BG31"/>
      <c r="BH31"/>
      <c r="BI31"/>
      <c r="BJ31"/>
      <c r="BK31"/>
      <c r="BL31"/>
      <c r="BM31"/>
      <c r="BN31"/>
      <c r="BO31"/>
      <c r="BP31"/>
    </row>
    <row r="32" spans="1:68" s="126" customFormat="1" ht="24" customHeight="1">
      <c r="A32" s="359" t="str">
        <f>⑤CP구성!$C41</f>
        <v>횡산소규모</v>
      </c>
      <c r="B32" s="368">
        <f>⑤CP구성!$B41</f>
        <v>26</v>
      </c>
      <c r="C32" s="368" t="str">
        <f>⑤CP구성!$D41</f>
        <v>조경공사</v>
      </c>
      <c r="D32" s="361">
        <f>⑤CP구성!$S41</f>
        <v>46944.1</v>
      </c>
      <c r="E32" s="361">
        <f>⑤CP구성!$V41</f>
        <v>47003.1</v>
      </c>
      <c r="F32" s="362">
        <f>⑤CP구성!$W41</f>
        <v>60</v>
      </c>
      <c r="G32" s="362">
        <f>⑤CP구성!$L41</f>
        <v>407.1</v>
      </c>
      <c r="H32" s="362">
        <f>⑤CP구성!$M41</f>
        <v>466.1</v>
      </c>
      <c r="I32" s="404" t="str">
        <f t="shared" si="14"/>
        <v/>
      </c>
      <c r="J32" s="404" t="str">
        <f t="shared" si="14"/>
        <v/>
      </c>
      <c r="K32" s="404" t="str">
        <f t="shared" si="14"/>
        <v/>
      </c>
      <c r="L32" s="363" t="str">
        <f t="shared" si="14"/>
        <v/>
      </c>
      <c r="M32" s="364" t="str">
        <f t="shared" si="14"/>
        <v/>
      </c>
      <c r="N32" s="364" t="str">
        <f t="shared" si="14"/>
        <v/>
      </c>
      <c r="O32" s="364" t="str">
        <f t="shared" si="14"/>
        <v/>
      </c>
      <c r="P32" s="364" t="str">
        <f t="shared" si="14"/>
        <v/>
      </c>
      <c r="Q32" s="364" t="str">
        <f t="shared" si="14"/>
        <v/>
      </c>
      <c r="R32" s="364" t="str">
        <f t="shared" si="14"/>
        <v/>
      </c>
      <c r="S32" s="364" t="str">
        <f t="shared" si="14"/>
        <v/>
      </c>
      <c r="T32" s="364" t="str">
        <f t="shared" si="14"/>
        <v/>
      </c>
      <c r="U32" s="402" t="str">
        <f t="shared" si="14"/>
        <v/>
      </c>
      <c r="V32" s="402" t="str">
        <f t="shared" si="14"/>
        <v/>
      </c>
      <c r="W32" s="402" t="str">
        <f t="shared" si="14"/>
        <v/>
      </c>
      <c r="X32" s="364" t="str">
        <f t="shared" si="14"/>
        <v/>
      </c>
      <c r="Y32" s="364" t="str">
        <f t="shared" si="12"/>
        <v/>
      </c>
      <c r="Z32" s="364" t="str">
        <f t="shared" si="12"/>
        <v/>
      </c>
      <c r="AA32" s="364" t="str">
        <f t="shared" si="12"/>
        <v/>
      </c>
      <c r="AB32" s="364" t="str">
        <f t="shared" si="12"/>
        <v>■</v>
      </c>
      <c r="AC32" s="364" t="str">
        <f t="shared" si="12"/>
        <v>■</v>
      </c>
      <c r="AD32" s="364" t="str">
        <f t="shared" si="12"/>
        <v>■</v>
      </c>
      <c r="AE32" s="364" t="str">
        <f t="shared" si="12"/>
        <v/>
      </c>
      <c r="AF32" s="364" t="str">
        <f t="shared" si="12"/>
        <v/>
      </c>
      <c r="AG32" s="402" t="str">
        <f t="shared" si="12"/>
        <v/>
      </c>
      <c r="AH32" s="402" t="str">
        <f t="shared" si="12"/>
        <v/>
      </c>
      <c r="AI32" s="402" t="str">
        <f t="shared" si="12"/>
        <v/>
      </c>
      <c r="AJ32" s="364" t="str">
        <f t="shared" si="12"/>
        <v/>
      </c>
      <c r="AK32" s="364" t="str">
        <f t="shared" si="12"/>
        <v/>
      </c>
      <c r="AL32" s="364" t="str">
        <f t="shared" si="12"/>
        <v/>
      </c>
      <c r="AM32" s="364" t="str">
        <f t="shared" si="12"/>
        <v/>
      </c>
      <c r="AN32" s="364" t="str">
        <f t="shared" si="12"/>
        <v/>
      </c>
      <c r="AO32" s="364" t="str">
        <f t="shared" si="13"/>
        <v/>
      </c>
      <c r="AP32" s="364" t="str">
        <f t="shared" si="13"/>
        <v/>
      </c>
      <c r="AQ32" s="364" t="str">
        <f t="shared" si="13"/>
        <v/>
      </c>
      <c r="AR32" s="364" t="str">
        <f t="shared" si="13"/>
        <v/>
      </c>
      <c r="AS32" s="402" t="str">
        <f t="shared" si="13"/>
        <v/>
      </c>
      <c r="AT32" s="402" t="str">
        <f t="shared" si="13"/>
        <v/>
      </c>
      <c r="AU32" s="402" t="str">
        <f t="shared" si="13"/>
        <v/>
      </c>
      <c r="AV32" s="364" t="str">
        <f t="shared" si="13"/>
        <v/>
      </c>
      <c r="AW32" s="365" t="str">
        <f t="shared" si="13"/>
        <v/>
      </c>
      <c r="AX32" s="365" t="str">
        <f t="shared" si="13"/>
        <v/>
      </c>
      <c r="AY32" s="366" t="str">
        <f t="shared" si="13"/>
        <v/>
      </c>
      <c r="AZ32" s="366" t="str">
        <f t="shared" si="13"/>
        <v/>
      </c>
      <c r="BA32" s="431" t="str">
        <f t="shared" si="13"/>
        <v/>
      </c>
      <c r="BB32" s="366" t="str">
        <f t="shared" si="13"/>
        <v/>
      </c>
      <c r="BC32" s="436" t="str">
        <f t="shared" si="13"/>
        <v/>
      </c>
      <c r="BD32"/>
      <c r="BE32" s="126">
        <f>⑤CP구성!$AF41</f>
        <v>0</v>
      </c>
      <c r="BF32"/>
      <c r="BG32"/>
      <c r="BH32"/>
      <c r="BI32"/>
      <c r="BJ32"/>
      <c r="BK32"/>
      <c r="BL32"/>
      <c r="BM32"/>
      <c r="BN32"/>
      <c r="BO32"/>
      <c r="BP32"/>
    </row>
    <row r="33" spans="1:68" s="126" customFormat="1" ht="24" customHeight="1">
      <c r="A33" s="359" t="str">
        <f>⑤CP구성!$C42</f>
        <v>횡산소규모</v>
      </c>
      <c r="B33" s="368">
        <f>⑤CP구성!$B42</f>
        <v>27</v>
      </c>
      <c r="C33" s="368" t="str">
        <f>⑤CP구성!$D42</f>
        <v>시운전(4개월)</v>
      </c>
      <c r="D33" s="361">
        <f>⑤CP구성!$S42</f>
        <v>46975.1</v>
      </c>
      <c r="E33" s="361">
        <f>⑤CP구성!$V42</f>
        <v>47094.1</v>
      </c>
      <c r="F33" s="362">
        <f>⑤CP구성!$W42</f>
        <v>120</v>
      </c>
      <c r="G33" s="362">
        <f>⑤CP구성!$L42</f>
        <v>438.1</v>
      </c>
      <c r="H33" s="362">
        <f>⑤CP구성!$M42</f>
        <v>557.1</v>
      </c>
      <c r="I33" s="404" t="str">
        <f t="shared" si="14"/>
        <v/>
      </c>
      <c r="J33" s="404" t="str">
        <f t="shared" si="14"/>
        <v/>
      </c>
      <c r="K33" s="404" t="str">
        <f t="shared" si="14"/>
        <v/>
      </c>
      <c r="L33" s="363" t="str">
        <f t="shared" si="14"/>
        <v/>
      </c>
      <c r="M33" s="364" t="str">
        <f t="shared" si="14"/>
        <v/>
      </c>
      <c r="N33" s="364" t="str">
        <f t="shared" si="14"/>
        <v/>
      </c>
      <c r="O33" s="364" t="str">
        <f t="shared" si="14"/>
        <v/>
      </c>
      <c r="P33" s="364" t="str">
        <f t="shared" si="14"/>
        <v/>
      </c>
      <c r="Q33" s="364" t="str">
        <f t="shared" si="14"/>
        <v/>
      </c>
      <c r="R33" s="364" t="str">
        <f t="shared" si="14"/>
        <v/>
      </c>
      <c r="S33" s="364" t="str">
        <f t="shared" si="14"/>
        <v/>
      </c>
      <c r="T33" s="364" t="str">
        <f t="shared" si="14"/>
        <v/>
      </c>
      <c r="U33" s="402" t="str">
        <f t="shared" si="14"/>
        <v/>
      </c>
      <c r="V33" s="402" t="str">
        <f t="shared" si="14"/>
        <v/>
      </c>
      <c r="W33" s="402" t="str">
        <f t="shared" si="14"/>
        <v/>
      </c>
      <c r="X33" s="364" t="str">
        <f t="shared" si="14"/>
        <v/>
      </c>
      <c r="Y33" s="364" t="str">
        <f t="shared" si="12"/>
        <v/>
      </c>
      <c r="Z33" s="364" t="str">
        <f t="shared" si="12"/>
        <v/>
      </c>
      <c r="AA33" s="364" t="str">
        <f t="shared" si="12"/>
        <v/>
      </c>
      <c r="AB33" s="364" t="str">
        <f t="shared" si="12"/>
        <v/>
      </c>
      <c r="AC33" s="364" t="str">
        <f t="shared" si="12"/>
        <v>■</v>
      </c>
      <c r="AD33" s="364" t="str">
        <f t="shared" si="12"/>
        <v>■</v>
      </c>
      <c r="AE33" s="364" t="str">
        <f t="shared" si="12"/>
        <v>■</v>
      </c>
      <c r="AF33" s="364" t="str">
        <f t="shared" si="12"/>
        <v>■</v>
      </c>
      <c r="AG33" s="402" t="str">
        <f t="shared" si="12"/>
        <v>■</v>
      </c>
      <c r="AH33" s="402" t="str">
        <f t="shared" si="12"/>
        <v/>
      </c>
      <c r="AI33" s="402" t="str">
        <f t="shared" si="12"/>
        <v/>
      </c>
      <c r="AJ33" s="364" t="str">
        <f t="shared" si="12"/>
        <v/>
      </c>
      <c r="AK33" s="364" t="str">
        <f t="shared" si="12"/>
        <v/>
      </c>
      <c r="AL33" s="364" t="str">
        <f t="shared" si="12"/>
        <v/>
      </c>
      <c r="AM33" s="364" t="str">
        <f t="shared" si="12"/>
        <v/>
      </c>
      <c r="AN33" s="364" t="str">
        <f t="shared" si="12"/>
        <v/>
      </c>
      <c r="AO33" s="364" t="str">
        <f t="shared" si="13"/>
        <v/>
      </c>
      <c r="AP33" s="364" t="str">
        <f t="shared" si="13"/>
        <v/>
      </c>
      <c r="AQ33" s="364" t="str">
        <f t="shared" si="13"/>
        <v/>
      </c>
      <c r="AR33" s="364" t="str">
        <f t="shared" si="13"/>
        <v/>
      </c>
      <c r="AS33" s="402" t="str">
        <f t="shared" si="13"/>
        <v/>
      </c>
      <c r="AT33" s="402" t="str">
        <f t="shared" si="13"/>
        <v/>
      </c>
      <c r="AU33" s="402" t="str">
        <f t="shared" si="13"/>
        <v/>
      </c>
      <c r="AV33" s="364" t="str">
        <f t="shared" si="13"/>
        <v/>
      </c>
      <c r="AW33" s="365" t="str">
        <f t="shared" si="13"/>
        <v/>
      </c>
      <c r="AX33" s="365" t="str">
        <f t="shared" si="13"/>
        <v/>
      </c>
      <c r="AY33" s="366" t="str">
        <f t="shared" si="13"/>
        <v/>
      </c>
      <c r="AZ33" s="366" t="str">
        <f t="shared" si="13"/>
        <v/>
      </c>
      <c r="BA33" s="431" t="str">
        <f t="shared" si="13"/>
        <v/>
      </c>
      <c r="BB33" s="366" t="str">
        <f t="shared" si="13"/>
        <v/>
      </c>
      <c r="BC33" s="436" t="str">
        <f t="shared" si="13"/>
        <v/>
      </c>
      <c r="BD33"/>
      <c r="BE33" s="126" t="str">
        <f>⑤CP구성!$AF42</f>
        <v>Y</v>
      </c>
      <c r="BF33"/>
      <c r="BG33"/>
      <c r="BH33"/>
      <c r="BI33"/>
      <c r="BJ33"/>
      <c r="BK33"/>
      <c r="BL33"/>
      <c r="BM33"/>
      <c r="BN33"/>
      <c r="BO33"/>
      <c r="BP33"/>
    </row>
    <row r="34" spans="1:68" s="126" customFormat="1" ht="24" customHeight="1">
      <c r="A34" s="359"/>
      <c r="B34" s="369"/>
      <c r="C34" s="370"/>
      <c r="D34" s="361"/>
      <c r="E34" s="361"/>
      <c r="F34" s="362"/>
      <c r="G34" s="362"/>
      <c r="H34" s="362"/>
      <c r="I34" s="406" t="str">
        <f t="shared" si="14"/>
        <v/>
      </c>
      <c r="J34" s="406" t="str">
        <f t="shared" si="14"/>
        <v/>
      </c>
      <c r="K34" s="406" t="str">
        <f t="shared" si="14"/>
        <v/>
      </c>
      <c r="L34" s="367" t="str">
        <f t="shared" si="14"/>
        <v/>
      </c>
      <c r="M34" s="364" t="str">
        <f t="shared" si="14"/>
        <v/>
      </c>
      <c r="N34" s="364" t="str">
        <f t="shared" si="14"/>
        <v/>
      </c>
      <c r="O34" s="364" t="str">
        <f t="shared" si="14"/>
        <v/>
      </c>
      <c r="P34" s="364" t="str">
        <f t="shared" si="14"/>
        <v/>
      </c>
      <c r="Q34" s="364" t="str">
        <f t="shared" si="14"/>
        <v/>
      </c>
      <c r="R34" s="364" t="str">
        <f t="shared" si="14"/>
        <v/>
      </c>
      <c r="S34" s="364" t="str">
        <f t="shared" si="14"/>
        <v/>
      </c>
      <c r="T34" s="364" t="str">
        <f t="shared" si="14"/>
        <v/>
      </c>
      <c r="U34" s="402" t="str">
        <f t="shared" si="14"/>
        <v/>
      </c>
      <c r="V34" s="402" t="str">
        <f t="shared" si="14"/>
        <v/>
      </c>
      <c r="W34" s="402" t="str">
        <f t="shared" si="14"/>
        <v/>
      </c>
      <c r="X34" s="364" t="str">
        <f t="shared" si="14"/>
        <v/>
      </c>
      <c r="Y34" s="364" t="str">
        <f t="shared" si="12"/>
        <v/>
      </c>
      <c r="Z34" s="364" t="str">
        <f t="shared" si="12"/>
        <v/>
      </c>
      <c r="AA34" s="364" t="str">
        <f t="shared" si="12"/>
        <v/>
      </c>
      <c r="AB34" s="364" t="str">
        <f t="shared" si="12"/>
        <v/>
      </c>
      <c r="AC34" s="364" t="str">
        <f t="shared" si="12"/>
        <v/>
      </c>
      <c r="AD34" s="364" t="str">
        <f t="shared" si="12"/>
        <v/>
      </c>
      <c r="AE34" s="364" t="str">
        <f t="shared" si="12"/>
        <v/>
      </c>
      <c r="AF34" s="364" t="str">
        <f t="shared" si="12"/>
        <v/>
      </c>
      <c r="AG34" s="402" t="str">
        <f t="shared" si="12"/>
        <v/>
      </c>
      <c r="AH34" s="402" t="str">
        <f t="shared" si="12"/>
        <v/>
      </c>
      <c r="AI34" s="402" t="str">
        <f t="shared" si="12"/>
        <v/>
      </c>
      <c r="AJ34" s="364" t="str">
        <f t="shared" si="12"/>
        <v/>
      </c>
      <c r="AK34" s="364" t="str">
        <f t="shared" si="12"/>
        <v/>
      </c>
      <c r="AL34" s="364" t="str">
        <f t="shared" si="12"/>
        <v/>
      </c>
      <c r="AM34" s="364" t="str">
        <f t="shared" si="12"/>
        <v/>
      </c>
      <c r="AN34" s="364" t="str">
        <f t="shared" si="12"/>
        <v/>
      </c>
      <c r="AO34" s="364" t="str">
        <f t="shared" si="13"/>
        <v/>
      </c>
      <c r="AP34" s="364" t="str">
        <f t="shared" si="13"/>
        <v/>
      </c>
      <c r="AQ34" s="364" t="str">
        <f t="shared" si="13"/>
        <v/>
      </c>
      <c r="AR34" s="364" t="str">
        <f t="shared" si="13"/>
        <v/>
      </c>
      <c r="AS34" s="402" t="str">
        <f t="shared" si="13"/>
        <v/>
      </c>
      <c r="AT34" s="402" t="str">
        <f t="shared" si="13"/>
        <v/>
      </c>
      <c r="AU34" s="402" t="str">
        <f t="shared" si="13"/>
        <v/>
      </c>
      <c r="AV34" s="364" t="str">
        <f t="shared" si="13"/>
        <v/>
      </c>
      <c r="AW34" s="365" t="str">
        <f t="shared" si="13"/>
        <v/>
      </c>
      <c r="AX34" s="365" t="str">
        <f t="shared" si="13"/>
        <v/>
      </c>
      <c r="AY34" s="366" t="str">
        <f t="shared" si="13"/>
        <v/>
      </c>
      <c r="AZ34" s="366" t="str">
        <f t="shared" si="13"/>
        <v/>
      </c>
      <c r="BA34" s="431" t="str">
        <f t="shared" si="13"/>
        <v/>
      </c>
      <c r="BB34" s="366" t="str">
        <f t="shared" si="13"/>
        <v/>
      </c>
      <c r="BC34" s="436" t="str">
        <f t="shared" si="13"/>
        <v/>
      </c>
      <c r="BD34"/>
      <c r="BE34"/>
      <c r="BF34"/>
      <c r="BG34"/>
      <c r="BH34"/>
      <c r="BI34"/>
      <c r="BJ34"/>
      <c r="BK34"/>
      <c r="BL34"/>
      <c r="BM34"/>
      <c r="BN34"/>
      <c r="BO34"/>
      <c r="BP34"/>
    </row>
    <row r="35" spans="1:68" s="126" customFormat="1" ht="24" customHeight="1">
      <c r="A35" s="359" t="s">
        <v>1651</v>
      </c>
      <c r="B35" s="218"/>
      <c r="C35" s="218" t="s">
        <v>1650</v>
      </c>
      <c r="D35" s="371">
        <f>⑤CP구성!$S$58</f>
        <v>46539</v>
      </c>
      <c r="E35" s="371">
        <f>⑤CP구성!$V$58</f>
        <v>47628</v>
      </c>
      <c r="F35" s="372">
        <f>⑤CP구성!$W$58</f>
        <v>1090</v>
      </c>
      <c r="G35" s="372"/>
      <c r="H35" s="372"/>
      <c r="I35" s="404" t="str">
        <f t="shared" si="14"/>
        <v/>
      </c>
      <c r="J35" s="404" t="str">
        <f t="shared" si="14"/>
        <v/>
      </c>
      <c r="K35" s="404" t="str">
        <f t="shared" si="14"/>
        <v/>
      </c>
      <c r="L35" s="363" t="str">
        <f t="shared" si="14"/>
        <v/>
      </c>
      <c r="M35" s="364" t="str">
        <f t="shared" si="14"/>
        <v/>
      </c>
      <c r="N35" s="364" t="str">
        <f t="shared" si="14"/>
        <v/>
      </c>
      <c r="O35" s="364" t="str">
        <f t="shared" si="14"/>
        <v>■</v>
      </c>
      <c r="P35" s="364" t="str">
        <f t="shared" si="14"/>
        <v>■</v>
      </c>
      <c r="Q35" s="364" t="str">
        <f t="shared" si="14"/>
        <v>■</v>
      </c>
      <c r="R35" s="364" t="str">
        <f t="shared" si="14"/>
        <v>■</v>
      </c>
      <c r="S35" s="364" t="str">
        <f t="shared" si="14"/>
        <v>■</v>
      </c>
      <c r="T35" s="364" t="str">
        <f t="shared" si="14"/>
        <v>■</v>
      </c>
      <c r="U35" s="402" t="str">
        <f t="shared" si="14"/>
        <v/>
      </c>
      <c r="V35" s="402" t="str">
        <f t="shared" si="14"/>
        <v/>
      </c>
      <c r="W35" s="402" t="str">
        <f t="shared" si="14"/>
        <v/>
      </c>
      <c r="X35" s="364" t="str">
        <f t="shared" si="14"/>
        <v>■</v>
      </c>
      <c r="Y35" s="364" t="str">
        <f t="shared" si="12"/>
        <v>■</v>
      </c>
      <c r="Z35" s="364" t="str">
        <f t="shared" si="12"/>
        <v>■</v>
      </c>
      <c r="AA35" s="364" t="str">
        <f t="shared" si="12"/>
        <v>■</v>
      </c>
      <c r="AB35" s="364" t="str">
        <f t="shared" si="12"/>
        <v>■</v>
      </c>
      <c r="AC35" s="364" t="str">
        <f t="shared" si="12"/>
        <v>■</v>
      </c>
      <c r="AD35" s="364" t="str">
        <f t="shared" si="12"/>
        <v>■</v>
      </c>
      <c r="AE35" s="364" t="str">
        <f t="shared" si="12"/>
        <v>■</v>
      </c>
      <c r="AF35" s="364" t="str">
        <f t="shared" si="12"/>
        <v>■</v>
      </c>
      <c r="AG35" s="402" t="str">
        <f t="shared" si="12"/>
        <v/>
      </c>
      <c r="AH35" s="402" t="str">
        <f t="shared" si="12"/>
        <v/>
      </c>
      <c r="AI35" s="402" t="str">
        <f t="shared" si="12"/>
        <v/>
      </c>
      <c r="AJ35" s="364" t="str">
        <f t="shared" si="12"/>
        <v>■</v>
      </c>
      <c r="AK35" s="364" t="str">
        <f t="shared" si="12"/>
        <v>■</v>
      </c>
      <c r="AL35" s="364" t="str">
        <f t="shared" si="12"/>
        <v>■</v>
      </c>
      <c r="AM35" s="364" t="str">
        <f t="shared" si="12"/>
        <v>■</v>
      </c>
      <c r="AN35" s="364" t="str">
        <f t="shared" si="12"/>
        <v>■</v>
      </c>
      <c r="AO35" s="364" t="str">
        <f t="shared" si="13"/>
        <v>■</v>
      </c>
      <c r="AP35" s="364" t="str">
        <f t="shared" si="13"/>
        <v>■</v>
      </c>
      <c r="AQ35" s="364" t="str">
        <f t="shared" si="13"/>
        <v>■</v>
      </c>
      <c r="AR35" s="364" t="str">
        <f t="shared" si="13"/>
        <v>■</v>
      </c>
      <c r="AS35" s="402" t="str">
        <f t="shared" si="13"/>
        <v/>
      </c>
      <c r="AT35" s="402" t="str">
        <f t="shared" si="13"/>
        <v/>
      </c>
      <c r="AU35" s="402" t="str">
        <f t="shared" si="13"/>
        <v/>
      </c>
      <c r="AV35" s="364" t="str">
        <f t="shared" si="13"/>
        <v>■</v>
      </c>
      <c r="AW35" s="365" t="str">
        <f t="shared" si="13"/>
        <v>■</v>
      </c>
      <c r="AX35" s="365" t="str">
        <f t="shared" si="13"/>
        <v>■</v>
      </c>
      <c r="AY35" s="366" t="str">
        <f t="shared" si="13"/>
        <v/>
      </c>
      <c r="AZ35" s="366" t="str">
        <f t="shared" si="13"/>
        <v/>
      </c>
      <c r="BA35" s="431" t="str">
        <f t="shared" si="13"/>
        <v/>
      </c>
      <c r="BB35" s="366" t="str">
        <f t="shared" si="13"/>
        <v/>
      </c>
      <c r="BC35" s="436" t="str">
        <f t="shared" si="13"/>
        <v/>
      </c>
      <c r="BD35"/>
      <c r="BE35"/>
      <c r="BF35"/>
      <c r="BG35"/>
      <c r="BH35"/>
      <c r="BI35"/>
      <c r="BJ35"/>
      <c r="BK35"/>
      <c r="BL35"/>
      <c r="BM35"/>
      <c r="BN35"/>
      <c r="BO35"/>
      <c r="BP35"/>
    </row>
    <row r="36" spans="1:68" s="126" customFormat="1" ht="24" customHeight="1">
      <c r="A36" s="359" t="str">
        <f>⑤CP구성!$C45</f>
        <v>신서 증설</v>
      </c>
      <c r="B36" s="368">
        <f>⑤CP구성!$B45</f>
        <v>28</v>
      </c>
      <c r="C36" s="368" t="str">
        <f>⑤CP구성!$D45</f>
        <v>토공</v>
      </c>
      <c r="D36" s="361">
        <f>⑤CP구성!$S45</f>
        <v>46539</v>
      </c>
      <c r="E36" s="361">
        <f>⑤CP구성!$V45</f>
        <v>47284</v>
      </c>
      <c r="F36" s="362">
        <f>⑤CP구성!$W45</f>
        <v>746</v>
      </c>
      <c r="G36" s="362">
        <f>⑤CP구성!$L45</f>
        <v>1</v>
      </c>
      <c r="H36" s="362">
        <f>⑤CP구성!$M45</f>
        <v>565</v>
      </c>
      <c r="I36" s="404" t="str">
        <f t="shared" si="14"/>
        <v/>
      </c>
      <c r="J36" s="404" t="str">
        <f t="shared" si="14"/>
        <v/>
      </c>
      <c r="K36" s="404" t="str">
        <f t="shared" si="14"/>
        <v/>
      </c>
      <c r="L36" s="363" t="str">
        <f t="shared" si="14"/>
        <v/>
      </c>
      <c r="M36" s="364" t="str">
        <f t="shared" si="14"/>
        <v/>
      </c>
      <c r="N36" s="364" t="str">
        <f t="shared" si="14"/>
        <v/>
      </c>
      <c r="O36" s="364" t="str">
        <f t="shared" si="14"/>
        <v>■</v>
      </c>
      <c r="P36" s="364" t="str">
        <f t="shared" si="14"/>
        <v>■</v>
      </c>
      <c r="Q36" s="364" t="str">
        <f t="shared" si="14"/>
        <v>■</v>
      </c>
      <c r="R36" s="364" t="str">
        <f t="shared" si="14"/>
        <v>■</v>
      </c>
      <c r="S36" s="364" t="str">
        <f t="shared" si="14"/>
        <v>■</v>
      </c>
      <c r="T36" s="364" t="str">
        <f t="shared" si="14"/>
        <v>■</v>
      </c>
      <c r="U36" s="402" t="str">
        <f t="shared" si="14"/>
        <v/>
      </c>
      <c r="V36" s="402" t="str">
        <f t="shared" si="14"/>
        <v/>
      </c>
      <c r="W36" s="402" t="str">
        <f t="shared" si="14"/>
        <v/>
      </c>
      <c r="X36" s="364" t="str">
        <f t="shared" si="14"/>
        <v>■</v>
      </c>
      <c r="Y36" s="364" t="str">
        <f t="shared" si="12"/>
        <v>■</v>
      </c>
      <c r="Z36" s="364" t="str">
        <f t="shared" si="12"/>
        <v>■</v>
      </c>
      <c r="AA36" s="364" t="str">
        <f t="shared" si="12"/>
        <v>■</v>
      </c>
      <c r="AB36" s="364" t="str">
        <f t="shared" si="12"/>
        <v>■</v>
      </c>
      <c r="AC36" s="364" t="str">
        <f t="shared" si="12"/>
        <v>■</v>
      </c>
      <c r="AD36" s="364" t="str">
        <f t="shared" si="12"/>
        <v>■</v>
      </c>
      <c r="AE36" s="364" t="str">
        <f t="shared" si="12"/>
        <v>■</v>
      </c>
      <c r="AF36" s="364" t="str">
        <f t="shared" si="12"/>
        <v>■</v>
      </c>
      <c r="AG36" s="402" t="str">
        <f t="shared" si="12"/>
        <v/>
      </c>
      <c r="AH36" s="402" t="str">
        <f t="shared" si="12"/>
        <v/>
      </c>
      <c r="AI36" s="402" t="str">
        <f t="shared" si="12"/>
        <v/>
      </c>
      <c r="AJ36" s="364" t="str">
        <f t="shared" si="12"/>
        <v>■</v>
      </c>
      <c r="AK36" s="364" t="str">
        <f t="shared" si="12"/>
        <v>■</v>
      </c>
      <c r="AL36" s="364" t="str">
        <f t="shared" si="12"/>
        <v>■</v>
      </c>
      <c r="AM36" s="364" t="str">
        <f t="shared" si="12"/>
        <v>■</v>
      </c>
      <c r="AN36" s="364" t="str">
        <f t="shared" si="12"/>
        <v/>
      </c>
      <c r="AO36" s="364" t="str">
        <f t="shared" si="13"/>
        <v/>
      </c>
      <c r="AP36" s="364" t="str">
        <f t="shared" si="13"/>
        <v/>
      </c>
      <c r="AQ36" s="364" t="str">
        <f t="shared" si="13"/>
        <v/>
      </c>
      <c r="AR36" s="364" t="str">
        <f t="shared" si="13"/>
        <v/>
      </c>
      <c r="AS36" s="402" t="str">
        <f t="shared" si="13"/>
        <v/>
      </c>
      <c r="AT36" s="402" t="str">
        <f t="shared" si="13"/>
        <v/>
      </c>
      <c r="AU36" s="402" t="str">
        <f t="shared" si="13"/>
        <v/>
      </c>
      <c r="AV36" s="364" t="str">
        <f t="shared" si="13"/>
        <v/>
      </c>
      <c r="AW36" s="365" t="str">
        <f t="shared" si="13"/>
        <v/>
      </c>
      <c r="AX36" s="365" t="str">
        <f t="shared" si="13"/>
        <v/>
      </c>
      <c r="AY36" s="366" t="str">
        <f t="shared" si="13"/>
        <v/>
      </c>
      <c r="AZ36" s="366" t="str">
        <f t="shared" si="13"/>
        <v/>
      </c>
      <c r="BA36" s="431" t="str">
        <f t="shared" si="13"/>
        <v/>
      </c>
      <c r="BB36" s="366" t="str">
        <f t="shared" si="13"/>
        <v/>
      </c>
      <c r="BC36" s="436" t="str">
        <f t="shared" si="13"/>
        <v/>
      </c>
      <c r="BD36"/>
      <c r="BE36" s="126">
        <f>⑤CP구성!$AF45</f>
        <v>0</v>
      </c>
      <c r="BF36"/>
      <c r="BG36"/>
      <c r="BH36"/>
      <c r="BI36"/>
      <c r="BJ36"/>
      <c r="BK36"/>
      <c r="BL36"/>
      <c r="BM36"/>
      <c r="BN36"/>
      <c r="BO36"/>
      <c r="BP36"/>
    </row>
    <row r="37" spans="1:68" s="126" customFormat="1" ht="24" customHeight="1">
      <c r="A37" s="359" t="str">
        <f>⑤CP구성!$C46</f>
        <v>신서 증설</v>
      </c>
      <c r="B37" s="369">
        <f>⑤CP구성!$B46</f>
        <v>29</v>
      </c>
      <c r="C37" s="370" t="str">
        <f>⑤CP구성!$D46</f>
        <v>가시설공</v>
      </c>
      <c r="D37" s="361">
        <f>⑤CP구성!$S46</f>
        <v>46582</v>
      </c>
      <c r="E37" s="361">
        <f>⑤CP구성!$V46</f>
        <v>47284</v>
      </c>
      <c r="F37" s="362">
        <f>⑤CP구성!$W46</f>
        <v>703</v>
      </c>
      <c r="G37" s="362">
        <f>⑤CP구성!$L46</f>
        <v>44</v>
      </c>
      <c r="H37" s="362">
        <f>⑤CP구성!$M46</f>
        <v>565</v>
      </c>
      <c r="I37" s="406" t="str">
        <f t="shared" si="14"/>
        <v/>
      </c>
      <c r="J37" s="406" t="str">
        <f t="shared" si="14"/>
        <v/>
      </c>
      <c r="K37" s="406" t="str">
        <f t="shared" si="14"/>
        <v/>
      </c>
      <c r="L37" s="368" t="str">
        <f t="shared" si="14"/>
        <v/>
      </c>
      <c r="M37" s="363" t="str">
        <f t="shared" si="14"/>
        <v/>
      </c>
      <c r="N37" s="364" t="str">
        <f t="shared" si="14"/>
        <v/>
      </c>
      <c r="O37" s="364" t="str">
        <f t="shared" si="14"/>
        <v/>
      </c>
      <c r="P37" s="364" t="str">
        <f t="shared" si="14"/>
        <v>■</v>
      </c>
      <c r="Q37" s="364" t="str">
        <f t="shared" si="14"/>
        <v>■</v>
      </c>
      <c r="R37" s="364" t="str">
        <f t="shared" si="14"/>
        <v>■</v>
      </c>
      <c r="S37" s="364" t="str">
        <f t="shared" si="14"/>
        <v>■</v>
      </c>
      <c r="T37" s="364" t="str">
        <f t="shared" si="14"/>
        <v>■</v>
      </c>
      <c r="U37" s="402" t="str">
        <f t="shared" si="14"/>
        <v/>
      </c>
      <c r="V37" s="402" t="str">
        <f t="shared" si="14"/>
        <v/>
      </c>
      <c r="W37" s="402" t="str">
        <f t="shared" si="14"/>
        <v/>
      </c>
      <c r="X37" s="364" t="str">
        <f t="shared" si="14"/>
        <v>■</v>
      </c>
      <c r="Y37" s="364" t="str">
        <f t="shared" ref="Y37:AN52" si="15">IF($D37="","",IF(AND($D37&lt;=EOMONTH(Y$5,0),$E37&gt;=Y$5),IF(AND(Y$2="중지",$BE37&lt;&gt;"Y"),"","■"),""))</f>
        <v>■</v>
      </c>
      <c r="Z37" s="364" t="str">
        <f t="shared" si="15"/>
        <v>■</v>
      </c>
      <c r="AA37" s="364" t="str">
        <f t="shared" si="15"/>
        <v>■</v>
      </c>
      <c r="AB37" s="364" t="str">
        <f t="shared" si="15"/>
        <v>■</v>
      </c>
      <c r="AC37" s="364" t="str">
        <f t="shared" si="15"/>
        <v>■</v>
      </c>
      <c r="AD37" s="364" t="str">
        <f t="shared" si="15"/>
        <v>■</v>
      </c>
      <c r="AE37" s="364" t="str">
        <f t="shared" si="15"/>
        <v>■</v>
      </c>
      <c r="AF37" s="364" t="str">
        <f t="shared" si="15"/>
        <v>■</v>
      </c>
      <c r="AG37" s="402" t="str">
        <f t="shared" si="15"/>
        <v/>
      </c>
      <c r="AH37" s="402" t="str">
        <f t="shared" si="15"/>
        <v/>
      </c>
      <c r="AI37" s="402" t="str">
        <f t="shared" si="15"/>
        <v/>
      </c>
      <c r="AJ37" s="364" t="str">
        <f t="shared" si="15"/>
        <v>■</v>
      </c>
      <c r="AK37" s="364" t="str">
        <f t="shared" si="15"/>
        <v>■</v>
      </c>
      <c r="AL37" s="364" t="str">
        <f t="shared" si="15"/>
        <v>■</v>
      </c>
      <c r="AM37" s="364" t="str">
        <f t="shared" si="15"/>
        <v>■</v>
      </c>
      <c r="AN37" s="364" t="str">
        <f t="shared" si="15"/>
        <v/>
      </c>
      <c r="AO37" s="364" t="str">
        <f t="shared" ref="AO37:BC52" si="16">IF($D37="","",IF(AND($D37&lt;=EOMONTH(AO$5,0),$E37&gt;=AO$5),IF(AND(AO$2="중지",$BE37&lt;&gt;"Y"),"","■"),""))</f>
        <v/>
      </c>
      <c r="AP37" s="364" t="str">
        <f t="shared" si="16"/>
        <v/>
      </c>
      <c r="AQ37" s="364" t="str">
        <f t="shared" si="16"/>
        <v/>
      </c>
      <c r="AR37" s="364" t="str">
        <f t="shared" si="16"/>
        <v/>
      </c>
      <c r="AS37" s="402" t="str">
        <f t="shared" si="16"/>
        <v/>
      </c>
      <c r="AT37" s="402" t="str">
        <f t="shared" si="16"/>
        <v/>
      </c>
      <c r="AU37" s="402" t="str">
        <f t="shared" si="16"/>
        <v/>
      </c>
      <c r="AV37" s="364" t="str">
        <f t="shared" si="16"/>
        <v/>
      </c>
      <c r="AW37" s="365" t="str">
        <f t="shared" si="16"/>
        <v/>
      </c>
      <c r="AX37" s="365" t="str">
        <f t="shared" si="16"/>
        <v/>
      </c>
      <c r="AY37" s="366" t="str">
        <f t="shared" si="16"/>
        <v/>
      </c>
      <c r="AZ37" s="366" t="str">
        <f t="shared" si="16"/>
        <v/>
      </c>
      <c r="BA37" s="431" t="str">
        <f t="shared" si="16"/>
        <v/>
      </c>
      <c r="BB37" s="366" t="str">
        <f t="shared" si="16"/>
        <v/>
      </c>
      <c r="BC37" s="436" t="str">
        <f t="shared" si="16"/>
        <v/>
      </c>
      <c r="BD37"/>
      <c r="BE37" s="126">
        <f>⑤CP구성!$AF46</f>
        <v>0</v>
      </c>
      <c r="BF37"/>
      <c r="BG37"/>
      <c r="BH37"/>
      <c r="BI37"/>
      <c r="BJ37"/>
      <c r="BK37"/>
      <c r="BL37"/>
      <c r="BM37"/>
      <c r="BN37"/>
      <c r="BO37"/>
      <c r="BP37"/>
    </row>
    <row r="38" spans="1:68" s="126" customFormat="1" ht="24" customHeight="1">
      <c r="A38" s="359" t="str">
        <f>⑤CP구성!$C47</f>
        <v>신서 증설</v>
      </c>
      <c r="B38" s="368">
        <f>⑤CP구성!$B47</f>
        <v>30</v>
      </c>
      <c r="C38" s="368" t="str">
        <f>⑤CP구성!$D47</f>
        <v>기존시설 철거공</v>
      </c>
      <c r="D38" s="361">
        <f>⑤CP구성!$S47</f>
        <v>46822</v>
      </c>
      <c r="E38" s="361">
        <f>⑤CP구성!$V47</f>
        <v>46842.400000000001</v>
      </c>
      <c r="F38" s="362">
        <f>⑤CP구성!$W47</f>
        <v>21.400000000001455</v>
      </c>
      <c r="G38" s="362">
        <f>⑤CP구성!$L47</f>
        <v>193</v>
      </c>
      <c r="H38" s="362">
        <f>⑤CP구성!$M47</f>
        <v>213.4</v>
      </c>
      <c r="I38" s="404" t="str">
        <f t="shared" si="14"/>
        <v/>
      </c>
      <c r="J38" s="404" t="str">
        <f t="shared" si="14"/>
        <v/>
      </c>
      <c r="K38" s="404" t="str">
        <f t="shared" si="14"/>
        <v/>
      </c>
      <c r="L38" s="363" t="str">
        <f t="shared" si="14"/>
        <v/>
      </c>
      <c r="M38" s="364" t="str">
        <f t="shared" si="14"/>
        <v/>
      </c>
      <c r="N38" s="364" t="str">
        <f t="shared" si="14"/>
        <v/>
      </c>
      <c r="O38" s="364" t="str">
        <f t="shared" si="14"/>
        <v/>
      </c>
      <c r="P38" s="364" t="str">
        <f t="shared" si="14"/>
        <v/>
      </c>
      <c r="Q38" s="364" t="str">
        <f t="shared" si="14"/>
        <v/>
      </c>
      <c r="R38" s="364" t="str">
        <f t="shared" si="14"/>
        <v/>
      </c>
      <c r="S38" s="364" t="str">
        <f t="shared" si="14"/>
        <v/>
      </c>
      <c r="T38" s="364" t="str">
        <f t="shared" si="14"/>
        <v/>
      </c>
      <c r="U38" s="402" t="str">
        <f t="shared" si="14"/>
        <v/>
      </c>
      <c r="V38" s="402" t="str">
        <f t="shared" si="14"/>
        <v/>
      </c>
      <c r="W38" s="402" t="str">
        <f t="shared" si="14"/>
        <v/>
      </c>
      <c r="X38" s="364" t="str">
        <f t="shared" ref="X38:AM53" si="17">IF($D38="","",IF(AND($D38&lt;=EOMONTH(X$5,0),$E38&gt;=X$5),IF(AND(X$2="중지",$BE38&lt;&gt;"Y"),"","■"),""))</f>
        <v>■</v>
      </c>
      <c r="Y38" s="364" t="str">
        <f t="shared" si="15"/>
        <v/>
      </c>
      <c r="Z38" s="364" t="str">
        <f t="shared" si="15"/>
        <v/>
      </c>
      <c r="AA38" s="364" t="str">
        <f t="shared" si="15"/>
        <v/>
      </c>
      <c r="AB38" s="364" t="str">
        <f t="shared" si="15"/>
        <v/>
      </c>
      <c r="AC38" s="364" t="str">
        <f t="shared" si="15"/>
        <v/>
      </c>
      <c r="AD38" s="364" t="str">
        <f t="shared" si="15"/>
        <v/>
      </c>
      <c r="AE38" s="364" t="str">
        <f t="shared" si="15"/>
        <v/>
      </c>
      <c r="AF38" s="364" t="str">
        <f t="shared" si="15"/>
        <v/>
      </c>
      <c r="AG38" s="402" t="str">
        <f t="shared" si="15"/>
        <v/>
      </c>
      <c r="AH38" s="402" t="str">
        <f t="shared" si="15"/>
        <v/>
      </c>
      <c r="AI38" s="402" t="str">
        <f t="shared" si="15"/>
        <v/>
      </c>
      <c r="AJ38" s="364" t="str">
        <f t="shared" si="15"/>
        <v/>
      </c>
      <c r="AK38" s="364" t="str">
        <f t="shared" si="15"/>
        <v/>
      </c>
      <c r="AL38" s="364" t="str">
        <f t="shared" si="15"/>
        <v/>
      </c>
      <c r="AM38" s="364" t="str">
        <f t="shared" si="15"/>
        <v/>
      </c>
      <c r="AN38" s="364" t="str">
        <f t="shared" si="15"/>
        <v/>
      </c>
      <c r="AO38" s="364" t="str">
        <f t="shared" si="16"/>
        <v/>
      </c>
      <c r="AP38" s="364" t="str">
        <f t="shared" si="16"/>
        <v/>
      </c>
      <c r="AQ38" s="364" t="str">
        <f t="shared" si="16"/>
        <v/>
      </c>
      <c r="AR38" s="364" t="str">
        <f t="shared" si="16"/>
        <v/>
      </c>
      <c r="AS38" s="402" t="str">
        <f t="shared" si="16"/>
        <v/>
      </c>
      <c r="AT38" s="402" t="str">
        <f t="shared" si="16"/>
        <v/>
      </c>
      <c r="AU38" s="402" t="str">
        <f t="shared" si="16"/>
        <v/>
      </c>
      <c r="AV38" s="364" t="str">
        <f t="shared" si="16"/>
        <v/>
      </c>
      <c r="AW38" s="365" t="str">
        <f t="shared" si="16"/>
        <v/>
      </c>
      <c r="AX38" s="365" t="str">
        <f t="shared" si="16"/>
        <v/>
      </c>
      <c r="AY38" s="366" t="str">
        <f t="shared" si="16"/>
        <v/>
      </c>
      <c r="AZ38" s="366" t="str">
        <f t="shared" si="16"/>
        <v/>
      </c>
      <c r="BA38" s="431" t="str">
        <f t="shared" si="16"/>
        <v/>
      </c>
      <c r="BB38" s="366" t="str">
        <f t="shared" si="16"/>
        <v/>
      </c>
      <c r="BC38" s="436" t="str">
        <f t="shared" si="16"/>
        <v/>
      </c>
      <c r="BD38"/>
      <c r="BE38" s="126">
        <f>⑤CP구성!$AF47</f>
        <v>0</v>
      </c>
      <c r="BF38"/>
      <c r="BG38"/>
      <c r="BH38"/>
      <c r="BI38"/>
      <c r="BJ38"/>
      <c r="BK38"/>
      <c r="BL38"/>
      <c r="BM38"/>
      <c r="BN38"/>
      <c r="BO38"/>
      <c r="BP38"/>
    </row>
    <row r="39" spans="1:68" s="126" customFormat="1" ht="24" customHeight="1">
      <c r="A39" s="359" t="str">
        <f>⑤CP구성!$C48</f>
        <v>신서 증설</v>
      </c>
      <c r="B39" s="368">
        <f>⑤CP구성!$B48</f>
        <v>31</v>
      </c>
      <c r="C39" s="368" t="str">
        <f>⑤CP구성!$D48</f>
        <v>구조물공</v>
      </c>
      <c r="D39" s="361">
        <f>⑤CP구성!$S48</f>
        <v>46841</v>
      </c>
      <c r="E39" s="361">
        <f>⑤CP구성!$V48</f>
        <v>47284</v>
      </c>
      <c r="F39" s="362">
        <f>⑤CP구성!$W48</f>
        <v>444</v>
      </c>
      <c r="G39" s="362">
        <f>⑤CP구성!$L48</f>
        <v>212</v>
      </c>
      <c r="H39" s="362">
        <f>⑤CP구성!$M48</f>
        <v>565</v>
      </c>
      <c r="I39" s="404" t="str">
        <f t="shared" ref="I39:X54" si="18">IF($D39="","",IF(AND($D39&lt;=EOMONTH(I$5,0),$E39&gt;=I$5),IF(AND(I$2="중지",$BE39&lt;&gt;"Y"),"","■"),""))</f>
        <v/>
      </c>
      <c r="J39" s="404" t="str">
        <f t="shared" si="18"/>
        <v/>
      </c>
      <c r="K39" s="404" t="str">
        <f t="shared" si="18"/>
        <v/>
      </c>
      <c r="L39" s="363" t="str">
        <f t="shared" si="18"/>
        <v/>
      </c>
      <c r="M39" s="364" t="str">
        <f t="shared" si="18"/>
        <v/>
      </c>
      <c r="N39" s="364" t="str">
        <f t="shared" si="18"/>
        <v/>
      </c>
      <c r="O39" s="364" t="str">
        <f t="shared" si="18"/>
        <v/>
      </c>
      <c r="P39" s="364" t="str">
        <f t="shared" si="18"/>
        <v/>
      </c>
      <c r="Q39" s="364" t="str">
        <f t="shared" si="18"/>
        <v/>
      </c>
      <c r="R39" s="364" t="str">
        <f t="shared" si="18"/>
        <v/>
      </c>
      <c r="S39" s="364" t="str">
        <f t="shared" si="18"/>
        <v/>
      </c>
      <c r="T39" s="364" t="str">
        <f t="shared" si="18"/>
        <v/>
      </c>
      <c r="U39" s="402" t="str">
        <f t="shared" si="18"/>
        <v/>
      </c>
      <c r="V39" s="402" t="str">
        <f t="shared" si="18"/>
        <v/>
      </c>
      <c r="W39" s="402" t="str">
        <f t="shared" si="18"/>
        <v/>
      </c>
      <c r="X39" s="364" t="str">
        <f t="shared" si="17"/>
        <v>■</v>
      </c>
      <c r="Y39" s="364" t="str">
        <f t="shared" si="15"/>
        <v>■</v>
      </c>
      <c r="Z39" s="364" t="str">
        <f t="shared" si="15"/>
        <v>■</v>
      </c>
      <c r="AA39" s="364" t="str">
        <f t="shared" si="15"/>
        <v>■</v>
      </c>
      <c r="AB39" s="364" t="str">
        <f t="shared" si="15"/>
        <v>■</v>
      </c>
      <c r="AC39" s="364" t="str">
        <f t="shared" si="15"/>
        <v>■</v>
      </c>
      <c r="AD39" s="364" t="str">
        <f t="shared" si="15"/>
        <v>■</v>
      </c>
      <c r="AE39" s="364" t="str">
        <f t="shared" si="15"/>
        <v>■</v>
      </c>
      <c r="AF39" s="364" t="str">
        <f t="shared" si="15"/>
        <v>■</v>
      </c>
      <c r="AG39" s="402" t="str">
        <f t="shared" si="15"/>
        <v/>
      </c>
      <c r="AH39" s="402" t="str">
        <f t="shared" si="15"/>
        <v/>
      </c>
      <c r="AI39" s="402" t="str">
        <f t="shared" si="15"/>
        <v/>
      </c>
      <c r="AJ39" s="364" t="str">
        <f t="shared" si="15"/>
        <v>■</v>
      </c>
      <c r="AK39" s="364" t="str">
        <f t="shared" si="15"/>
        <v>■</v>
      </c>
      <c r="AL39" s="364" t="str">
        <f t="shared" si="15"/>
        <v>■</v>
      </c>
      <c r="AM39" s="364" t="str">
        <f t="shared" si="15"/>
        <v>■</v>
      </c>
      <c r="AN39" s="364" t="str">
        <f t="shared" si="15"/>
        <v/>
      </c>
      <c r="AO39" s="364" t="str">
        <f t="shared" si="16"/>
        <v/>
      </c>
      <c r="AP39" s="364" t="str">
        <f t="shared" si="16"/>
        <v/>
      </c>
      <c r="AQ39" s="364" t="str">
        <f t="shared" si="16"/>
        <v/>
      </c>
      <c r="AR39" s="364" t="str">
        <f t="shared" si="16"/>
        <v/>
      </c>
      <c r="AS39" s="402" t="str">
        <f t="shared" si="16"/>
        <v/>
      </c>
      <c r="AT39" s="402" t="str">
        <f t="shared" si="16"/>
        <v/>
      </c>
      <c r="AU39" s="402" t="str">
        <f t="shared" si="16"/>
        <v/>
      </c>
      <c r="AV39" s="364" t="str">
        <f t="shared" si="16"/>
        <v/>
      </c>
      <c r="AW39" s="365" t="str">
        <f t="shared" si="16"/>
        <v/>
      </c>
      <c r="AX39" s="365" t="str">
        <f t="shared" si="16"/>
        <v/>
      </c>
      <c r="AY39" s="366" t="str">
        <f t="shared" si="16"/>
        <v/>
      </c>
      <c r="AZ39" s="366" t="str">
        <f t="shared" si="16"/>
        <v/>
      </c>
      <c r="BA39" s="431" t="str">
        <f t="shared" si="16"/>
        <v/>
      </c>
      <c r="BB39" s="366" t="str">
        <f t="shared" si="16"/>
        <v/>
      </c>
      <c r="BC39" s="436" t="str">
        <f t="shared" si="16"/>
        <v/>
      </c>
      <c r="BD39"/>
      <c r="BE39" s="126">
        <f>⑤CP구성!$AF48</f>
        <v>0</v>
      </c>
      <c r="BF39"/>
      <c r="BG39"/>
      <c r="BH39"/>
      <c r="BI39"/>
      <c r="BJ39"/>
      <c r="BK39"/>
      <c r="BL39"/>
      <c r="BM39"/>
      <c r="BN39"/>
      <c r="BO39"/>
      <c r="BP39"/>
    </row>
    <row r="40" spans="1:68" s="126" customFormat="1" ht="24" customHeight="1">
      <c r="A40" s="359" t="str">
        <f>⑤CP구성!$C49</f>
        <v>신서 증설</v>
      </c>
      <c r="B40" s="370">
        <f>⑤CP구성!$B49</f>
        <v>32</v>
      </c>
      <c r="C40" s="370" t="str">
        <f>⑤CP구성!$D49</f>
        <v>구내배관공</v>
      </c>
      <c r="D40" s="361">
        <f>⑤CP구성!$S49</f>
        <v>47250</v>
      </c>
      <c r="E40" s="361">
        <f>⑤CP구성!$V49</f>
        <v>47290.9</v>
      </c>
      <c r="F40" s="362">
        <f>⑤CP구성!$W49</f>
        <v>41.900000000001455</v>
      </c>
      <c r="G40" s="362">
        <f>⑤CP구성!$L49</f>
        <v>531</v>
      </c>
      <c r="H40" s="362">
        <f>⑤CP구성!$M49</f>
        <v>571.9</v>
      </c>
      <c r="I40" s="406" t="str">
        <f t="shared" si="18"/>
        <v/>
      </c>
      <c r="J40" s="404" t="str">
        <f t="shared" si="18"/>
        <v/>
      </c>
      <c r="K40" s="404" t="str">
        <f t="shared" si="18"/>
        <v/>
      </c>
      <c r="L40" s="368" t="str">
        <f t="shared" si="18"/>
        <v/>
      </c>
      <c r="M40" s="367" t="str">
        <f t="shared" si="18"/>
        <v/>
      </c>
      <c r="N40" s="363" t="str">
        <f t="shared" si="18"/>
        <v/>
      </c>
      <c r="O40" s="363" t="str">
        <f t="shared" si="18"/>
        <v/>
      </c>
      <c r="P40" s="364" t="str">
        <f t="shared" si="18"/>
        <v/>
      </c>
      <c r="Q40" s="364" t="str">
        <f t="shared" si="18"/>
        <v/>
      </c>
      <c r="R40" s="364" t="str">
        <f t="shared" si="18"/>
        <v/>
      </c>
      <c r="S40" s="364" t="str">
        <f t="shared" si="18"/>
        <v/>
      </c>
      <c r="T40" s="364" t="str">
        <f t="shared" si="18"/>
        <v/>
      </c>
      <c r="U40" s="402" t="str">
        <f t="shared" si="18"/>
        <v/>
      </c>
      <c r="V40" s="402" t="str">
        <f t="shared" si="18"/>
        <v/>
      </c>
      <c r="W40" s="402" t="str">
        <f t="shared" si="18"/>
        <v/>
      </c>
      <c r="X40" s="364" t="str">
        <f t="shared" si="17"/>
        <v/>
      </c>
      <c r="Y40" s="364" t="str">
        <f t="shared" si="15"/>
        <v/>
      </c>
      <c r="Z40" s="364" t="str">
        <f t="shared" si="15"/>
        <v/>
      </c>
      <c r="AA40" s="364" t="str">
        <f t="shared" si="15"/>
        <v/>
      </c>
      <c r="AB40" s="364" t="str">
        <f t="shared" si="15"/>
        <v/>
      </c>
      <c r="AC40" s="364" t="str">
        <f t="shared" si="15"/>
        <v/>
      </c>
      <c r="AD40" s="364" t="str">
        <f t="shared" si="15"/>
        <v/>
      </c>
      <c r="AE40" s="364" t="str">
        <f t="shared" si="15"/>
        <v/>
      </c>
      <c r="AF40" s="364" t="str">
        <f t="shared" si="15"/>
        <v/>
      </c>
      <c r="AG40" s="402" t="str">
        <f t="shared" si="15"/>
        <v/>
      </c>
      <c r="AH40" s="402" t="str">
        <f t="shared" si="15"/>
        <v/>
      </c>
      <c r="AI40" s="402" t="str">
        <f t="shared" si="15"/>
        <v/>
      </c>
      <c r="AJ40" s="367" t="str">
        <f t="shared" si="15"/>
        <v/>
      </c>
      <c r="AK40" s="364" t="str">
        <f t="shared" si="15"/>
        <v/>
      </c>
      <c r="AL40" s="364" t="str">
        <f t="shared" si="15"/>
        <v>■</v>
      </c>
      <c r="AM40" s="364" t="str">
        <f t="shared" si="15"/>
        <v>■</v>
      </c>
      <c r="AN40" s="364" t="str">
        <f t="shared" si="15"/>
        <v/>
      </c>
      <c r="AO40" s="364" t="str">
        <f t="shared" si="16"/>
        <v/>
      </c>
      <c r="AP40" s="364" t="str">
        <f t="shared" si="16"/>
        <v/>
      </c>
      <c r="AQ40" s="364" t="str">
        <f t="shared" si="16"/>
        <v/>
      </c>
      <c r="AR40" s="364" t="str">
        <f t="shared" si="16"/>
        <v/>
      </c>
      <c r="AS40" s="402" t="str">
        <f t="shared" si="16"/>
        <v/>
      </c>
      <c r="AT40" s="402" t="str">
        <f t="shared" si="16"/>
        <v/>
      </c>
      <c r="AU40" s="402" t="str">
        <f t="shared" si="16"/>
        <v/>
      </c>
      <c r="AV40" s="364" t="str">
        <f t="shared" si="16"/>
        <v/>
      </c>
      <c r="AW40" s="365" t="str">
        <f t="shared" si="16"/>
        <v/>
      </c>
      <c r="AX40" s="365" t="str">
        <f t="shared" si="16"/>
        <v/>
      </c>
      <c r="AY40" s="366" t="str">
        <f t="shared" si="16"/>
        <v/>
      </c>
      <c r="AZ40" s="366" t="str">
        <f t="shared" si="16"/>
        <v/>
      </c>
      <c r="BA40" s="431" t="str">
        <f t="shared" si="16"/>
        <v/>
      </c>
      <c r="BB40" s="366" t="str">
        <f t="shared" si="16"/>
        <v/>
      </c>
      <c r="BC40" s="436" t="str">
        <f t="shared" si="16"/>
        <v/>
      </c>
      <c r="BD40"/>
      <c r="BE40" s="126">
        <f>⑤CP구성!$AF49</f>
        <v>0</v>
      </c>
      <c r="BF40"/>
      <c r="BG40"/>
      <c r="BH40"/>
      <c r="BI40"/>
      <c r="BJ40"/>
      <c r="BK40"/>
      <c r="BL40"/>
      <c r="BM40"/>
      <c r="BN40"/>
      <c r="BO40"/>
      <c r="BP40"/>
    </row>
    <row r="41" spans="1:68" s="126" customFormat="1" ht="24" customHeight="1">
      <c r="A41" s="359" t="str">
        <f>⑤CP구성!$C50</f>
        <v>신서 증설</v>
      </c>
      <c r="B41" s="368">
        <f>⑤CP구성!$B50</f>
        <v>33</v>
      </c>
      <c r="C41" s="368" t="str">
        <f>⑤CP구성!$D50</f>
        <v>우배수공</v>
      </c>
      <c r="D41" s="361">
        <f>⑤CP구성!$S50</f>
        <v>47286</v>
      </c>
      <c r="E41" s="361">
        <f>⑤CP구성!$V50</f>
        <v>47330.3</v>
      </c>
      <c r="F41" s="362">
        <f>⑤CP구성!$W50</f>
        <v>45.30000000000291</v>
      </c>
      <c r="G41" s="362">
        <f>⑤CP구성!$L50</f>
        <v>567</v>
      </c>
      <c r="H41" s="362">
        <f>⑤CP구성!$M50</f>
        <v>611.29999999999995</v>
      </c>
      <c r="I41" s="404" t="str">
        <f t="shared" si="18"/>
        <v/>
      </c>
      <c r="J41" s="404" t="str">
        <f t="shared" si="18"/>
        <v/>
      </c>
      <c r="K41" s="404" t="str">
        <f t="shared" si="18"/>
        <v/>
      </c>
      <c r="L41" s="363" t="str">
        <f t="shared" si="18"/>
        <v/>
      </c>
      <c r="M41" s="364" t="str">
        <f t="shared" si="18"/>
        <v/>
      </c>
      <c r="N41" s="364" t="str">
        <f t="shared" si="18"/>
        <v/>
      </c>
      <c r="O41" s="364" t="str">
        <f t="shared" si="18"/>
        <v/>
      </c>
      <c r="P41" s="364" t="str">
        <f t="shared" si="18"/>
        <v/>
      </c>
      <c r="Q41" s="364" t="str">
        <f t="shared" si="18"/>
        <v/>
      </c>
      <c r="R41" s="364" t="str">
        <f t="shared" si="18"/>
        <v/>
      </c>
      <c r="S41" s="364" t="str">
        <f t="shared" si="18"/>
        <v/>
      </c>
      <c r="T41" s="364" t="str">
        <f t="shared" si="18"/>
        <v/>
      </c>
      <c r="U41" s="402" t="str">
        <f t="shared" si="18"/>
        <v/>
      </c>
      <c r="V41" s="402" t="str">
        <f t="shared" si="18"/>
        <v/>
      </c>
      <c r="W41" s="402" t="str">
        <f t="shared" si="18"/>
        <v/>
      </c>
      <c r="X41" s="364" t="str">
        <f t="shared" si="17"/>
        <v/>
      </c>
      <c r="Y41" s="364" t="str">
        <f t="shared" si="15"/>
        <v/>
      </c>
      <c r="Z41" s="364" t="str">
        <f t="shared" si="15"/>
        <v/>
      </c>
      <c r="AA41" s="364" t="str">
        <f t="shared" si="15"/>
        <v/>
      </c>
      <c r="AB41" s="364" t="str">
        <f t="shared" si="15"/>
        <v/>
      </c>
      <c r="AC41" s="364" t="str">
        <f t="shared" si="15"/>
        <v/>
      </c>
      <c r="AD41" s="364" t="str">
        <f t="shared" si="15"/>
        <v/>
      </c>
      <c r="AE41" s="364" t="str">
        <f t="shared" si="15"/>
        <v/>
      </c>
      <c r="AF41" s="364" t="str">
        <f t="shared" si="15"/>
        <v/>
      </c>
      <c r="AG41" s="402" t="str">
        <f t="shared" si="15"/>
        <v/>
      </c>
      <c r="AH41" s="402" t="str">
        <f t="shared" si="15"/>
        <v/>
      </c>
      <c r="AI41" s="402" t="str">
        <f t="shared" si="15"/>
        <v/>
      </c>
      <c r="AJ41" s="364" t="str">
        <f t="shared" si="15"/>
        <v/>
      </c>
      <c r="AK41" s="364" t="str">
        <f t="shared" si="15"/>
        <v/>
      </c>
      <c r="AL41" s="364" t="str">
        <f t="shared" si="15"/>
        <v/>
      </c>
      <c r="AM41" s="364" t="str">
        <f t="shared" si="15"/>
        <v>■</v>
      </c>
      <c r="AN41" s="364" t="str">
        <f t="shared" si="15"/>
        <v>■</v>
      </c>
      <c r="AO41" s="364" t="str">
        <f t="shared" si="16"/>
        <v/>
      </c>
      <c r="AP41" s="364" t="str">
        <f t="shared" si="16"/>
        <v/>
      </c>
      <c r="AQ41" s="364" t="str">
        <f t="shared" si="16"/>
        <v/>
      </c>
      <c r="AR41" s="364" t="str">
        <f t="shared" si="16"/>
        <v/>
      </c>
      <c r="AS41" s="402" t="str">
        <f t="shared" si="16"/>
        <v/>
      </c>
      <c r="AT41" s="402" t="str">
        <f t="shared" si="16"/>
        <v/>
      </c>
      <c r="AU41" s="402" t="str">
        <f t="shared" si="16"/>
        <v/>
      </c>
      <c r="AV41" s="364" t="str">
        <f t="shared" si="16"/>
        <v/>
      </c>
      <c r="AW41" s="365" t="str">
        <f t="shared" si="16"/>
        <v/>
      </c>
      <c r="AX41" s="365" t="str">
        <f t="shared" si="16"/>
        <v/>
      </c>
      <c r="AY41" s="366" t="str">
        <f t="shared" si="16"/>
        <v/>
      </c>
      <c r="AZ41" s="366" t="str">
        <f t="shared" si="16"/>
        <v/>
      </c>
      <c r="BA41" s="431" t="str">
        <f t="shared" si="16"/>
        <v/>
      </c>
      <c r="BB41" s="366" t="str">
        <f t="shared" si="16"/>
        <v/>
      </c>
      <c r="BC41" s="436" t="str">
        <f t="shared" si="16"/>
        <v/>
      </c>
      <c r="BD41"/>
      <c r="BE41" s="126">
        <f>⑤CP구성!$AF50</f>
        <v>0</v>
      </c>
      <c r="BF41"/>
      <c r="BG41"/>
      <c r="BH41"/>
      <c r="BI41"/>
      <c r="BJ41"/>
      <c r="BK41"/>
      <c r="BL41"/>
      <c r="BM41"/>
      <c r="BN41"/>
      <c r="BO41"/>
      <c r="BP41"/>
    </row>
    <row r="42" spans="1:68" s="126" customFormat="1" ht="24" customHeight="1">
      <c r="A42" s="359" t="str">
        <f>⑤CP구성!$C51</f>
        <v>신서 증설</v>
      </c>
      <c r="B42" s="368">
        <f>⑤CP구성!$B51</f>
        <v>34</v>
      </c>
      <c r="C42" s="368" t="str">
        <f>⑤CP구성!$D51</f>
        <v>포장공</v>
      </c>
      <c r="D42" s="361">
        <f>⑤CP구성!$S51</f>
        <v>47331</v>
      </c>
      <c r="E42" s="361">
        <f>⑤CP구성!$V51</f>
        <v>47343.1</v>
      </c>
      <c r="F42" s="362">
        <f>⑤CP구성!$W51</f>
        <v>13.099999999998545</v>
      </c>
      <c r="G42" s="362">
        <f>⑤CP구성!$L51</f>
        <v>612</v>
      </c>
      <c r="H42" s="362">
        <f>⑤CP구성!$M51</f>
        <v>624.1</v>
      </c>
      <c r="I42" s="404" t="str">
        <f t="shared" si="18"/>
        <v/>
      </c>
      <c r="J42" s="404" t="str">
        <f t="shared" si="18"/>
        <v/>
      </c>
      <c r="K42" s="404" t="str">
        <f t="shared" si="18"/>
        <v/>
      </c>
      <c r="L42" s="363" t="str">
        <f t="shared" si="18"/>
        <v/>
      </c>
      <c r="M42" s="364" t="str">
        <f t="shared" si="18"/>
        <v/>
      </c>
      <c r="N42" s="364" t="str">
        <f t="shared" si="18"/>
        <v/>
      </c>
      <c r="O42" s="364" t="str">
        <f t="shared" si="18"/>
        <v/>
      </c>
      <c r="P42" s="364" t="str">
        <f t="shared" si="18"/>
        <v/>
      </c>
      <c r="Q42" s="364" t="str">
        <f t="shared" si="18"/>
        <v/>
      </c>
      <c r="R42" s="364" t="str">
        <f t="shared" si="18"/>
        <v/>
      </c>
      <c r="S42" s="364" t="str">
        <f t="shared" si="18"/>
        <v/>
      </c>
      <c r="T42" s="364" t="str">
        <f t="shared" si="18"/>
        <v/>
      </c>
      <c r="U42" s="402" t="str">
        <f t="shared" si="18"/>
        <v/>
      </c>
      <c r="V42" s="402" t="str">
        <f t="shared" si="18"/>
        <v/>
      </c>
      <c r="W42" s="402" t="str">
        <f t="shared" si="18"/>
        <v/>
      </c>
      <c r="X42" s="364" t="str">
        <f t="shared" si="17"/>
        <v/>
      </c>
      <c r="Y42" s="364" t="str">
        <f t="shared" si="15"/>
        <v/>
      </c>
      <c r="Z42" s="364" t="str">
        <f t="shared" si="15"/>
        <v/>
      </c>
      <c r="AA42" s="364" t="str">
        <f t="shared" si="15"/>
        <v/>
      </c>
      <c r="AB42" s="364" t="str">
        <f t="shared" si="15"/>
        <v/>
      </c>
      <c r="AC42" s="364" t="str">
        <f t="shared" si="15"/>
        <v/>
      </c>
      <c r="AD42" s="364" t="str">
        <f t="shared" si="15"/>
        <v/>
      </c>
      <c r="AE42" s="364" t="str">
        <f t="shared" si="15"/>
        <v/>
      </c>
      <c r="AF42" s="364" t="str">
        <f t="shared" si="15"/>
        <v/>
      </c>
      <c r="AG42" s="402" t="str">
        <f t="shared" si="15"/>
        <v/>
      </c>
      <c r="AH42" s="402" t="str">
        <f t="shared" si="15"/>
        <v/>
      </c>
      <c r="AI42" s="402" t="str">
        <f t="shared" si="15"/>
        <v/>
      </c>
      <c r="AJ42" s="364" t="str">
        <f t="shared" si="15"/>
        <v/>
      </c>
      <c r="AK42" s="364" t="str">
        <f t="shared" si="15"/>
        <v/>
      </c>
      <c r="AL42" s="364" t="str">
        <f t="shared" si="15"/>
        <v/>
      </c>
      <c r="AM42" s="364" t="str">
        <f t="shared" si="15"/>
        <v/>
      </c>
      <c r="AN42" s="364" t="str">
        <f t="shared" si="15"/>
        <v/>
      </c>
      <c r="AO42" s="364" t="str">
        <f t="shared" si="16"/>
        <v>■</v>
      </c>
      <c r="AP42" s="364" t="str">
        <f t="shared" si="16"/>
        <v/>
      </c>
      <c r="AQ42" s="364" t="str">
        <f t="shared" si="16"/>
        <v/>
      </c>
      <c r="AR42" s="364" t="str">
        <f t="shared" si="16"/>
        <v/>
      </c>
      <c r="AS42" s="402" t="str">
        <f t="shared" si="16"/>
        <v/>
      </c>
      <c r="AT42" s="402" t="str">
        <f t="shared" si="16"/>
        <v/>
      </c>
      <c r="AU42" s="402" t="str">
        <f t="shared" si="16"/>
        <v/>
      </c>
      <c r="AV42" s="364" t="str">
        <f t="shared" si="16"/>
        <v/>
      </c>
      <c r="AW42" s="363" t="str">
        <f t="shared" si="16"/>
        <v/>
      </c>
      <c r="AX42" s="363" t="str">
        <f t="shared" si="16"/>
        <v/>
      </c>
      <c r="AY42" s="366" t="str">
        <f t="shared" si="16"/>
        <v/>
      </c>
      <c r="AZ42" s="366" t="str">
        <f t="shared" si="16"/>
        <v/>
      </c>
      <c r="BA42" s="431" t="str">
        <f t="shared" si="16"/>
        <v/>
      </c>
      <c r="BB42" s="366" t="str">
        <f t="shared" si="16"/>
        <v/>
      </c>
      <c r="BC42" s="436" t="str">
        <f t="shared" si="16"/>
        <v/>
      </c>
      <c r="BD42"/>
      <c r="BE42" s="126">
        <f>⑤CP구성!$AF51</f>
        <v>0</v>
      </c>
      <c r="BF42"/>
      <c r="BG42"/>
      <c r="BH42"/>
      <c r="BI42"/>
      <c r="BJ42"/>
      <c r="BK42"/>
      <c r="BL42"/>
      <c r="BM42"/>
      <c r="BN42"/>
      <c r="BO42"/>
      <c r="BP42"/>
    </row>
    <row r="43" spans="1:68" s="126" customFormat="1" ht="24" customHeight="1">
      <c r="A43" s="359" t="str">
        <f>⑤CP구성!$C52</f>
        <v>신서 증설</v>
      </c>
      <c r="B43" s="370">
        <f>⑤CP구성!$B52</f>
        <v>35</v>
      </c>
      <c r="C43" s="370" t="str">
        <f>⑤CP구성!$D52</f>
        <v>부대공</v>
      </c>
      <c r="D43" s="361">
        <f>⑤CP구성!$S52</f>
        <v>47342</v>
      </c>
      <c r="E43" s="361">
        <f>⑤CP구성!$V52</f>
        <v>47392.4</v>
      </c>
      <c r="F43" s="362">
        <f>⑤CP구성!$W52</f>
        <v>51.400000000001455</v>
      </c>
      <c r="G43" s="362">
        <f>⑤CP구성!$L52</f>
        <v>623</v>
      </c>
      <c r="H43" s="362">
        <f>⑤CP구성!$M52</f>
        <v>673.4</v>
      </c>
      <c r="I43" s="406" t="str">
        <f t="shared" si="18"/>
        <v/>
      </c>
      <c r="J43" s="404" t="str">
        <f t="shared" si="18"/>
        <v/>
      </c>
      <c r="K43" s="404" t="str">
        <f t="shared" si="18"/>
        <v/>
      </c>
      <c r="L43" s="368" t="str">
        <f t="shared" si="18"/>
        <v/>
      </c>
      <c r="M43" s="368" t="str">
        <f t="shared" si="18"/>
        <v/>
      </c>
      <c r="N43" s="368" t="str">
        <f t="shared" si="18"/>
        <v/>
      </c>
      <c r="O43" s="367" t="str">
        <f t="shared" si="18"/>
        <v/>
      </c>
      <c r="P43" s="363" t="str">
        <f t="shared" si="18"/>
        <v/>
      </c>
      <c r="Q43" s="363" t="str">
        <f t="shared" si="18"/>
        <v/>
      </c>
      <c r="R43" s="363" t="str">
        <f t="shared" si="18"/>
        <v/>
      </c>
      <c r="S43" s="363" t="str">
        <f t="shared" si="18"/>
        <v/>
      </c>
      <c r="T43" s="363" t="str">
        <f t="shared" si="18"/>
        <v/>
      </c>
      <c r="U43" s="402" t="str">
        <f t="shared" si="18"/>
        <v/>
      </c>
      <c r="V43" s="402" t="str">
        <f t="shared" si="18"/>
        <v/>
      </c>
      <c r="W43" s="402" t="str">
        <f t="shared" si="18"/>
        <v/>
      </c>
      <c r="X43" s="363" t="str">
        <f t="shared" si="17"/>
        <v/>
      </c>
      <c r="Y43" s="363" t="str">
        <f t="shared" si="15"/>
        <v/>
      </c>
      <c r="Z43" s="363" t="str">
        <f t="shared" si="15"/>
        <v/>
      </c>
      <c r="AA43" s="363" t="str">
        <f t="shared" si="15"/>
        <v/>
      </c>
      <c r="AB43" s="363" t="str">
        <f t="shared" si="15"/>
        <v/>
      </c>
      <c r="AC43" s="363" t="str">
        <f t="shared" si="15"/>
        <v/>
      </c>
      <c r="AD43" s="363" t="str">
        <f t="shared" si="15"/>
        <v/>
      </c>
      <c r="AE43" s="363" t="str">
        <f t="shared" si="15"/>
        <v/>
      </c>
      <c r="AF43" s="368" t="str">
        <f t="shared" si="15"/>
        <v/>
      </c>
      <c r="AG43" s="402" t="str">
        <f t="shared" si="15"/>
        <v/>
      </c>
      <c r="AH43" s="402" t="str">
        <f t="shared" si="15"/>
        <v/>
      </c>
      <c r="AI43" s="402" t="str">
        <f t="shared" si="15"/>
        <v/>
      </c>
      <c r="AJ43" s="368" t="str">
        <f t="shared" si="15"/>
        <v/>
      </c>
      <c r="AK43" s="368" t="str">
        <f t="shared" si="15"/>
        <v/>
      </c>
      <c r="AL43" s="364" t="str">
        <f t="shared" si="15"/>
        <v/>
      </c>
      <c r="AM43" s="364" t="str">
        <f t="shared" si="15"/>
        <v/>
      </c>
      <c r="AN43" s="364" t="str">
        <f t="shared" si="15"/>
        <v/>
      </c>
      <c r="AO43" s="364" t="str">
        <f t="shared" si="16"/>
        <v>■</v>
      </c>
      <c r="AP43" s="364" t="str">
        <f t="shared" si="16"/>
        <v>■</v>
      </c>
      <c r="AQ43" s="364" t="str">
        <f t="shared" si="16"/>
        <v>■</v>
      </c>
      <c r="AR43" s="364" t="str">
        <f t="shared" si="16"/>
        <v/>
      </c>
      <c r="AS43" s="402" t="str">
        <f t="shared" si="16"/>
        <v/>
      </c>
      <c r="AT43" s="402" t="str">
        <f t="shared" si="16"/>
        <v/>
      </c>
      <c r="AU43" s="402" t="str">
        <f t="shared" si="16"/>
        <v/>
      </c>
      <c r="AV43" s="364" t="str">
        <f t="shared" si="16"/>
        <v/>
      </c>
      <c r="AW43" s="363" t="str">
        <f t="shared" si="16"/>
        <v/>
      </c>
      <c r="AX43" s="363" t="str">
        <f t="shared" si="16"/>
        <v/>
      </c>
      <c r="AY43" s="366" t="str">
        <f t="shared" si="16"/>
        <v/>
      </c>
      <c r="AZ43" s="366" t="str">
        <f t="shared" si="16"/>
        <v/>
      </c>
      <c r="BA43" s="431" t="str">
        <f t="shared" si="16"/>
        <v/>
      </c>
      <c r="BB43" s="366" t="str">
        <f t="shared" si="16"/>
        <v/>
      </c>
      <c r="BC43" s="436" t="str">
        <f t="shared" si="16"/>
        <v/>
      </c>
      <c r="BD43"/>
      <c r="BE43" s="126">
        <f>⑤CP구성!$AF52</f>
        <v>0</v>
      </c>
      <c r="BF43"/>
      <c r="BG43"/>
      <c r="BH43"/>
      <c r="BI43"/>
      <c r="BJ43"/>
      <c r="BK43"/>
      <c r="BL43"/>
      <c r="BM43"/>
      <c r="BN43"/>
      <c r="BO43"/>
      <c r="BP43"/>
    </row>
    <row r="44" spans="1:68" s="126" customFormat="1" ht="24" customHeight="1">
      <c r="A44" s="359" t="str">
        <f>⑤CP구성!$C53</f>
        <v>신서 증설</v>
      </c>
      <c r="B44" s="370">
        <f>⑤CP구성!$B53</f>
        <v>36</v>
      </c>
      <c r="C44" s="370" t="str">
        <f>⑤CP구성!$D53</f>
        <v>건축공사</v>
      </c>
      <c r="D44" s="361">
        <f>⑤CP구성!$S53</f>
        <v>47239</v>
      </c>
      <c r="E44" s="361">
        <f>⑤CP구성!$V53</f>
        <v>47448</v>
      </c>
      <c r="F44" s="362">
        <f>⑤CP구성!$W53</f>
        <v>210</v>
      </c>
      <c r="G44" s="362">
        <f>⑤CP구성!$L53</f>
        <v>520</v>
      </c>
      <c r="H44" s="362">
        <f>⑤CP구성!$M53</f>
        <v>729</v>
      </c>
      <c r="I44" s="406" t="str">
        <f t="shared" si="18"/>
        <v/>
      </c>
      <c r="J44" s="404" t="str">
        <f t="shared" si="18"/>
        <v/>
      </c>
      <c r="K44" s="404" t="str">
        <f t="shared" si="18"/>
        <v/>
      </c>
      <c r="L44" s="368" t="str">
        <f t="shared" si="18"/>
        <v/>
      </c>
      <c r="M44" s="368" t="str">
        <f t="shared" si="18"/>
        <v/>
      </c>
      <c r="N44" s="368" t="str">
        <f t="shared" si="18"/>
        <v/>
      </c>
      <c r="O44" s="367" t="str">
        <f t="shared" si="18"/>
        <v/>
      </c>
      <c r="P44" s="363" t="str">
        <f t="shared" si="18"/>
        <v/>
      </c>
      <c r="Q44" s="363" t="str">
        <f t="shared" si="18"/>
        <v/>
      </c>
      <c r="R44" s="363" t="str">
        <f t="shared" si="18"/>
        <v/>
      </c>
      <c r="S44" s="363" t="str">
        <f t="shared" si="18"/>
        <v/>
      </c>
      <c r="T44" s="363" t="str">
        <f t="shared" si="18"/>
        <v/>
      </c>
      <c r="U44" s="402" t="str">
        <f t="shared" si="18"/>
        <v/>
      </c>
      <c r="V44" s="402" t="str">
        <f t="shared" si="18"/>
        <v/>
      </c>
      <c r="W44" s="402" t="str">
        <f t="shared" si="18"/>
        <v/>
      </c>
      <c r="X44" s="363" t="str">
        <f t="shared" si="17"/>
        <v/>
      </c>
      <c r="Y44" s="363" t="str">
        <f t="shared" si="15"/>
        <v/>
      </c>
      <c r="Z44" s="363" t="str">
        <f t="shared" si="15"/>
        <v/>
      </c>
      <c r="AA44" s="363" t="str">
        <f t="shared" si="15"/>
        <v/>
      </c>
      <c r="AB44" s="363" t="str">
        <f t="shared" si="15"/>
        <v/>
      </c>
      <c r="AC44" s="363" t="str">
        <f t="shared" si="15"/>
        <v/>
      </c>
      <c r="AD44" s="363" t="str">
        <f t="shared" si="15"/>
        <v/>
      </c>
      <c r="AE44" s="363" t="str">
        <f t="shared" si="15"/>
        <v/>
      </c>
      <c r="AF44" s="368" t="str">
        <f t="shared" si="15"/>
        <v/>
      </c>
      <c r="AG44" s="402" t="str">
        <f t="shared" si="15"/>
        <v/>
      </c>
      <c r="AH44" s="402" t="str">
        <f t="shared" si="15"/>
        <v/>
      </c>
      <c r="AI44" s="402" t="str">
        <f t="shared" si="15"/>
        <v/>
      </c>
      <c r="AJ44" s="368" t="str">
        <f t="shared" si="15"/>
        <v/>
      </c>
      <c r="AK44" s="368" t="str">
        <f t="shared" si="15"/>
        <v/>
      </c>
      <c r="AL44" s="364" t="str">
        <f t="shared" si="15"/>
        <v>■</v>
      </c>
      <c r="AM44" s="364" t="str">
        <f t="shared" si="15"/>
        <v>■</v>
      </c>
      <c r="AN44" s="364" t="str">
        <f t="shared" si="15"/>
        <v>■</v>
      </c>
      <c r="AO44" s="364" t="str">
        <f t="shared" si="16"/>
        <v>■</v>
      </c>
      <c r="AP44" s="364" t="str">
        <f t="shared" si="16"/>
        <v>■</v>
      </c>
      <c r="AQ44" s="364" t="str">
        <f t="shared" si="16"/>
        <v>■</v>
      </c>
      <c r="AR44" s="364" t="str">
        <f t="shared" si="16"/>
        <v>■</v>
      </c>
      <c r="AS44" s="402" t="str">
        <f t="shared" si="16"/>
        <v/>
      </c>
      <c r="AT44" s="402" t="str">
        <f t="shared" si="16"/>
        <v/>
      </c>
      <c r="AU44" s="402" t="str">
        <f t="shared" si="16"/>
        <v/>
      </c>
      <c r="AV44" s="364" t="str">
        <f t="shared" si="16"/>
        <v/>
      </c>
      <c r="AW44" s="363" t="str">
        <f t="shared" si="16"/>
        <v/>
      </c>
      <c r="AX44" s="363" t="str">
        <f t="shared" si="16"/>
        <v/>
      </c>
      <c r="AY44" s="366" t="str">
        <f t="shared" si="16"/>
        <v/>
      </c>
      <c r="AZ44" s="366" t="str">
        <f t="shared" si="16"/>
        <v/>
      </c>
      <c r="BA44" s="431" t="str">
        <f t="shared" si="16"/>
        <v/>
      </c>
      <c r="BB44" s="366" t="str">
        <f t="shared" si="16"/>
        <v/>
      </c>
      <c r="BC44" s="436" t="str">
        <f t="shared" si="16"/>
        <v/>
      </c>
      <c r="BD44"/>
      <c r="BE44" s="126">
        <f>⑤CP구성!$AF53</f>
        <v>0</v>
      </c>
      <c r="BF44"/>
      <c r="BG44"/>
      <c r="BH44"/>
      <c r="BI44"/>
      <c r="BJ44"/>
      <c r="BK44"/>
      <c r="BL44"/>
      <c r="BM44"/>
      <c r="BN44"/>
      <c r="BO44"/>
      <c r="BP44"/>
    </row>
    <row r="45" spans="1:68" s="126" customFormat="1" ht="24" customHeight="1">
      <c r="A45" s="359" t="str">
        <f>⑤CP구성!$C54</f>
        <v>신서 증설</v>
      </c>
      <c r="B45" s="370">
        <f>⑤CP구성!$B54</f>
        <v>37</v>
      </c>
      <c r="C45" s="370" t="str">
        <f>⑤CP구성!$D54</f>
        <v>기계공사</v>
      </c>
      <c r="D45" s="361">
        <f>⑤CP구성!$S54</f>
        <v>47239</v>
      </c>
      <c r="E45" s="361">
        <f>⑤CP구성!$V54</f>
        <v>47418</v>
      </c>
      <c r="F45" s="362">
        <f>⑤CP구성!$W54</f>
        <v>180</v>
      </c>
      <c r="G45" s="362">
        <f>⑤CP구성!$L54</f>
        <v>520</v>
      </c>
      <c r="H45" s="362">
        <f>⑤CP구성!$M54</f>
        <v>699</v>
      </c>
      <c r="I45" s="406" t="str">
        <f t="shared" si="18"/>
        <v/>
      </c>
      <c r="J45" s="404" t="str">
        <f t="shared" si="18"/>
        <v/>
      </c>
      <c r="K45" s="404" t="str">
        <f t="shared" si="18"/>
        <v/>
      </c>
      <c r="L45" s="368" t="str">
        <f t="shared" si="18"/>
        <v/>
      </c>
      <c r="M45" s="368" t="str">
        <f t="shared" si="18"/>
        <v/>
      </c>
      <c r="N45" s="368" t="str">
        <f t="shared" si="18"/>
        <v/>
      </c>
      <c r="O45" s="367" t="str">
        <f t="shared" si="18"/>
        <v/>
      </c>
      <c r="P45" s="363" t="str">
        <f t="shared" si="18"/>
        <v/>
      </c>
      <c r="Q45" s="363" t="str">
        <f t="shared" si="18"/>
        <v/>
      </c>
      <c r="R45" s="363" t="str">
        <f t="shared" si="18"/>
        <v/>
      </c>
      <c r="S45" s="363" t="str">
        <f t="shared" si="18"/>
        <v/>
      </c>
      <c r="T45" s="363" t="str">
        <f t="shared" si="18"/>
        <v/>
      </c>
      <c r="U45" s="402" t="str">
        <f t="shared" si="18"/>
        <v/>
      </c>
      <c r="V45" s="402" t="str">
        <f t="shared" si="18"/>
        <v/>
      </c>
      <c r="W45" s="402" t="str">
        <f t="shared" si="18"/>
        <v/>
      </c>
      <c r="X45" s="363" t="str">
        <f t="shared" si="17"/>
        <v/>
      </c>
      <c r="Y45" s="363" t="str">
        <f t="shared" si="15"/>
        <v/>
      </c>
      <c r="Z45" s="363" t="str">
        <f t="shared" si="15"/>
        <v/>
      </c>
      <c r="AA45" s="363" t="str">
        <f t="shared" si="15"/>
        <v/>
      </c>
      <c r="AB45" s="363" t="str">
        <f t="shared" si="15"/>
        <v/>
      </c>
      <c r="AC45" s="363" t="str">
        <f t="shared" si="15"/>
        <v/>
      </c>
      <c r="AD45" s="363" t="str">
        <f t="shared" si="15"/>
        <v/>
      </c>
      <c r="AE45" s="363" t="str">
        <f t="shared" si="15"/>
        <v/>
      </c>
      <c r="AF45" s="368" t="str">
        <f t="shared" si="15"/>
        <v/>
      </c>
      <c r="AG45" s="402" t="str">
        <f t="shared" si="15"/>
        <v/>
      </c>
      <c r="AH45" s="402" t="str">
        <f t="shared" si="15"/>
        <v/>
      </c>
      <c r="AI45" s="402" t="str">
        <f t="shared" si="15"/>
        <v/>
      </c>
      <c r="AJ45" s="368" t="str">
        <f t="shared" si="15"/>
        <v/>
      </c>
      <c r="AK45" s="368" t="str">
        <f t="shared" si="15"/>
        <v/>
      </c>
      <c r="AL45" s="364" t="str">
        <f t="shared" si="15"/>
        <v>■</v>
      </c>
      <c r="AM45" s="364" t="str">
        <f t="shared" si="15"/>
        <v>■</v>
      </c>
      <c r="AN45" s="364" t="str">
        <f t="shared" si="15"/>
        <v>■</v>
      </c>
      <c r="AO45" s="364" t="str">
        <f t="shared" si="16"/>
        <v>■</v>
      </c>
      <c r="AP45" s="364" t="str">
        <f t="shared" si="16"/>
        <v>■</v>
      </c>
      <c r="AQ45" s="364" t="str">
        <f t="shared" si="16"/>
        <v>■</v>
      </c>
      <c r="AR45" s="364" t="str">
        <f t="shared" si="16"/>
        <v/>
      </c>
      <c r="AS45" s="402" t="str">
        <f t="shared" si="16"/>
        <v/>
      </c>
      <c r="AT45" s="402" t="str">
        <f t="shared" si="16"/>
        <v/>
      </c>
      <c r="AU45" s="402" t="str">
        <f t="shared" si="16"/>
        <v/>
      </c>
      <c r="AV45" s="364" t="str">
        <f t="shared" si="16"/>
        <v/>
      </c>
      <c r="AW45" s="363" t="str">
        <f t="shared" si="16"/>
        <v/>
      </c>
      <c r="AX45" s="363" t="str">
        <f t="shared" si="16"/>
        <v/>
      </c>
      <c r="AY45" s="366" t="str">
        <f t="shared" si="16"/>
        <v/>
      </c>
      <c r="AZ45" s="366" t="str">
        <f t="shared" si="16"/>
        <v/>
      </c>
      <c r="BA45" s="431" t="str">
        <f t="shared" si="16"/>
        <v/>
      </c>
      <c r="BB45" s="366" t="str">
        <f t="shared" si="16"/>
        <v/>
      </c>
      <c r="BC45" s="436" t="str">
        <f t="shared" si="16"/>
        <v/>
      </c>
      <c r="BD45"/>
      <c r="BE45" s="126">
        <f>⑤CP구성!$AF54</f>
        <v>0</v>
      </c>
      <c r="BF45"/>
      <c r="BG45"/>
      <c r="BH45"/>
      <c r="BI45"/>
      <c r="BJ45"/>
      <c r="BK45"/>
      <c r="BL45"/>
      <c r="BM45"/>
      <c r="BN45"/>
      <c r="BO45"/>
      <c r="BP45"/>
    </row>
    <row r="46" spans="1:68" s="126" customFormat="1" ht="24" customHeight="1">
      <c r="A46" s="359" t="str">
        <f>⑤CP구성!$C55</f>
        <v>신서 증설</v>
      </c>
      <c r="B46" s="370">
        <f>⑤CP구성!$B55</f>
        <v>38</v>
      </c>
      <c r="C46" s="370" t="str">
        <f>⑤CP구성!$D55</f>
        <v>전기공사</v>
      </c>
      <c r="D46" s="361">
        <f>⑤CP구성!$S55</f>
        <v>47239</v>
      </c>
      <c r="E46" s="361">
        <f>⑤CP구성!$V55</f>
        <v>47388</v>
      </c>
      <c r="F46" s="362">
        <f>⑤CP구성!$W55</f>
        <v>150</v>
      </c>
      <c r="G46" s="362">
        <f>⑤CP구성!$L55</f>
        <v>520</v>
      </c>
      <c r="H46" s="362">
        <f>⑤CP구성!$M55</f>
        <v>669</v>
      </c>
      <c r="I46" s="406" t="str">
        <f t="shared" si="18"/>
        <v/>
      </c>
      <c r="J46" s="404" t="str">
        <f t="shared" si="18"/>
        <v/>
      </c>
      <c r="K46" s="404" t="str">
        <f t="shared" si="18"/>
        <v/>
      </c>
      <c r="L46" s="368" t="str">
        <f t="shared" si="18"/>
        <v/>
      </c>
      <c r="M46" s="368" t="str">
        <f t="shared" si="18"/>
        <v/>
      </c>
      <c r="N46" s="368" t="str">
        <f t="shared" si="18"/>
        <v/>
      </c>
      <c r="O46" s="367" t="str">
        <f t="shared" si="18"/>
        <v/>
      </c>
      <c r="P46" s="363" t="str">
        <f t="shared" si="18"/>
        <v/>
      </c>
      <c r="Q46" s="363" t="str">
        <f t="shared" si="18"/>
        <v/>
      </c>
      <c r="R46" s="363" t="str">
        <f t="shared" si="18"/>
        <v/>
      </c>
      <c r="S46" s="363" t="str">
        <f t="shared" si="18"/>
        <v/>
      </c>
      <c r="T46" s="363" t="str">
        <f t="shared" si="18"/>
        <v/>
      </c>
      <c r="U46" s="402" t="str">
        <f t="shared" si="18"/>
        <v/>
      </c>
      <c r="V46" s="402" t="str">
        <f t="shared" si="18"/>
        <v/>
      </c>
      <c r="W46" s="402" t="str">
        <f t="shared" si="18"/>
        <v/>
      </c>
      <c r="X46" s="363" t="str">
        <f t="shared" si="17"/>
        <v/>
      </c>
      <c r="Y46" s="363" t="str">
        <f t="shared" si="15"/>
        <v/>
      </c>
      <c r="Z46" s="363" t="str">
        <f t="shared" si="15"/>
        <v/>
      </c>
      <c r="AA46" s="363" t="str">
        <f t="shared" si="15"/>
        <v/>
      </c>
      <c r="AB46" s="363" t="str">
        <f t="shared" si="15"/>
        <v/>
      </c>
      <c r="AC46" s="363" t="str">
        <f t="shared" si="15"/>
        <v/>
      </c>
      <c r="AD46" s="363" t="str">
        <f t="shared" si="15"/>
        <v/>
      </c>
      <c r="AE46" s="363" t="str">
        <f t="shared" si="15"/>
        <v/>
      </c>
      <c r="AF46" s="368" t="str">
        <f t="shared" si="15"/>
        <v/>
      </c>
      <c r="AG46" s="402" t="str">
        <f t="shared" si="15"/>
        <v/>
      </c>
      <c r="AH46" s="402" t="str">
        <f t="shared" si="15"/>
        <v/>
      </c>
      <c r="AI46" s="402" t="str">
        <f t="shared" si="15"/>
        <v/>
      </c>
      <c r="AJ46" s="368" t="str">
        <f t="shared" si="15"/>
        <v/>
      </c>
      <c r="AK46" s="368" t="str">
        <f t="shared" si="15"/>
        <v/>
      </c>
      <c r="AL46" s="364" t="str">
        <f t="shared" si="15"/>
        <v>■</v>
      </c>
      <c r="AM46" s="364" t="str">
        <f t="shared" si="15"/>
        <v>■</v>
      </c>
      <c r="AN46" s="364" t="str">
        <f t="shared" si="15"/>
        <v>■</v>
      </c>
      <c r="AO46" s="364" t="str">
        <f t="shared" si="16"/>
        <v>■</v>
      </c>
      <c r="AP46" s="364" t="str">
        <f t="shared" si="16"/>
        <v>■</v>
      </c>
      <c r="AQ46" s="364" t="str">
        <f t="shared" si="16"/>
        <v/>
      </c>
      <c r="AR46" s="364" t="str">
        <f t="shared" si="16"/>
        <v/>
      </c>
      <c r="AS46" s="402" t="str">
        <f t="shared" si="16"/>
        <v/>
      </c>
      <c r="AT46" s="402" t="str">
        <f t="shared" si="16"/>
        <v/>
      </c>
      <c r="AU46" s="402" t="str">
        <f t="shared" si="16"/>
        <v/>
      </c>
      <c r="AV46" s="364" t="str">
        <f t="shared" si="16"/>
        <v/>
      </c>
      <c r="AW46" s="363" t="str">
        <f t="shared" si="16"/>
        <v/>
      </c>
      <c r="AX46" s="363" t="str">
        <f t="shared" si="16"/>
        <v/>
      </c>
      <c r="AY46" s="366" t="str">
        <f t="shared" si="16"/>
        <v/>
      </c>
      <c r="AZ46" s="366" t="str">
        <f t="shared" si="16"/>
        <v/>
      </c>
      <c r="BA46" s="431" t="str">
        <f t="shared" si="16"/>
        <v/>
      </c>
      <c r="BB46" s="366" t="str">
        <f t="shared" si="16"/>
        <v/>
      </c>
      <c r="BC46" s="436" t="str">
        <f t="shared" si="16"/>
        <v/>
      </c>
      <c r="BD46"/>
      <c r="BE46" s="126">
        <f>⑤CP구성!$AF55</f>
        <v>0</v>
      </c>
      <c r="BF46"/>
      <c r="BG46"/>
      <c r="BH46"/>
      <c r="BI46"/>
      <c r="BJ46"/>
      <c r="BK46"/>
      <c r="BL46"/>
      <c r="BM46"/>
      <c r="BN46"/>
      <c r="BO46"/>
      <c r="BP46"/>
    </row>
    <row r="47" spans="1:68" s="126" customFormat="1" ht="24" customHeight="1">
      <c r="A47" s="359" t="str">
        <f>⑤CP구성!$C56</f>
        <v>신서 증설</v>
      </c>
      <c r="B47" s="370">
        <f>⑤CP구성!$B56</f>
        <v>39</v>
      </c>
      <c r="C47" s="370" t="str">
        <f>⑤CP구성!$D56</f>
        <v>조경공사</v>
      </c>
      <c r="D47" s="361">
        <f>⑤CP구성!$S56</f>
        <v>47388</v>
      </c>
      <c r="E47" s="361">
        <f>⑤CP구성!$V56</f>
        <v>47447</v>
      </c>
      <c r="F47" s="362">
        <f>⑤CP구성!$W56</f>
        <v>60</v>
      </c>
      <c r="G47" s="362">
        <f>⑤CP구성!$L56</f>
        <v>669</v>
      </c>
      <c r="H47" s="362">
        <f>⑤CP구성!$M56</f>
        <v>728</v>
      </c>
      <c r="I47" s="406" t="str">
        <f t="shared" si="18"/>
        <v/>
      </c>
      <c r="J47" s="404" t="str">
        <f t="shared" si="18"/>
        <v/>
      </c>
      <c r="K47" s="404" t="str">
        <f t="shared" si="18"/>
        <v/>
      </c>
      <c r="L47" s="368" t="str">
        <f t="shared" si="18"/>
        <v/>
      </c>
      <c r="M47" s="368" t="str">
        <f t="shared" si="18"/>
        <v/>
      </c>
      <c r="N47" s="368" t="str">
        <f t="shared" si="18"/>
        <v/>
      </c>
      <c r="O47" s="367" t="str">
        <f t="shared" si="18"/>
        <v/>
      </c>
      <c r="P47" s="363" t="str">
        <f t="shared" si="18"/>
        <v/>
      </c>
      <c r="Q47" s="363" t="str">
        <f t="shared" si="18"/>
        <v/>
      </c>
      <c r="R47" s="363" t="str">
        <f t="shared" si="18"/>
        <v/>
      </c>
      <c r="S47" s="363" t="str">
        <f t="shared" si="18"/>
        <v/>
      </c>
      <c r="T47" s="363" t="str">
        <f t="shared" si="18"/>
        <v/>
      </c>
      <c r="U47" s="402" t="str">
        <f t="shared" si="18"/>
        <v/>
      </c>
      <c r="V47" s="402" t="str">
        <f t="shared" si="18"/>
        <v/>
      </c>
      <c r="W47" s="402" t="str">
        <f t="shared" si="18"/>
        <v/>
      </c>
      <c r="X47" s="363" t="str">
        <f t="shared" si="17"/>
        <v/>
      </c>
      <c r="Y47" s="363" t="str">
        <f t="shared" si="15"/>
        <v/>
      </c>
      <c r="Z47" s="363" t="str">
        <f t="shared" si="15"/>
        <v/>
      </c>
      <c r="AA47" s="363" t="str">
        <f t="shared" si="15"/>
        <v/>
      </c>
      <c r="AB47" s="363" t="str">
        <f t="shared" si="15"/>
        <v/>
      </c>
      <c r="AC47" s="363" t="str">
        <f t="shared" si="15"/>
        <v/>
      </c>
      <c r="AD47" s="363" t="str">
        <f t="shared" si="15"/>
        <v/>
      </c>
      <c r="AE47" s="363" t="str">
        <f t="shared" si="15"/>
        <v/>
      </c>
      <c r="AF47" s="368" t="str">
        <f t="shared" si="15"/>
        <v/>
      </c>
      <c r="AG47" s="402" t="str">
        <f t="shared" si="15"/>
        <v/>
      </c>
      <c r="AH47" s="402" t="str">
        <f t="shared" si="15"/>
        <v/>
      </c>
      <c r="AI47" s="402" t="str">
        <f t="shared" si="15"/>
        <v/>
      </c>
      <c r="AJ47" s="368" t="str">
        <f t="shared" si="15"/>
        <v/>
      </c>
      <c r="AK47" s="368" t="str">
        <f t="shared" si="15"/>
        <v/>
      </c>
      <c r="AL47" s="364" t="str">
        <f t="shared" si="15"/>
        <v/>
      </c>
      <c r="AM47" s="364" t="str">
        <f t="shared" si="15"/>
        <v/>
      </c>
      <c r="AN47" s="364" t="str">
        <f t="shared" si="15"/>
        <v/>
      </c>
      <c r="AO47" s="364" t="str">
        <f t="shared" si="16"/>
        <v/>
      </c>
      <c r="AP47" s="364" t="str">
        <f t="shared" si="16"/>
        <v>■</v>
      </c>
      <c r="AQ47" s="364" t="str">
        <f t="shared" si="16"/>
        <v>■</v>
      </c>
      <c r="AR47" s="364" t="str">
        <f t="shared" si="16"/>
        <v>■</v>
      </c>
      <c r="AS47" s="402" t="str">
        <f t="shared" si="16"/>
        <v/>
      </c>
      <c r="AT47" s="402" t="str">
        <f t="shared" si="16"/>
        <v/>
      </c>
      <c r="AU47" s="402" t="str">
        <f t="shared" si="16"/>
        <v/>
      </c>
      <c r="AV47" s="364" t="str">
        <f t="shared" si="16"/>
        <v/>
      </c>
      <c r="AW47" s="363" t="str">
        <f t="shared" si="16"/>
        <v/>
      </c>
      <c r="AX47" s="363" t="str">
        <f t="shared" si="16"/>
        <v/>
      </c>
      <c r="AY47" s="366" t="str">
        <f t="shared" si="16"/>
        <v/>
      </c>
      <c r="AZ47" s="366" t="str">
        <f t="shared" si="16"/>
        <v/>
      </c>
      <c r="BA47" s="431" t="str">
        <f t="shared" si="16"/>
        <v/>
      </c>
      <c r="BB47" s="366" t="str">
        <f t="shared" si="16"/>
        <v/>
      </c>
      <c r="BC47" s="436" t="str">
        <f t="shared" si="16"/>
        <v/>
      </c>
      <c r="BD47"/>
      <c r="BE47" s="126">
        <f>⑤CP구성!$AF56</f>
        <v>0</v>
      </c>
      <c r="BF47"/>
      <c r="BG47"/>
      <c r="BH47"/>
      <c r="BI47"/>
      <c r="BJ47"/>
      <c r="BK47"/>
      <c r="BL47"/>
      <c r="BM47"/>
      <c r="BN47"/>
      <c r="BO47"/>
      <c r="BP47"/>
    </row>
    <row r="48" spans="1:68" s="126" customFormat="1" ht="24" customHeight="1">
      <c r="A48" s="359" t="str">
        <f>⑤CP구성!$C57</f>
        <v>신서 증설</v>
      </c>
      <c r="B48" s="370">
        <f>⑤CP구성!$B57</f>
        <v>40</v>
      </c>
      <c r="C48" s="370" t="str">
        <f>⑤CP구성!$D57</f>
        <v>시운전(6개월)</v>
      </c>
      <c r="D48" s="361">
        <f>⑤CP구성!$S57</f>
        <v>47449</v>
      </c>
      <c r="E48" s="361">
        <f>⑤CP구성!$V57</f>
        <v>47628</v>
      </c>
      <c r="F48" s="362">
        <f>⑤CP구성!$W57</f>
        <v>180</v>
      </c>
      <c r="G48" s="362">
        <f>⑤CP구성!$L57</f>
        <v>730</v>
      </c>
      <c r="H48" s="362">
        <f>⑤CP구성!$M57</f>
        <v>909</v>
      </c>
      <c r="I48" s="406" t="str">
        <f t="shared" si="18"/>
        <v/>
      </c>
      <c r="J48" s="404" t="str">
        <f t="shared" si="18"/>
        <v/>
      </c>
      <c r="K48" s="404" t="str">
        <f t="shared" si="18"/>
        <v/>
      </c>
      <c r="L48" s="368" t="str">
        <f t="shared" si="18"/>
        <v/>
      </c>
      <c r="M48" s="368" t="str">
        <f t="shared" si="18"/>
        <v/>
      </c>
      <c r="N48" s="368" t="str">
        <f t="shared" si="18"/>
        <v/>
      </c>
      <c r="O48" s="367" t="str">
        <f t="shared" si="18"/>
        <v/>
      </c>
      <c r="P48" s="363" t="str">
        <f t="shared" si="18"/>
        <v/>
      </c>
      <c r="Q48" s="363" t="str">
        <f t="shared" si="18"/>
        <v/>
      </c>
      <c r="R48" s="363" t="str">
        <f t="shared" si="18"/>
        <v/>
      </c>
      <c r="S48" s="363" t="str">
        <f t="shared" si="18"/>
        <v/>
      </c>
      <c r="T48" s="363" t="str">
        <f t="shared" si="18"/>
        <v/>
      </c>
      <c r="U48" s="402" t="str">
        <f t="shared" si="18"/>
        <v/>
      </c>
      <c r="V48" s="402" t="str">
        <f t="shared" si="18"/>
        <v/>
      </c>
      <c r="W48" s="402" t="str">
        <f t="shared" si="18"/>
        <v/>
      </c>
      <c r="X48" s="363" t="str">
        <f t="shared" si="17"/>
        <v/>
      </c>
      <c r="Y48" s="363" t="str">
        <f t="shared" si="15"/>
        <v/>
      </c>
      <c r="Z48" s="363" t="str">
        <f t="shared" si="15"/>
        <v/>
      </c>
      <c r="AA48" s="363" t="str">
        <f t="shared" si="15"/>
        <v/>
      </c>
      <c r="AB48" s="363" t="str">
        <f t="shared" si="15"/>
        <v/>
      </c>
      <c r="AC48" s="363" t="str">
        <f t="shared" si="15"/>
        <v/>
      </c>
      <c r="AD48" s="363" t="str">
        <f t="shared" si="15"/>
        <v/>
      </c>
      <c r="AE48" s="363" t="str">
        <f t="shared" si="15"/>
        <v/>
      </c>
      <c r="AF48" s="368" t="str">
        <f t="shared" si="15"/>
        <v/>
      </c>
      <c r="AG48" s="402" t="str">
        <f t="shared" si="15"/>
        <v/>
      </c>
      <c r="AH48" s="402" t="str">
        <f t="shared" si="15"/>
        <v/>
      </c>
      <c r="AI48" s="402" t="str">
        <f t="shared" si="15"/>
        <v/>
      </c>
      <c r="AJ48" s="368" t="str">
        <f t="shared" si="15"/>
        <v/>
      </c>
      <c r="AK48" s="368" t="str">
        <f t="shared" si="15"/>
        <v/>
      </c>
      <c r="AL48" s="364" t="str">
        <f t="shared" si="15"/>
        <v/>
      </c>
      <c r="AM48" s="364" t="str">
        <f t="shared" si="15"/>
        <v/>
      </c>
      <c r="AN48" s="364" t="str">
        <f t="shared" si="15"/>
        <v/>
      </c>
      <c r="AO48" s="364" t="str">
        <f t="shared" si="16"/>
        <v/>
      </c>
      <c r="AP48" s="364" t="str">
        <f t="shared" si="16"/>
        <v/>
      </c>
      <c r="AQ48" s="364" t="str">
        <f t="shared" si="16"/>
        <v/>
      </c>
      <c r="AR48" s="364" t="str">
        <f t="shared" si="16"/>
        <v>■</v>
      </c>
      <c r="AS48" s="402" t="str">
        <f t="shared" si="16"/>
        <v>■</v>
      </c>
      <c r="AT48" s="402" t="str">
        <f t="shared" si="16"/>
        <v>■</v>
      </c>
      <c r="AU48" s="402" t="str">
        <f t="shared" si="16"/>
        <v>■</v>
      </c>
      <c r="AV48" s="364" t="str">
        <f t="shared" si="16"/>
        <v>■</v>
      </c>
      <c r="AW48" s="363" t="str">
        <f t="shared" si="16"/>
        <v>■</v>
      </c>
      <c r="AX48" s="363" t="str">
        <f t="shared" si="16"/>
        <v>■</v>
      </c>
      <c r="AY48" s="366" t="str">
        <f t="shared" si="16"/>
        <v/>
      </c>
      <c r="AZ48" s="366" t="str">
        <f t="shared" si="16"/>
        <v/>
      </c>
      <c r="BA48" s="431" t="str">
        <f t="shared" si="16"/>
        <v/>
      </c>
      <c r="BB48" s="366" t="str">
        <f t="shared" si="16"/>
        <v/>
      </c>
      <c r="BC48" s="436" t="str">
        <f t="shared" si="16"/>
        <v/>
      </c>
      <c r="BD48"/>
      <c r="BE48" s="126" t="str">
        <f>⑤CP구성!$AF57</f>
        <v>Y</v>
      </c>
      <c r="BF48"/>
      <c r="BG48"/>
      <c r="BH48"/>
      <c r="BI48"/>
      <c r="BJ48"/>
      <c r="BK48"/>
      <c r="BL48"/>
      <c r="BM48"/>
      <c r="BN48"/>
      <c r="BO48"/>
      <c r="BP48"/>
    </row>
    <row r="49" spans="1:68" s="126" customFormat="1" ht="24" customHeight="1">
      <c r="A49" s="359"/>
      <c r="B49" s="368"/>
      <c r="C49" s="368"/>
      <c r="D49" s="361"/>
      <c r="E49" s="361"/>
      <c r="F49" s="362"/>
      <c r="G49" s="362"/>
      <c r="H49" s="362"/>
      <c r="I49" s="404" t="str">
        <f t="shared" si="18"/>
        <v/>
      </c>
      <c r="J49" s="404" t="str">
        <f t="shared" si="18"/>
        <v/>
      </c>
      <c r="K49" s="404" t="str">
        <f t="shared" si="18"/>
        <v/>
      </c>
      <c r="L49" s="363" t="str">
        <f t="shared" si="18"/>
        <v/>
      </c>
      <c r="M49" s="364" t="str">
        <f t="shared" si="18"/>
        <v/>
      </c>
      <c r="N49" s="364" t="str">
        <f t="shared" si="18"/>
        <v/>
      </c>
      <c r="O49" s="364" t="str">
        <f t="shared" si="18"/>
        <v/>
      </c>
      <c r="P49" s="364" t="str">
        <f t="shared" si="18"/>
        <v/>
      </c>
      <c r="Q49" s="364" t="str">
        <f t="shared" si="18"/>
        <v/>
      </c>
      <c r="R49" s="364" t="str">
        <f t="shared" si="18"/>
        <v/>
      </c>
      <c r="S49" s="364" t="str">
        <f t="shared" si="18"/>
        <v/>
      </c>
      <c r="T49" s="364" t="str">
        <f t="shared" si="18"/>
        <v/>
      </c>
      <c r="U49" s="402" t="str">
        <f t="shared" si="18"/>
        <v/>
      </c>
      <c r="V49" s="402" t="str">
        <f t="shared" si="18"/>
        <v/>
      </c>
      <c r="W49" s="402" t="str">
        <f t="shared" si="18"/>
        <v/>
      </c>
      <c r="X49" s="364" t="str">
        <f t="shared" si="17"/>
        <v/>
      </c>
      <c r="Y49" s="364" t="str">
        <f t="shared" si="15"/>
        <v/>
      </c>
      <c r="Z49" s="364" t="str">
        <f t="shared" si="15"/>
        <v/>
      </c>
      <c r="AA49" s="364" t="str">
        <f t="shared" si="15"/>
        <v/>
      </c>
      <c r="AB49" s="364" t="str">
        <f t="shared" si="15"/>
        <v/>
      </c>
      <c r="AC49" s="364" t="str">
        <f t="shared" si="15"/>
        <v/>
      </c>
      <c r="AD49" s="364" t="str">
        <f t="shared" si="15"/>
        <v/>
      </c>
      <c r="AE49" s="364" t="str">
        <f t="shared" si="15"/>
        <v/>
      </c>
      <c r="AF49" s="364" t="str">
        <f t="shared" si="15"/>
        <v/>
      </c>
      <c r="AG49" s="402" t="str">
        <f t="shared" si="15"/>
        <v/>
      </c>
      <c r="AH49" s="402" t="str">
        <f t="shared" si="15"/>
        <v/>
      </c>
      <c r="AI49" s="402" t="str">
        <f t="shared" si="15"/>
        <v/>
      </c>
      <c r="AJ49" s="364" t="str">
        <f t="shared" si="15"/>
        <v/>
      </c>
      <c r="AK49" s="364" t="str">
        <f t="shared" si="15"/>
        <v/>
      </c>
      <c r="AL49" s="364" t="str">
        <f t="shared" si="15"/>
        <v/>
      </c>
      <c r="AM49" s="364" t="str">
        <f t="shared" si="15"/>
        <v/>
      </c>
      <c r="AN49" s="364" t="str">
        <f t="shared" si="15"/>
        <v/>
      </c>
      <c r="AO49" s="364" t="str">
        <f t="shared" si="16"/>
        <v/>
      </c>
      <c r="AP49" s="364" t="str">
        <f t="shared" si="16"/>
        <v/>
      </c>
      <c r="AQ49" s="364" t="str">
        <f t="shared" si="16"/>
        <v/>
      </c>
      <c r="AR49" s="364" t="str">
        <f t="shared" si="16"/>
        <v/>
      </c>
      <c r="AS49" s="402" t="str">
        <f t="shared" si="16"/>
        <v/>
      </c>
      <c r="AT49" s="402" t="str">
        <f t="shared" si="16"/>
        <v/>
      </c>
      <c r="AU49" s="402" t="str">
        <f t="shared" si="16"/>
        <v/>
      </c>
      <c r="AV49" s="364" t="str">
        <f t="shared" si="16"/>
        <v/>
      </c>
      <c r="AW49" s="363" t="str">
        <f t="shared" si="16"/>
        <v/>
      </c>
      <c r="AX49" s="363" t="str">
        <f t="shared" si="16"/>
        <v/>
      </c>
      <c r="AY49" s="366" t="str">
        <f t="shared" si="16"/>
        <v/>
      </c>
      <c r="AZ49" s="366" t="str">
        <f t="shared" si="16"/>
        <v/>
      </c>
      <c r="BA49" s="431" t="str">
        <f t="shared" si="16"/>
        <v/>
      </c>
      <c r="BB49" s="366" t="str">
        <f t="shared" si="16"/>
        <v/>
      </c>
      <c r="BC49" s="436" t="str">
        <f t="shared" si="16"/>
        <v/>
      </c>
      <c r="BD49"/>
      <c r="BE49"/>
      <c r="BF49"/>
      <c r="BG49"/>
      <c r="BH49"/>
      <c r="BI49"/>
      <c r="BJ49"/>
      <c r="BK49"/>
      <c r="BL49"/>
      <c r="BM49"/>
      <c r="BN49"/>
      <c r="BO49"/>
      <c r="BP49"/>
    </row>
    <row r="50" spans="1:68" s="126" customFormat="1" ht="24" customHeight="1">
      <c r="A50" s="359" t="s">
        <v>1652</v>
      </c>
      <c r="B50" s="218"/>
      <c r="C50" s="218" t="s">
        <v>1650</v>
      </c>
      <c r="D50" s="371">
        <f>⑤CP구성!$S$78</f>
        <v>46631</v>
      </c>
      <c r="E50" s="371">
        <f>⑤CP구성!$V$80</f>
        <v>47781.2</v>
      </c>
      <c r="F50" s="372">
        <f>$E50-$D50+1</f>
        <v>1151.1999999999971</v>
      </c>
      <c r="G50" s="372"/>
      <c r="H50" s="372"/>
      <c r="I50" s="404" t="str">
        <f t="shared" si="18"/>
        <v/>
      </c>
      <c r="J50" s="404" t="str">
        <f t="shared" si="18"/>
        <v/>
      </c>
      <c r="K50" s="404" t="str">
        <f t="shared" si="18"/>
        <v/>
      </c>
      <c r="L50" s="363" t="str">
        <f t="shared" si="18"/>
        <v/>
      </c>
      <c r="M50" s="364" t="str">
        <f t="shared" si="18"/>
        <v/>
      </c>
      <c r="N50" s="364" t="str">
        <f t="shared" si="18"/>
        <v/>
      </c>
      <c r="O50" s="364" t="str">
        <f t="shared" si="18"/>
        <v/>
      </c>
      <c r="P50" s="364" t="str">
        <f t="shared" si="18"/>
        <v/>
      </c>
      <c r="Q50" s="364" t="str">
        <f t="shared" si="18"/>
        <v/>
      </c>
      <c r="R50" s="364" t="str">
        <f t="shared" si="18"/>
        <v>■</v>
      </c>
      <c r="S50" s="364" t="str">
        <f t="shared" si="18"/>
        <v>■</v>
      </c>
      <c r="T50" s="364" t="str">
        <f t="shared" si="18"/>
        <v>■</v>
      </c>
      <c r="U50" s="402" t="str">
        <f t="shared" si="18"/>
        <v/>
      </c>
      <c r="V50" s="402" t="str">
        <f t="shared" si="18"/>
        <v/>
      </c>
      <c r="W50" s="402" t="str">
        <f t="shared" si="18"/>
        <v/>
      </c>
      <c r="X50" s="364" t="str">
        <f t="shared" si="17"/>
        <v>■</v>
      </c>
      <c r="Y50" s="364" t="str">
        <f t="shared" si="15"/>
        <v>■</v>
      </c>
      <c r="Z50" s="364" t="str">
        <f t="shared" si="15"/>
        <v>■</v>
      </c>
      <c r="AA50" s="364" t="str">
        <f t="shared" si="15"/>
        <v>■</v>
      </c>
      <c r="AB50" s="364" t="str">
        <f t="shared" si="15"/>
        <v>■</v>
      </c>
      <c r="AC50" s="364" t="str">
        <f t="shared" si="15"/>
        <v>■</v>
      </c>
      <c r="AD50" s="364" t="str">
        <f t="shared" si="15"/>
        <v>■</v>
      </c>
      <c r="AE50" s="364" t="str">
        <f t="shared" si="15"/>
        <v>■</v>
      </c>
      <c r="AF50" s="364" t="str">
        <f t="shared" si="15"/>
        <v>■</v>
      </c>
      <c r="AG50" s="402" t="str">
        <f t="shared" si="15"/>
        <v/>
      </c>
      <c r="AH50" s="402" t="str">
        <f t="shared" si="15"/>
        <v/>
      </c>
      <c r="AI50" s="402" t="str">
        <f t="shared" si="15"/>
        <v/>
      </c>
      <c r="AJ50" s="364" t="str">
        <f t="shared" si="15"/>
        <v>■</v>
      </c>
      <c r="AK50" s="364" t="str">
        <f t="shared" si="15"/>
        <v>■</v>
      </c>
      <c r="AL50" s="364" t="str">
        <f t="shared" si="15"/>
        <v>■</v>
      </c>
      <c r="AM50" s="364" t="str">
        <f t="shared" si="15"/>
        <v>■</v>
      </c>
      <c r="AN50" s="364" t="str">
        <f t="shared" si="15"/>
        <v>■</v>
      </c>
      <c r="AO50" s="364" t="str">
        <f t="shared" si="16"/>
        <v>■</v>
      </c>
      <c r="AP50" s="364" t="str">
        <f t="shared" si="16"/>
        <v>■</v>
      </c>
      <c r="AQ50" s="364" t="str">
        <f t="shared" si="16"/>
        <v>■</v>
      </c>
      <c r="AR50" s="364" t="str">
        <f t="shared" si="16"/>
        <v>■</v>
      </c>
      <c r="AS50" s="402" t="str">
        <f t="shared" si="16"/>
        <v/>
      </c>
      <c r="AT50" s="402" t="str">
        <f t="shared" si="16"/>
        <v/>
      </c>
      <c r="AU50" s="402" t="str">
        <f t="shared" si="16"/>
        <v/>
      </c>
      <c r="AV50" s="364" t="str">
        <f t="shared" si="16"/>
        <v>■</v>
      </c>
      <c r="AW50" s="363" t="str">
        <f t="shared" si="16"/>
        <v>■</v>
      </c>
      <c r="AX50" s="363" t="str">
        <f t="shared" si="16"/>
        <v>■</v>
      </c>
      <c r="AY50" s="363" t="str">
        <f t="shared" si="16"/>
        <v>■</v>
      </c>
      <c r="AZ50" s="363" t="str">
        <f t="shared" si="16"/>
        <v>■</v>
      </c>
      <c r="BA50" s="431" t="str">
        <f t="shared" si="16"/>
        <v>■</v>
      </c>
      <c r="BB50" s="366" t="str">
        <f t="shared" si="16"/>
        <v>■</v>
      </c>
      <c r="BC50" s="436" t="str">
        <f t="shared" si="16"/>
        <v>■</v>
      </c>
      <c r="BD50"/>
      <c r="BE50"/>
      <c r="BF50"/>
      <c r="BG50"/>
      <c r="BH50"/>
      <c r="BI50"/>
      <c r="BJ50"/>
      <c r="BK50"/>
      <c r="BL50"/>
      <c r="BM50"/>
      <c r="BN50"/>
      <c r="BO50"/>
      <c r="BP50"/>
    </row>
    <row r="51" spans="1:68" s="126" customFormat="1" ht="24" customHeight="1">
      <c r="A51" s="359" t="str">
        <f>⑤CP구성!$C60</f>
        <v>노동리·우정리</v>
      </c>
      <c r="B51" s="370">
        <f>⑤CP구성!$B60</f>
        <v>41</v>
      </c>
      <c r="C51" s="370" t="str">
        <f>⑤CP구성!$D60</f>
        <v>관로공 - 토공</v>
      </c>
      <c r="D51" s="361">
        <f>⑤CP구성!$S60</f>
        <v>46631</v>
      </c>
      <c r="E51" s="361">
        <f>⑤CP구성!$V60</f>
        <v>47444.7</v>
      </c>
      <c r="F51" s="362">
        <f>⑤CP구성!$W60</f>
        <v>814.69999999999709</v>
      </c>
      <c r="G51" s="362">
        <f>⑤CP구성!$L60</f>
        <v>1</v>
      </c>
      <c r="H51" s="362">
        <f>⑤CP구성!$M60</f>
        <v>633.70000000000005</v>
      </c>
      <c r="I51" s="406" t="str">
        <f t="shared" si="18"/>
        <v/>
      </c>
      <c r="J51" s="404" t="str">
        <f t="shared" si="18"/>
        <v/>
      </c>
      <c r="K51" s="404" t="str">
        <f t="shared" si="18"/>
        <v/>
      </c>
      <c r="L51" s="368" t="str">
        <f t="shared" si="18"/>
        <v/>
      </c>
      <c r="M51" s="368" t="str">
        <f t="shared" si="18"/>
        <v/>
      </c>
      <c r="N51" s="368" t="str">
        <f t="shared" si="18"/>
        <v/>
      </c>
      <c r="O51" s="367" t="str">
        <f t="shared" si="18"/>
        <v/>
      </c>
      <c r="P51" s="363" t="str">
        <f t="shared" si="18"/>
        <v/>
      </c>
      <c r="Q51" s="363" t="str">
        <f t="shared" si="18"/>
        <v/>
      </c>
      <c r="R51" s="363" t="str">
        <f t="shared" si="18"/>
        <v>■</v>
      </c>
      <c r="S51" s="363" t="str">
        <f t="shared" si="18"/>
        <v>■</v>
      </c>
      <c r="T51" s="363" t="str">
        <f t="shared" si="18"/>
        <v>■</v>
      </c>
      <c r="U51" s="402" t="str">
        <f t="shared" si="18"/>
        <v/>
      </c>
      <c r="V51" s="402" t="str">
        <f t="shared" si="18"/>
        <v/>
      </c>
      <c r="W51" s="402" t="str">
        <f t="shared" si="18"/>
        <v/>
      </c>
      <c r="X51" s="363" t="str">
        <f t="shared" si="17"/>
        <v>■</v>
      </c>
      <c r="Y51" s="363" t="str">
        <f t="shared" si="15"/>
        <v>■</v>
      </c>
      <c r="Z51" s="363" t="str">
        <f t="shared" si="15"/>
        <v>■</v>
      </c>
      <c r="AA51" s="363" t="str">
        <f t="shared" si="15"/>
        <v>■</v>
      </c>
      <c r="AB51" s="363" t="str">
        <f t="shared" si="15"/>
        <v>■</v>
      </c>
      <c r="AC51" s="363" t="str">
        <f t="shared" si="15"/>
        <v>■</v>
      </c>
      <c r="AD51" s="363" t="str">
        <f t="shared" si="15"/>
        <v>■</v>
      </c>
      <c r="AE51" s="363" t="str">
        <f t="shared" si="15"/>
        <v>■</v>
      </c>
      <c r="AF51" s="368" t="str">
        <f t="shared" si="15"/>
        <v>■</v>
      </c>
      <c r="AG51" s="402" t="str">
        <f t="shared" si="15"/>
        <v/>
      </c>
      <c r="AH51" s="402" t="str">
        <f t="shared" si="15"/>
        <v/>
      </c>
      <c r="AI51" s="402" t="str">
        <f t="shared" si="15"/>
        <v/>
      </c>
      <c r="AJ51" s="368" t="str">
        <f t="shared" si="15"/>
        <v>■</v>
      </c>
      <c r="AK51" s="368" t="str">
        <f t="shared" si="15"/>
        <v>■</v>
      </c>
      <c r="AL51" s="364" t="str">
        <f t="shared" si="15"/>
        <v>■</v>
      </c>
      <c r="AM51" s="364" t="str">
        <f t="shared" si="15"/>
        <v>■</v>
      </c>
      <c r="AN51" s="364" t="str">
        <f t="shared" si="15"/>
        <v>■</v>
      </c>
      <c r="AO51" s="364" t="str">
        <f t="shared" si="16"/>
        <v>■</v>
      </c>
      <c r="AP51" s="364" t="str">
        <f t="shared" si="16"/>
        <v>■</v>
      </c>
      <c r="AQ51" s="364" t="str">
        <f t="shared" si="16"/>
        <v>■</v>
      </c>
      <c r="AR51" s="364" t="str">
        <f t="shared" si="16"/>
        <v>■</v>
      </c>
      <c r="AS51" s="402" t="str">
        <f t="shared" si="16"/>
        <v/>
      </c>
      <c r="AT51" s="402" t="str">
        <f t="shared" si="16"/>
        <v/>
      </c>
      <c r="AU51" s="402" t="str">
        <f t="shared" si="16"/>
        <v/>
      </c>
      <c r="AV51" s="364" t="str">
        <f t="shared" si="16"/>
        <v/>
      </c>
      <c r="AW51" s="363" t="str">
        <f t="shared" si="16"/>
        <v/>
      </c>
      <c r="AX51" s="363" t="str">
        <f t="shared" si="16"/>
        <v/>
      </c>
      <c r="AY51" s="366" t="str">
        <f t="shared" si="16"/>
        <v/>
      </c>
      <c r="AZ51" s="366" t="str">
        <f t="shared" si="16"/>
        <v/>
      </c>
      <c r="BA51" s="431" t="str">
        <f t="shared" si="16"/>
        <v/>
      </c>
      <c r="BB51" s="366" t="str">
        <f t="shared" si="16"/>
        <v/>
      </c>
      <c r="BC51" s="436" t="str">
        <f t="shared" si="16"/>
        <v/>
      </c>
      <c r="BD51"/>
      <c r="BE51" s="126">
        <f>⑤CP구성!$AF60</f>
        <v>0</v>
      </c>
      <c r="BF51"/>
      <c r="BG51"/>
      <c r="BH51"/>
      <c r="BI51"/>
      <c r="BJ51"/>
      <c r="BK51"/>
      <c r="BL51"/>
      <c r="BM51"/>
      <c r="BN51"/>
      <c r="BO51"/>
      <c r="BP51"/>
    </row>
    <row r="52" spans="1:68" s="126" customFormat="1" ht="24" customHeight="1">
      <c r="A52" s="359" t="str">
        <f>⑤CP구성!$C61</f>
        <v>노동리·우정리</v>
      </c>
      <c r="B52" s="368">
        <f>⑤CP구성!$B61</f>
        <v>42</v>
      </c>
      <c r="C52" s="368" t="str">
        <f>⑤CP구성!$D61</f>
        <v>관로공 - 가시설(간이흙막이)</v>
      </c>
      <c r="D52" s="361">
        <f>⑤CP구성!$S61</f>
        <v>46823</v>
      </c>
      <c r="E52" s="361">
        <f>⑤CP구성!$V61</f>
        <v>47444.7</v>
      </c>
      <c r="F52" s="362">
        <f>⑤CP구성!$W61</f>
        <v>622.69999999999709</v>
      </c>
      <c r="G52" s="362">
        <f>⑤CP구성!$L61</f>
        <v>102</v>
      </c>
      <c r="H52" s="362">
        <f>⑤CP구성!$M61</f>
        <v>633.70000000000005</v>
      </c>
      <c r="I52" s="404" t="str">
        <f t="shared" si="18"/>
        <v/>
      </c>
      <c r="J52" s="404" t="str">
        <f t="shared" si="18"/>
        <v/>
      </c>
      <c r="K52" s="404" t="str">
        <f t="shared" si="18"/>
        <v/>
      </c>
      <c r="L52" s="363" t="str">
        <f t="shared" si="18"/>
        <v/>
      </c>
      <c r="M52" s="364" t="str">
        <f t="shared" si="18"/>
        <v/>
      </c>
      <c r="N52" s="364" t="str">
        <f t="shared" si="18"/>
        <v/>
      </c>
      <c r="O52" s="364" t="str">
        <f t="shared" si="18"/>
        <v/>
      </c>
      <c r="P52" s="364" t="str">
        <f t="shared" si="18"/>
        <v/>
      </c>
      <c r="Q52" s="364" t="str">
        <f t="shared" si="18"/>
        <v/>
      </c>
      <c r="R52" s="364" t="str">
        <f t="shared" si="18"/>
        <v/>
      </c>
      <c r="S52" s="364" t="str">
        <f t="shared" si="18"/>
        <v/>
      </c>
      <c r="T52" s="364" t="str">
        <f t="shared" si="18"/>
        <v/>
      </c>
      <c r="U52" s="402" t="str">
        <f t="shared" si="18"/>
        <v/>
      </c>
      <c r="V52" s="402" t="str">
        <f t="shared" si="18"/>
        <v/>
      </c>
      <c r="W52" s="402" t="str">
        <f t="shared" si="18"/>
        <v/>
      </c>
      <c r="X52" s="364" t="str">
        <f t="shared" si="17"/>
        <v>■</v>
      </c>
      <c r="Y52" s="364" t="str">
        <f t="shared" si="15"/>
        <v>■</v>
      </c>
      <c r="Z52" s="364" t="str">
        <f t="shared" si="15"/>
        <v>■</v>
      </c>
      <c r="AA52" s="364" t="str">
        <f t="shared" si="15"/>
        <v>■</v>
      </c>
      <c r="AB52" s="364" t="str">
        <f t="shared" si="15"/>
        <v>■</v>
      </c>
      <c r="AC52" s="364" t="str">
        <f t="shared" si="15"/>
        <v>■</v>
      </c>
      <c r="AD52" s="364" t="str">
        <f t="shared" si="15"/>
        <v>■</v>
      </c>
      <c r="AE52" s="364" t="str">
        <f t="shared" si="15"/>
        <v>■</v>
      </c>
      <c r="AF52" s="364" t="str">
        <f t="shared" si="15"/>
        <v>■</v>
      </c>
      <c r="AG52" s="402" t="str">
        <f t="shared" si="15"/>
        <v/>
      </c>
      <c r="AH52" s="402" t="str">
        <f t="shared" si="15"/>
        <v/>
      </c>
      <c r="AI52" s="402" t="str">
        <f t="shared" si="15"/>
        <v/>
      </c>
      <c r="AJ52" s="364" t="str">
        <f t="shared" si="15"/>
        <v>■</v>
      </c>
      <c r="AK52" s="364" t="str">
        <f t="shared" si="15"/>
        <v>■</v>
      </c>
      <c r="AL52" s="364" t="str">
        <f t="shared" si="15"/>
        <v>■</v>
      </c>
      <c r="AM52" s="364" t="str">
        <f t="shared" si="15"/>
        <v>■</v>
      </c>
      <c r="AN52" s="364" t="str">
        <f t="shared" ref="AN52:BC67" si="19">IF($D52="","",IF(AND($D52&lt;=EOMONTH(AN$5,0),$E52&gt;=AN$5),IF(AND(AN$2="중지",$BE52&lt;&gt;"Y"),"","■"),""))</f>
        <v>■</v>
      </c>
      <c r="AO52" s="364" t="str">
        <f t="shared" si="16"/>
        <v>■</v>
      </c>
      <c r="AP52" s="364" t="str">
        <f t="shared" si="16"/>
        <v>■</v>
      </c>
      <c r="AQ52" s="364" t="str">
        <f t="shared" si="16"/>
        <v>■</v>
      </c>
      <c r="AR52" s="364" t="str">
        <f t="shared" si="16"/>
        <v>■</v>
      </c>
      <c r="AS52" s="402" t="str">
        <f t="shared" si="16"/>
        <v/>
      </c>
      <c r="AT52" s="402" t="str">
        <f t="shared" si="16"/>
        <v/>
      </c>
      <c r="AU52" s="402" t="str">
        <f t="shared" si="16"/>
        <v/>
      </c>
      <c r="AV52" s="364" t="str">
        <f t="shared" si="16"/>
        <v/>
      </c>
      <c r="AW52" s="363" t="str">
        <f t="shared" si="16"/>
        <v/>
      </c>
      <c r="AX52" s="363" t="str">
        <f t="shared" si="16"/>
        <v/>
      </c>
      <c r="AY52" s="366" t="str">
        <f t="shared" si="16"/>
        <v/>
      </c>
      <c r="AZ52" s="366" t="str">
        <f t="shared" si="16"/>
        <v/>
      </c>
      <c r="BA52" s="431" t="str">
        <f t="shared" si="16"/>
        <v/>
      </c>
      <c r="BB52" s="366" t="str">
        <f t="shared" si="16"/>
        <v/>
      </c>
      <c r="BC52" s="436" t="str">
        <f t="shared" si="16"/>
        <v/>
      </c>
      <c r="BD52"/>
      <c r="BE52" s="126">
        <f>⑤CP구성!$AF61</f>
        <v>0</v>
      </c>
      <c r="BF52"/>
      <c r="BG52"/>
      <c r="BH52"/>
      <c r="BI52"/>
      <c r="BJ52"/>
      <c r="BK52"/>
      <c r="BL52"/>
      <c r="BM52"/>
      <c r="BN52"/>
      <c r="BO52"/>
      <c r="BP52"/>
    </row>
    <row r="53" spans="1:68" s="126" customFormat="1" ht="24" customHeight="1">
      <c r="A53" s="359" t="str">
        <f>⑤CP구성!$C62</f>
        <v>노동리·우정리</v>
      </c>
      <c r="B53" s="368">
        <f>⑤CP구성!$B62</f>
        <v>43</v>
      </c>
      <c r="C53" s="368" t="str">
        <f>⑤CP구성!$D62</f>
        <v>관로공 - 가시설(SHEET-PILE)</v>
      </c>
      <c r="D53" s="361">
        <f>⑤CP구성!$S62</f>
        <v>46888</v>
      </c>
      <c r="E53" s="361">
        <f>⑤CP구성!$V62</f>
        <v>47444.7</v>
      </c>
      <c r="F53" s="362">
        <f>⑤CP구성!$W62</f>
        <v>557.69999999999709</v>
      </c>
      <c r="G53" s="362">
        <f>⑤CP구성!$L62</f>
        <v>167</v>
      </c>
      <c r="H53" s="362">
        <f>⑤CP구성!$M62</f>
        <v>633.70000000000005</v>
      </c>
      <c r="I53" s="404" t="str">
        <f t="shared" si="18"/>
        <v/>
      </c>
      <c r="J53" s="404" t="str">
        <f t="shared" si="18"/>
        <v/>
      </c>
      <c r="K53" s="404" t="str">
        <f t="shared" si="18"/>
        <v/>
      </c>
      <c r="L53" s="363" t="str">
        <f t="shared" si="18"/>
        <v/>
      </c>
      <c r="M53" s="364" t="str">
        <f t="shared" si="18"/>
        <v/>
      </c>
      <c r="N53" s="364" t="str">
        <f t="shared" si="18"/>
        <v/>
      </c>
      <c r="O53" s="364" t="str">
        <f t="shared" si="18"/>
        <v/>
      </c>
      <c r="P53" s="364" t="str">
        <f t="shared" si="18"/>
        <v/>
      </c>
      <c r="Q53" s="364" t="str">
        <f t="shared" si="18"/>
        <v/>
      </c>
      <c r="R53" s="364" t="str">
        <f t="shared" si="18"/>
        <v/>
      </c>
      <c r="S53" s="364" t="str">
        <f t="shared" si="18"/>
        <v/>
      </c>
      <c r="T53" s="364" t="str">
        <f t="shared" si="18"/>
        <v/>
      </c>
      <c r="U53" s="402" t="str">
        <f t="shared" si="18"/>
        <v/>
      </c>
      <c r="V53" s="402" t="str">
        <f t="shared" si="18"/>
        <v/>
      </c>
      <c r="W53" s="402" t="str">
        <f t="shared" si="18"/>
        <v/>
      </c>
      <c r="X53" s="364" t="str">
        <f t="shared" si="17"/>
        <v/>
      </c>
      <c r="Y53" s="364" t="str">
        <f t="shared" si="17"/>
        <v/>
      </c>
      <c r="Z53" s="364" t="str">
        <f t="shared" si="17"/>
        <v>■</v>
      </c>
      <c r="AA53" s="364" t="str">
        <f t="shared" si="17"/>
        <v>■</v>
      </c>
      <c r="AB53" s="364" t="str">
        <f t="shared" si="17"/>
        <v>■</v>
      </c>
      <c r="AC53" s="364" t="str">
        <f t="shared" si="17"/>
        <v>■</v>
      </c>
      <c r="AD53" s="364" t="str">
        <f t="shared" si="17"/>
        <v>■</v>
      </c>
      <c r="AE53" s="364" t="str">
        <f t="shared" si="17"/>
        <v>■</v>
      </c>
      <c r="AF53" s="364" t="str">
        <f t="shared" si="17"/>
        <v>■</v>
      </c>
      <c r="AG53" s="402" t="str">
        <f t="shared" si="17"/>
        <v/>
      </c>
      <c r="AH53" s="402" t="str">
        <f t="shared" si="17"/>
        <v/>
      </c>
      <c r="AI53" s="402" t="str">
        <f t="shared" si="17"/>
        <v/>
      </c>
      <c r="AJ53" s="364" t="str">
        <f t="shared" si="17"/>
        <v>■</v>
      </c>
      <c r="AK53" s="364" t="str">
        <f t="shared" si="17"/>
        <v>■</v>
      </c>
      <c r="AL53" s="364" t="str">
        <f t="shared" si="17"/>
        <v>■</v>
      </c>
      <c r="AM53" s="364" t="str">
        <f t="shared" si="17"/>
        <v>■</v>
      </c>
      <c r="AN53" s="364" t="str">
        <f t="shared" si="19"/>
        <v>■</v>
      </c>
      <c r="AO53" s="364" t="str">
        <f t="shared" si="19"/>
        <v>■</v>
      </c>
      <c r="AP53" s="364" t="str">
        <f t="shared" si="19"/>
        <v>■</v>
      </c>
      <c r="AQ53" s="364" t="str">
        <f t="shared" si="19"/>
        <v>■</v>
      </c>
      <c r="AR53" s="364" t="str">
        <f t="shared" si="19"/>
        <v>■</v>
      </c>
      <c r="AS53" s="402" t="str">
        <f t="shared" si="19"/>
        <v/>
      </c>
      <c r="AT53" s="402" t="str">
        <f t="shared" si="19"/>
        <v/>
      </c>
      <c r="AU53" s="402" t="str">
        <f t="shared" si="19"/>
        <v/>
      </c>
      <c r="AV53" s="364" t="str">
        <f t="shared" si="19"/>
        <v/>
      </c>
      <c r="AW53" s="365" t="str">
        <f t="shared" si="19"/>
        <v/>
      </c>
      <c r="AX53" s="363" t="str">
        <f t="shared" si="19"/>
        <v/>
      </c>
      <c r="AY53" s="366" t="str">
        <f t="shared" si="19"/>
        <v/>
      </c>
      <c r="AZ53" s="366" t="str">
        <f t="shared" si="19"/>
        <v/>
      </c>
      <c r="BA53" s="431" t="str">
        <f t="shared" si="19"/>
        <v/>
      </c>
      <c r="BB53" s="366" t="str">
        <f t="shared" si="19"/>
        <v/>
      </c>
      <c r="BC53" s="436" t="str">
        <f t="shared" si="19"/>
        <v/>
      </c>
      <c r="BD53"/>
      <c r="BE53" s="126">
        <f>⑤CP구성!$AF62</f>
        <v>0</v>
      </c>
      <c r="BF53"/>
      <c r="BG53"/>
      <c r="BH53"/>
      <c r="BI53"/>
      <c r="BJ53"/>
      <c r="BK53"/>
      <c r="BL53"/>
      <c r="BM53"/>
      <c r="BN53"/>
      <c r="BO53"/>
      <c r="BP53"/>
    </row>
    <row r="54" spans="1:68" s="126" customFormat="1" ht="24" customHeight="1">
      <c r="A54" s="359" t="str">
        <f>⑤CP구성!$C63</f>
        <v>노동리·우정리</v>
      </c>
      <c r="B54" s="370">
        <f>⑤CP구성!$B63</f>
        <v>44</v>
      </c>
      <c r="C54" s="370" t="str">
        <f>⑤CP구성!$D63</f>
        <v>관로공 - 맨홀펌프장 가시설</v>
      </c>
      <c r="D54" s="361">
        <f>⑤CP구성!$S63</f>
        <v>47008</v>
      </c>
      <c r="E54" s="361">
        <f>⑤CP구성!$V63</f>
        <v>47444.7</v>
      </c>
      <c r="F54" s="362">
        <f>⑤CP구성!$W63</f>
        <v>437.69999999999709</v>
      </c>
      <c r="G54" s="362">
        <f>⑤CP구성!$L63</f>
        <v>287</v>
      </c>
      <c r="H54" s="362">
        <f>⑤CP구성!$M63</f>
        <v>633.70000000000005</v>
      </c>
      <c r="I54" s="406" t="str">
        <f t="shared" si="18"/>
        <v/>
      </c>
      <c r="J54" s="404" t="str">
        <f t="shared" si="18"/>
        <v/>
      </c>
      <c r="K54" s="404" t="str">
        <f t="shared" si="18"/>
        <v/>
      </c>
      <c r="L54" s="368" t="str">
        <f t="shared" si="18"/>
        <v/>
      </c>
      <c r="M54" s="368" t="str">
        <f t="shared" si="18"/>
        <v/>
      </c>
      <c r="N54" s="368" t="str">
        <f t="shared" si="18"/>
        <v/>
      </c>
      <c r="O54" s="367" t="str">
        <f t="shared" si="18"/>
        <v/>
      </c>
      <c r="P54" s="363" t="str">
        <f t="shared" si="18"/>
        <v/>
      </c>
      <c r="Q54" s="363" t="str">
        <f t="shared" si="18"/>
        <v/>
      </c>
      <c r="R54" s="363" t="str">
        <f t="shared" si="18"/>
        <v/>
      </c>
      <c r="S54" s="363" t="str">
        <f t="shared" si="18"/>
        <v/>
      </c>
      <c r="T54" s="363" t="str">
        <f t="shared" si="18"/>
        <v/>
      </c>
      <c r="U54" s="402" t="str">
        <f t="shared" si="18"/>
        <v/>
      </c>
      <c r="V54" s="402" t="str">
        <f t="shared" si="18"/>
        <v/>
      </c>
      <c r="W54" s="402" t="str">
        <f t="shared" si="18"/>
        <v/>
      </c>
      <c r="X54" s="363" t="str">
        <f t="shared" si="18"/>
        <v/>
      </c>
      <c r="Y54" s="363" t="str">
        <f t="shared" ref="Y54:AN69" si="20">IF($D54="","",IF(AND($D54&lt;=EOMONTH(Y$5,0),$E54&gt;=Y$5),IF(AND(Y$2="중지",$BE54&lt;&gt;"Y"),"","■"),""))</f>
        <v/>
      </c>
      <c r="Z54" s="363" t="str">
        <f t="shared" si="20"/>
        <v/>
      </c>
      <c r="AA54" s="363" t="str">
        <f t="shared" si="20"/>
        <v/>
      </c>
      <c r="AB54" s="363" t="str">
        <f t="shared" si="20"/>
        <v/>
      </c>
      <c r="AC54" s="363" t="str">
        <f t="shared" si="20"/>
        <v/>
      </c>
      <c r="AD54" s="368" t="str">
        <f t="shared" si="20"/>
        <v>■</v>
      </c>
      <c r="AE54" s="368" t="str">
        <f t="shared" si="20"/>
        <v>■</v>
      </c>
      <c r="AF54" s="368" t="str">
        <f t="shared" si="20"/>
        <v>■</v>
      </c>
      <c r="AG54" s="402" t="str">
        <f t="shared" si="20"/>
        <v/>
      </c>
      <c r="AH54" s="402" t="str">
        <f t="shared" si="20"/>
        <v/>
      </c>
      <c r="AI54" s="402" t="str">
        <f t="shared" si="20"/>
        <v/>
      </c>
      <c r="AJ54" s="363" t="str">
        <f t="shared" si="20"/>
        <v>■</v>
      </c>
      <c r="AK54" s="363" t="str">
        <f t="shared" si="20"/>
        <v>■</v>
      </c>
      <c r="AL54" s="363" t="str">
        <f t="shared" si="20"/>
        <v>■</v>
      </c>
      <c r="AM54" s="364" t="str">
        <f t="shared" si="20"/>
        <v>■</v>
      </c>
      <c r="AN54" s="364" t="str">
        <f t="shared" si="19"/>
        <v>■</v>
      </c>
      <c r="AO54" s="364" t="str">
        <f t="shared" si="19"/>
        <v>■</v>
      </c>
      <c r="AP54" s="364" t="str">
        <f t="shared" si="19"/>
        <v>■</v>
      </c>
      <c r="AQ54" s="364" t="str">
        <f t="shared" si="19"/>
        <v>■</v>
      </c>
      <c r="AR54" s="364" t="str">
        <f t="shared" si="19"/>
        <v>■</v>
      </c>
      <c r="AS54" s="402" t="str">
        <f t="shared" si="19"/>
        <v/>
      </c>
      <c r="AT54" s="402" t="str">
        <f t="shared" si="19"/>
        <v/>
      </c>
      <c r="AU54" s="402" t="str">
        <f t="shared" si="19"/>
        <v/>
      </c>
      <c r="AV54" s="364" t="str">
        <f t="shared" si="19"/>
        <v/>
      </c>
      <c r="AW54" s="363" t="str">
        <f t="shared" si="19"/>
        <v/>
      </c>
      <c r="AX54" s="363" t="str">
        <f t="shared" si="19"/>
        <v/>
      </c>
      <c r="AY54" s="366" t="str">
        <f t="shared" si="19"/>
        <v/>
      </c>
      <c r="AZ54" s="366" t="str">
        <f t="shared" si="19"/>
        <v/>
      </c>
      <c r="BA54" s="431" t="str">
        <f t="shared" si="19"/>
        <v/>
      </c>
      <c r="BB54" s="366" t="str">
        <f t="shared" si="19"/>
        <v/>
      </c>
      <c r="BC54" s="436" t="str">
        <f t="shared" si="19"/>
        <v/>
      </c>
      <c r="BD54"/>
      <c r="BE54" s="126">
        <f>⑤CP구성!$AF63</f>
        <v>0</v>
      </c>
      <c r="BF54"/>
      <c r="BG54"/>
      <c r="BH54"/>
      <c r="BI54"/>
      <c r="BJ54"/>
      <c r="BK54"/>
      <c r="BL54"/>
      <c r="BM54"/>
      <c r="BN54"/>
      <c r="BO54"/>
      <c r="BP54"/>
    </row>
    <row r="55" spans="1:68" s="126" customFormat="1" ht="24" customHeight="1">
      <c r="A55" s="359" t="str">
        <f>⑤CP구성!$C64</f>
        <v>노동리·우정리</v>
      </c>
      <c r="B55" s="368">
        <f>⑤CP구성!$B64</f>
        <v>45</v>
      </c>
      <c r="C55" s="368" t="str">
        <f>⑤CP구성!$D64</f>
        <v>관로공 - 관 부설</v>
      </c>
      <c r="D55" s="361">
        <f>⑤CP구성!$S64</f>
        <v>47178</v>
      </c>
      <c r="E55" s="361">
        <f>⑤CP구성!$V64</f>
        <v>47314.7</v>
      </c>
      <c r="F55" s="362">
        <f>⑤CP구성!$W64</f>
        <v>137.69999999999709</v>
      </c>
      <c r="G55" s="362">
        <f>⑤CP구성!$L64</f>
        <v>367</v>
      </c>
      <c r="H55" s="362">
        <f>⑤CP구성!$M64</f>
        <v>503.7</v>
      </c>
      <c r="I55" s="404" t="str">
        <f t="shared" ref="I55:X70" si="21">IF($D55="","",IF(AND($D55&lt;=EOMONTH(I$5,0),$E55&gt;=I$5),IF(AND(I$2="중지",$BE55&lt;&gt;"Y"),"","■"),""))</f>
        <v/>
      </c>
      <c r="J55" s="404" t="str">
        <f t="shared" si="21"/>
        <v/>
      </c>
      <c r="K55" s="404" t="str">
        <f t="shared" si="21"/>
        <v/>
      </c>
      <c r="L55" s="363" t="str">
        <f t="shared" si="21"/>
        <v/>
      </c>
      <c r="M55" s="364" t="str">
        <f t="shared" si="21"/>
        <v/>
      </c>
      <c r="N55" s="364" t="str">
        <f t="shared" si="21"/>
        <v/>
      </c>
      <c r="O55" s="364" t="str">
        <f t="shared" si="21"/>
        <v/>
      </c>
      <c r="P55" s="364" t="str">
        <f t="shared" si="21"/>
        <v/>
      </c>
      <c r="Q55" s="364" t="str">
        <f t="shared" si="21"/>
        <v/>
      </c>
      <c r="R55" s="364" t="str">
        <f t="shared" si="21"/>
        <v/>
      </c>
      <c r="S55" s="364" t="str">
        <f t="shared" si="21"/>
        <v/>
      </c>
      <c r="T55" s="364" t="str">
        <f t="shared" si="21"/>
        <v/>
      </c>
      <c r="U55" s="402" t="str">
        <f t="shared" si="21"/>
        <v/>
      </c>
      <c r="V55" s="402" t="str">
        <f t="shared" si="21"/>
        <v/>
      </c>
      <c r="W55" s="402" t="str">
        <f t="shared" si="21"/>
        <v/>
      </c>
      <c r="X55" s="364" t="str">
        <f t="shared" si="21"/>
        <v/>
      </c>
      <c r="Y55" s="364" t="str">
        <f t="shared" si="20"/>
        <v/>
      </c>
      <c r="Z55" s="364" t="str">
        <f t="shared" si="20"/>
        <v/>
      </c>
      <c r="AA55" s="364" t="str">
        <f t="shared" si="20"/>
        <v/>
      </c>
      <c r="AB55" s="364" t="str">
        <f t="shared" si="20"/>
        <v/>
      </c>
      <c r="AC55" s="364" t="str">
        <f t="shared" si="20"/>
        <v/>
      </c>
      <c r="AD55" s="364" t="str">
        <f t="shared" si="20"/>
        <v/>
      </c>
      <c r="AE55" s="364" t="str">
        <f t="shared" si="20"/>
        <v/>
      </c>
      <c r="AF55" s="364" t="str">
        <f t="shared" si="20"/>
        <v/>
      </c>
      <c r="AG55" s="402" t="str">
        <f t="shared" si="20"/>
        <v/>
      </c>
      <c r="AH55" s="402" t="str">
        <f t="shared" si="20"/>
        <v/>
      </c>
      <c r="AI55" s="402" t="str">
        <f t="shared" si="20"/>
        <v/>
      </c>
      <c r="AJ55" s="364" t="str">
        <f t="shared" si="20"/>
        <v>■</v>
      </c>
      <c r="AK55" s="364" t="str">
        <f t="shared" si="20"/>
        <v>■</v>
      </c>
      <c r="AL55" s="364" t="str">
        <f t="shared" si="20"/>
        <v>■</v>
      </c>
      <c r="AM55" s="364" t="str">
        <f t="shared" si="20"/>
        <v>■</v>
      </c>
      <c r="AN55" s="364" t="str">
        <f t="shared" si="19"/>
        <v>■</v>
      </c>
      <c r="AO55" s="364" t="str">
        <f t="shared" si="19"/>
        <v/>
      </c>
      <c r="AP55" s="364" t="str">
        <f t="shared" si="19"/>
        <v/>
      </c>
      <c r="AQ55" s="364" t="str">
        <f t="shared" si="19"/>
        <v/>
      </c>
      <c r="AR55" s="364" t="str">
        <f t="shared" si="19"/>
        <v/>
      </c>
      <c r="AS55" s="402" t="str">
        <f t="shared" si="19"/>
        <v/>
      </c>
      <c r="AT55" s="402" t="str">
        <f t="shared" si="19"/>
        <v/>
      </c>
      <c r="AU55" s="402" t="str">
        <f t="shared" si="19"/>
        <v/>
      </c>
      <c r="AV55" s="364" t="str">
        <f t="shared" si="19"/>
        <v/>
      </c>
      <c r="AW55" s="363" t="str">
        <f t="shared" si="19"/>
        <v/>
      </c>
      <c r="AX55" s="363" t="str">
        <f t="shared" si="19"/>
        <v/>
      </c>
      <c r="AY55" s="366" t="str">
        <f t="shared" si="19"/>
        <v/>
      </c>
      <c r="AZ55" s="366" t="str">
        <f t="shared" si="19"/>
        <v/>
      </c>
      <c r="BA55" s="431" t="str">
        <f t="shared" si="19"/>
        <v/>
      </c>
      <c r="BB55" s="366" t="str">
        <f t="shared" si="19"/>
        <v/>
      </c>
      <c r="BC55" s="436" t="str">
        <f t="shared" si="19"/>
        <v/>
      </c>
      <c r="BD55"/>
      <c r="BE55" s="126">
        <f>⑤CP구성!$AF64</f>
        <v>0</v>
      </c>
      <c r="BF55"/>
      <c r="BG55"/>
      <c r="BH55"/>
      <c r="BI55"/>
      <c r="BJ55"/>
      <c r="BK55"/>
      <c r="BL55"/>
      <c r="BM55"/>
      <c r="BN55"/>
      <c r="BO55"/>
      <c r="BP55"/>
    </row>
    <row r="56" spans="1:68" s="126" customFormat="1" ht="24" customHeight="1">
      <c r="A56" s="359" t="str">
        <f>⑤CP구성!$C65</f>
        <v>노동리·우정리</v>
      </c>
      <c r="B56" s="368">
        <f>⑤CP구성!$B65</f>
        <v>46</v>
      </c>
      <c r="C56" s="368" t="str">
        <f>⑤CP구성!$D65</f>
        <v>관로공 - 맨홀공</v>
      </c>
      <c r="D56" s="361">
        <f>⑤CP구성!$S65</f>
        <v>47304</v>
      </c>
      <c r="E56" s="361">
        <f>⑤CP구성!$V65</f>
        <v>47444.7</v>
      </c>
      <c r="F56" s="362">
        <f>⑤CP구성!$W65</f>
        <v>141.69999999999709</v>
      </c>
      <c r="G56" s="362">
        <f>⑤CP구성!$L65</f>
        <v>493</v>
      </c>
      <c r="H56" s="362">
        <f>⑤CP구성!$M65</f>
        <v>633.70000000000005</v>
      </c>
      <c r="I56" s="404" t="str">
        <f t="shared" si="21"/>
        <v/>
      </c>
      <c r="J56" s="404" t="str">
        <f t="shared" si="21"/>
        <v/>
      </c>
      <c r="K56" s="404" t="str">
        <f t="shared" si="21"/>
        <v/>
      </c>
      <c r="L56" s="363" t="str">
        <f t="shared" si="21"/>
        <v/>
      </c>
      <c r="M56" s="364" t="str">
        <f t="shared" si="21"/>
        <v/>
      </c>
      <c r="N56" s="364" t="str">
        <f t="shared" si="21"/>
        <v/>
      </c>
      <c r="O56" s="364" t="str">
        <f t="shared" si="21"/>
        <v/>
      </c>
      <c r="P56" s="364" t="str">
        <f t="shared" si="21"/>
        <v/>
      </c>
      <c r="Q56" s="364" t="str">
        <f t="shared" si="21"/>
        <v/>
      </c>
      <c r="R56" s="364" t="str">
        <f t="shared" si="21"/>
        <v/>
      </c>
      <c r="S56" s="364" t="str">
        <f t="shared" si="21"/>
        <v/>
      </c>
      <c r="T56" s="364" t="str">
        <f t="shared" si="21"/>
        <v/>
      </c>
      <c r="U56" s="402" t="str">
        <f t="shared" si="21"/>
        <v/>
      </c>
      <c r="V56" s="402" t="str">
        <f t="shared" si="21"/>
        <v/>
      </c>
      <c r="W56" s="402" t="str">
        <f t="shared" si="21"/>
        <v/>
      </c>
      <c r="X56" s="364" t="str">
        <f t="shared" si="21"/>
        <v/>
      </c>
      <c r="Y56" s="364" t="str">
        <f t="shared" si="20"/>
        <v/>
      </c>
      <c r="Z56" s="364" t="str">
        <f t="shared" si="20"/>
        <v/>
      </c>
      <c r="AA56" s="364" t="str">
        <f t="shared" si="20"/>
        <v/>
      </c>
      <c r="AB56" s="364" t="str">
        <f t="shared" si="20"/>
        <v/>
      </c>
      <c r="AC56" s="364" t="str">
        <f t="shared" si="20"/>
        <v/>
      </c>
      <c r="AD56" s="364" t="str">
        <f t="shared" si="20"/>
        <v/>
      </c>
      <c r="AE56" s="364" t="str">
        <f t="shared" si="20"/>
        <v/>
      </c>
      <c r="AF56" s="364" t="str">
        <f t="shared" si="20"/>
        <v/>
      </c>
      <c r="AG56" s="402" t="str">
        <f t="shared" si="20"/>
        <v/>
      </c>
      <c r="AH56" s="402" t="str">
        <f t="shared" si="20"/>
        <v/>
      </c>
      <c r="AI56" s="402" t="str">
        <f t="shared" si="20"/>
        <v/>
      </c>
      <c r="AJ56" s="364" t="str">
        <f t="shared" si="20"/>
        <v/>
      </c>
      <c r="AK56" s="364" t="str">
        <f t="shared" si="20"/>
        <v/>
      </c>
      <c r="AL56" s="364" t="str">
        <f t="shared" si="20"/>
        <v/>
      </c>
      <c r="AM56" s="364" t="str">
        <f t="shared" si="20"/>
        <v/>
      </c>
      <c r="AN56" s="364" t="str">
        <f t="shared" si="19"/>
        <v>■</v>
      </c>
      <c r="AO56" s="364" t="str">
        <f t="shared" si="19"/>
        <v>■</v>
      </c>
      <c r="AP56" s="364" t="str">
        <f t="shared" si="19"/>
        <v>■</v>
      </c>
      <c r="AQ56" s="364" t="str">
        <f t="shared" si="19"/>
        <v>■</v>
      </c>
      <c r="AR56" s="364" t="str">
        <f t="shared" si="19"/>
        <v>■</v>
      </c>
      <c r="AS56" s="402" t="str">
        <f t="shared" si="19"/>
        <v/>
      </c>
      <c r="AT56" s="402" t="str">
        <f t="shared" si="19"/>
        <v/>
      </c>
      <c r="AU56" s="402" t="str">
        <f t="shared" si="19"/>
        <v/>
      </c>
      <c r="AV56" s="364" t="str">
        <f t="shared" si="19"/>
        <v/>
      </c>
      <c r="AW56" s="363" t="str">
        <f t="shared" si="19"/>
        <v/>
      </c>
      <c r="AX56" s="363" t="str">
        <f t="shared" si="19"/>
        <v/>
      </c>
      <c r="AY56" s="366" t="str">
        <f t="shared" si="19"/>
        <v/>
      </c>
      <c r="AZ56" s="366" t="str">
        <f t="shared" si="19"/>
        <v/>
      </c>
      <c r="BA56" s="431" t="str">
        <f t="shared" si="19"/>
        <v/>
      </c>
      <c r="BB56" s="366" t="str">
        <f t="shared" si="19"/>
        <v/>
      </c>
      <c r="BC56" s="436" t="str">
        <f t="shared" si="19"/>
        <v/>
      </c>
      <c r="BD56"/>
      <c r="BE56" s="126">
        <f>⑤CP구성!$AF65</f>
        <v>0</v>
      </c>
      <c r="BF56"/>
      <c r="BG56"/>
      <c r="BH56"/>
      <c r="BI56"/>
      <c r="BJ56"/>
      <c r="BK56"/>
      <c r="BL56"/>
      <c r="BM56"/>
      <c r="BN56"/>
      <c r="BO56"/>
      <c r="BP56"/>
    </row>
    <row r="57" spans="1:68" s="126" customFormat="1" ht="24" customHeight="1">
      <c r="A57" s="359" t="str">
        <f>⑤CP구성!$C66</f>
        <v>노동리·우정리</v>
      </c>
      <c r="B57" s="370">
        <f>⑤CP구성!$B66</f>
        <v>47</v>
      </c>
      <c r="C57" s="370" t="str">
        <f>⑤CP구성!$D66</f>
        <v>관로공 - 포장 복구</v>
      </c>
      <c r="D57" s="361">
        <f>⑤CP구성!$S66</f>
        <v>47438</v>
      </c>
      <c r="E57" s="361">
        <f>⑤CP구성!$V66</f>
        <v>47699.5</v>
      </c>
      <c r="F57" s="362">
        <f>⑤CP구성!$W66</f>
        <v>262.5</v>
      </c>
      <c r="G57" s="362">
        <f>⑤CP구성!$L66</f>
        <v>627</v>
      </c>
      <c r="H57" s="362">
        <f>⑤CP구성!$M66</f>
        <v>798.5</v>
      </c>
      <c r="I57" s="406" t="str">
        <f t="shared" si="21"/>
        <v/>
      </c>
      <c r="J57" s="404" t="str">
        <f t="shared" si="21"/>
        <v/>
      </c>
      <c r="K57" s="404" t="str">
        <f t="shared" si="21"/>
        <v/>
      </c>
      <c r="L57" s="368" t="str">
        <f t="shared" si="21"/>
        <v/>
      </c>
      <c r="M57" s="368" t="str">
        <f t="shared" si="21"/>
        <v/>
      </c>
      <c r="N57" s="368" t="str">
        <f t="shared" si="21"/>
        <v/>
      </c>
      <c r="O57" s="367" t="str">
        <f t="shared" si="21"/>
        <v/>
      </c>
      <c r="P57" s="363" t="str">
        <f t="shared" si="21"/>
        <v/>
      </c>
      <c r="Q57" s="363" t="str">
        <f t="shared" si="21"/>
        <v/>
      </c>
      <c r="R57" s="363" t="str">
        <f t="shared" si="21"/>
        <v/>
      </c>
      <c r="S57" s="363" t="str">
        <f t="shared" si="21"/>
        <v/>
      </c>
      <c r="T57" s="363" t="str">
        <f t="shared" si="21"/>
        <v/>
      </c>
      <c r="U57" s="402" t="str">
        <f t="shared" si="21"/>
        <v/>
      </c>
      <c r="V57" s="402" t="str">
        <f t="shared" si="21"/>
        <v/>
      </c>
      <c r="W57" s="402" t="str">
        <f t="shared" si="21"/>
        <v/>
      </c>
      <c r="X57" s="363" t="str">
        <f t="shared" si="21"/>
        <v/>
      </c>
      <c r="Y57" s="363" t="str">
        <f t="shared" si="20"/>
        <v/>
      </c>
      <c r="Z57" s="363" t="str">
        <f t="shared" si="20"/>
        <v/>
      </c>
      <c r="AA57" s="363" t="str">
        <f t="shared" si="20"/>
        <v/>
      </c>
      <c r="AB57" s="363" t="str">
        <f t="shared" si="20"/>
        <v/>
      </c>
      <c r="AC57" s="363" t="str">
        <f t="shared" si="20"/>
        <v/>
      </c>
      <c r="AD57" s="363" t="str">
        <f t="shared" si="20"/>
        <v/>
      </c>
      <c r="AE57" s="363" t="str">
        <f t="shared" si="20"/>
        <v/>
      </c>
      <c r="AF57" s="368" t="str">
        <f t="shared" si="20"/>
        <v/>
      </c>
      <c r="AG57" s="402" t="str">
        <f t="shared" si="20"/>
        <v/>
      </c>
      <c r="AH57" s="402" t="str">
        <f t="shared" si="20"/>
        <v/>
      </c>
      <c r="AI57" s="402" t="str">
        <f t="shared" si="20"/>
        <v/>
      </c>
      <c r="AJ57" s="368" t="str">
        <f t="shared" si="20"/>
        <v/>
      </c>
      <c r="AK57" s="368" t="str">
        <f t="shared" si="20"/>
        <v/>
      </c>
      <c r="AL57" s="364" t="str">
        <f t="shared" si="20"/>
        <v/>
      </c>
      <c r="AM57" s="364" t="str">
        <f t="shared" si="20"/>
        <v/>
      </c>
      <c r="AN57" s="364" t="str">
        <f t="shared" si="19"/>
        <v/>
      </c>
      <c r="AO57" s="364" t="str">
        <f t="shared" si="19"/>
        <v/>
      </c>
      <c r="AP57" s="364" t="str">
        <f t="shared" si="19"/>
        <v/>
      </c>
      <c r="AQ57" s="364" t="str">
        <f t="shared" si="19"/>
        <v/>
      </c>
      <c r="AR57" s="364" t="str">
        <f t="shared" si="19"/>
        <v>■</v>
      </c>
      <c r="AS57" s="402" t="str">
        <f t="shared" si="19"/>
        <v/>
      </c>
      <c r="AT57" s="402" t="str">
        <f t="shared" si="19"/>
        <v/>
      </c>
      <c r="AU57" s="402" t="str">
        <f t="shared" si="19"/>
        <v/>
      </c>
      <c r="AV57" s="364" t="str">
        <f t="shared" si="19"/>
        <v>■</v>
      </c>
      <c r="AW57" s="363" t="str">
        <f t="shared" si="19"/>
        <v>■</v>
      </c>
      <c r="AX57" s="363" t="str">
        <f t="shared" si="19"/>
        <v>■</v>
      </c>
      <c r="AY57" s="366" t="str">
        <f t="shared" si="19"/>
        <v>■</v>
      </c>
      <c r="AZ57" s="366" t="str">
        <f t="shared" si="19"/>
        <v>■</v>
      </c>
      <c r="BA57" s="431" t="str">
        <f t="shared" si="19"/>
        <v>■</v>
      </c>
      <c r="BB57" s="366" t="str">
        <f t="shared" si="19"/>
        <v/>
      </c>
      <c r="BC57" s="436" t="str">
        <f t="shared" si="19"/>
        <v/>
      </c>
      <c r="BD57"/>
      <c r="BE57" s="126">
        <f>⑤CP구성!$AF66</f>
        <v>0</v>
      </c>
      <c r="BF57"/>
      <c r="BG57"/>
      <c r="BH57"/>
      <c r="BI57"/>
      <c r="BJ57"/>
      <c r="BK57"/>
      <c r="BL57"/>
      <c r="BM57"/>
      <c r="BN57"/>
      <c r="BO57"/>
      <c r="BP57"/>
    </row>
    <row r="58" spans="1:68" s="126" customFormat="1" ht="24" customHeight="1">
      <c r="A58" s="359" t="str">
        <f>⑤CP구성!$C67</f>
        <v>노동리·우정리</v>
      </c>
      <c r="B58" s="368">
        <f>⑤CP구성!$B67</f>
        <v>48</v>
      </c>
      <c r="C58" s="368" t="str">
        <f>⑤CP구성!$D67</f>
        <v>관로공 - 부대공</v>
      </c>
      <c r="D58" s="361">
        <f>⑤CP구성!$S67</f>
        <v>47686</v>
      </c>
      <c r="E58" s="361">
        <f>⑤CP구성!$V67</f>
        <v>47751.199999999997</v>
      </c>
      <c r="F58" s="362">
        <f>⑤CP구성!$W67</f>
        <v>66.19999999999709</v>
      </c>
      <c r="G58" s="362">
        <f>⑤CP구성!$L67</f>
        <v>785</v>
      </c>
      <c r="H58" s="362">
        <f>⑤CP구성!$M67</f>
        <v>850.2</v>
      </c>
      <c r="I58" s="404" t="str">
        <f t="shared" si="21"/>
        <v/>
      </c>
      <c r="J58" s="404" t="str">
        <f t="shared" si="21"/>
        <v/>
      </c>
      <c r="K58" s="404" t="str">
        <f t="shared" si="21"/>
        <v/>
      </c>
      <c r="L58" s="363" t="str">
        <f t="shared" si="21"/>
        <v/>
      </c>
      <c r="M58" s="364" t="str">
        <f t="shared" si="21"/>
        <v/>
      </c>
      <c r="N58" s="364" t="str">
        <f t="shared" si="21"/>
        <v/>
      </c>
      <c r="O58" s="364" t="str">
        <f t="shared" si="21"/>
        <v/>
      </c>
      <c r="P58" s="364" t="str">
        <f t="shared" si="21"/>
        <v/>
      </c>
      <c r="Q58" s="364" t="str">
        <f t="shared" si="21"/>
        <v/>
      </c>
      <c r="R58" s="364" t="str">
        <f t="shared" si="21"/>
        <v/>
      </c>
      <c r="S58" s="364" t="str">
        <f t="shared" si="21"/>
        <v/>
      </c>
      <c r="T58" s="364" t="str">
        <f t="shared" si="21"/>
        <v/>
      </c>
      <c r="U58" s="402" t="str">
        <f t="shared" si="21"/>
        <v/>
      </c>
      <c r="V58" s="402" t="str">
        <f t="shared" si="21"/>
        <v/>
      </c>
      <c r="W58" s="402" t="str">
        <f t="shared" si="21"/>
        <v/>
      </c>
      <c r="X58" s="364" t="str">
        <f t="shared" si="21"/>
        <v/>
      </c>
      <c r="Y58" s="364" t="str">
        <f t="shared" si="20"/>
        <v/>
      </c>
      <c r="Z58" s="364" t="str">
        <f t="shared" si="20"/>
        <v/>
      </c>
      <c r="AA58" s="364" t="str">
        <f t="shared" si="20"/>
        <v/>
      </c>
      <c r="AB58" s="364" t="str">
        <f t="shared" si="20"/>
        <v/>
      </c>
      <c r="AC58" s="364" t="str">
        <f t="shared" si="20"/>
        <v/>
      </c>
      <c r="AD58" s="364" t="str">
        <f t="shared" si="20"/>
        <v/>
      </c>
      <c r="AE58" s="364" t="str">
        <f t="shared" si="20"/>
        <v/>
      </c>
      <c r="AF58" s="364" t="str">
        <f t="shared" si="20"/>
        <v/>
      </c>
      <c r="AG58" s="402" t="str">
        <f t="shared" si="20"/>
        <v/>
      </c>
      <c r="AH58" s="402" t="str">
        <f t="shared" si="20"/>
        <v/>
      </c>
      <c r="AI58" s="402" t="str">
        <f t="shared" si="20"/>
        <v/>
      </c>
      <c r="AJ58" s="364" t="str">
        <f t="shared" si="20"/>
        <v/>
      </c>
      <c r="AK58" s="364" t="str">
        <f t="shared" si="20"/>
        <v/>
      </c>
      <c r="AL58" s="364" t="str">
        <f t="shared" si="20"/>
        <v/>
      </c>
      <c r="AM58" s="364" t="str">
        <f t="shared" si="20"/>
        <v/>
      </c>
      <c r="AN58" s="364" t="str">
        <f t="shared" si="19"/>
        <v/>
      </c>
      <c r="AO58" s="364" t="str">
        <f t="shared" si="19"/>
        <v/>
      </c>
      <c r="AP58" s="364" t="str">
        <f t="shared" si="19"/>
        <v/>
      </c>
      <c r="AQ58" s="364" t="str">
        <f t="shared" si="19"/>
        <v/>
      </c>
      <c r="AR58" s="364" t="str">
        <f t="shared" si="19"/>
        <v/>
      </c>
      <c r="AS58" s="402" t="str">
        <f t="shared" si="19"/>
        <v/>
      </c>
      <c r="AT58" s="402" t="str">
        <f t="shared" si="19"/>
        <v/>
      </c>
      <c r="AU58" s="402" t="str">
        <f t="shared" si="19"/>
        <v/>
      </c>
      <c r="AV58" s="364" t="str">
        <f t="shared" si="19"/>
        <v/>
      </c>
      <c r="AW58" s="363" t="str">
        <f t="shared" si="19"/>
        <v/>
      </c>
      <c r="AX58" s="363" t="str">
        <f t="shared" si="19"/>
        <v/>
      </c>
      <c r="AY58" s="366" t="str">
        <f t="shared" si="19"/>
        <v/>
      </c>
      <c r="AZ58" s="366" t="str">
        <f t="shared" si="19"/>
        <v>■</v>
      </c>
      <c r="BA58" s="431" t="str">
        <f t="shared" si="19"/>
        <v>■</v>
      </c>
      <c r="BB58" s="366" t="str">
        <f t="shared" si="19"/>
        <v>■</v>
      </c>
      <c r="BC58" s="436" t="str">
        <f t="shared" si="19"/>
        <v/>
      </c>
      <c r="BD58"/>
      <c r="BE58" s="126">
        <f>⑤CP구성!$AF67</f>
        <v>0</v>
      </c>
      <c r="BF58"/>
      <c r="BG58"/>
      <c r="BH58"/>
      <c r="BI58"/>
      <c r="BJ58"/>
      <c r="BK58"/>
      <c r="BL58"/>
      <c r="BM58"/>
      <c r="BN58"/>
      <c r="BO58"/>
      <c r="BP58"/>
    </row>
    <row r="59" spans="1:68" s="126" customFormat="1" ht="24" customHeight="1">
      <c r="A59" s="359" t="str">
        <f>⑤CP구성!$C68</f>
        <v>노동리·우정리</v>
      </c>
      <c r="B59" s="368">
        <f>⑤CP구성!$B68</f>
        <v>49</v>
      </c>
      <c r="C59" s="368" t="str">
        <f>⑤CP구성!$D68</f>
        <v>연결관로 - 토공</v>
      </c>
      <c r="D59" s="361">
        <f>⑤CP구성!$S68</f>
        <v>47389</v>
      </c>
      <c r="E59" s="361">
        <f>⑤CP구성!$V68</f>
        <v>47671.199999999997</v>
      </c>
      <c r="F59" s="362">
        <f>⑤CP구성!$W68</f>
        <v>283.19999999999709</v>
      </c>
      <c r="G59" s="362">
        <f>⑤CP구성!$L68</f>
        <v>578</v>
      </c>
      <c r="H59" s="362">
        <f>⑤CP구성!$M68</f>
        <v>770.2</v>
      </c>
      <c r="I59" s="404" t="str">
        <f t="shared" si="21"/>
        <v/>
      </c>
      <c r="J59" s="404" t="str">
        <f t="shared" si="21"/>
        <v/>
      </c>
      <c r="K59" s="404" t="str">
        <f t="shared" si="21"/>
        <v/>
      </c>
      <c r="L59" s="363" t="str">
        <f t="shared" si="21"/>
        <v/>
      </c>
      <c r="M59" s="364" t="str">
        <f t="shared" si="21"/>
        <v/>
      </c>
      <c r="N59" s="364" t="str">
        <f t="shared" si="21"/>
        <v/>
      </c>
      <c r="O59" s="364" t="str">
        <f t="shared" si="21"/>
        <v/>
      </c>
      <c r="P59" s="364" t="str">
        <f t="shared" si="21"/>
        <v/>
      </c>
      <c r="Q59" s="364" t="str">
        <f t="shared" si="21"/>
        <v/>
      </c>
      <c r="R59" s="364" t="str">
        <f t="shared" si="21"/>
        <v/>
      </c>
      <c r="S59" s="364" t="str">
        <f t="shared" si="21"/>
        <v/>
      </c>
      <c r="T59" s="364" t="str">
        <f t="shared" si="21"/>
        <v/>
      </c>
      <c r="U59" s="402" t="str">
        <f t="shared" si="21"/>
        <v/>
      </c>
      <c r="V59" s="402" t="str">
        <f t="shared" si="21"/>
        <v/>
      </c>
      <c r="W59" s="402" t="str">
        <f t="shared" si="21"/>
        <v/>
      </c>
      <c r="X59" s="364" t="str">
        <f t="shared" si="21"/>
        <v/>
      </c>
      <c r="Y59" s="364" t="str">
        <f t="shared" si="20"/>
        <v/>
      </c>
      <c r="Z59" s="364" t="str">
        <f t="shared" si="20"/>
        <v/>
      </c>
      <c r="AA59" s="364" t="str">
        <f t="shared" si="20"/>
        <v/>
      </c>
      <c r="AB59" s="364" t="str">
        <f t="shared" si="20"/>
        <v/>
      </c>
      <c r="AC59" s="364" t="str">
        <f t="shared" si="20"/>
        <v/>
      </c>
      <c r="AD59" s="364" t="str">
        <f t="shared" si="20"/>
        <v/>
      </c>
      <c r="AE59" s="364" t="str">
        <f t="shared" si="20"/>
        <v/>
      </c>
      <c r="AF59" s="364" t="str">
        <f t="shared" si="20"/>
        <v/>
      </c>
      <c r="AG59" s="402" t="str">
        <f t="shared" si="20"/>
        <v/>
      </c>
      <c r="AH59" s="402" t="str">
        <f t="shared" si="20"/>
        <v/>
      </c>
      <c r="AI59" s="402" t="str">
        <f t="shared" si="20"/>
        <v/>
      </c>
      <c r="AJ59" s="364" t="str">
        <f t="shared" si="20"/>
        <v/>
      </c>
      <c r="AK59" s="364" t="str">
        <f t="shared" si="20"/>
        <v/>
      </c>
      <c r="AL59" s="364" t="str">
        <f t="shared" si="20"/>
        <v/>
      </c>
      <c r="AM59" s="364" t="str">
        <f t="shared" si="20"/>
        <v/>
      </c>
      <c r="AN59" s="364" t="str">
        <f t="shared" si="19"/>
        <v/>
      </c>
      <c r="AO59" s="364" t="str">
        <f t="shared" si="19"/>
        <v/>
      </c>
      <c r="AP59" s="364" t="str">
        <f t="shared" si="19"/>
        <v>■</v>
      </c>
      <c r="AQ59" s="364" t="str">
        <f t="shared" si="19"/>
        <v>■</v>
      </c>
      <c r="AR59" s="364" t="str">
        <f t="shared" si="19"/>
        <v>■</v>
      </c>
      <c r="AS59" s="402" t="str">
        <f t="shared" si="19"/>
        <v/>
      </c>
      <c r="AT59" s="402" t="str">
        <f t="shared" si="19"/>
        <v/>
      </c>
      <c r="AU59" s="402" t="str">
        <f t="shared" si="19"/>
        <v/>
      </c>
      <c r="AV59" s="364" t="str">
        <f t="shared" si="19"/>
        <v>■</v>
      </c>
      <c r="AW59" s="363" t="str">
        <f t="shared" si="19"/>
        <v>■</v>
      </c>
      <c r="AX59" s="363" t="str">
        <f t="shared" si="19"/>
        <v>■</v>
      </c>
      <c r="AY59" s="366" t="str">
        <f t="shared" si="19"/>
        <v>■</v>
      </c>
      <c r="AZ59" s="366" t="str">
        <f t="shared" si="19"/>
        <v>■</v>
      </c>
      <c r="BA59" s="431" t="str">
        <f t="shared" si="19"/>
        <v/>
      </c>
      <c r="BB59" s="366" t="str">
        <f t="shared" si="19"/>
        <v/>
      </c>
      <c r="BC59" s="436" t="str">
        <f t="shared" si="19"/>
        <v/>
      </c>
      <c r="BD59"/>
      <c r="BE59" s="126">
        <f>⑤CP구성!$AF68</f>
        <v>0</v>
      </c>
      <c r="BF59"/>
      <c r="BG59"/>
      <c r="BH59"/>
      <c r="BI59"/>
      <c r="BJ59"/>
      <c r="BK59"/>
      <c r="BL59"/>
      <c r="BM59"/>
      <c r="BN59"/>
      <c r="BO59"/>
      <c r="BP59"/>
    </row>
    <row r="60" spans="1:68" s="126" customFormat="1" ht="24" customHeight="1">
      <c r="A60" s="359" t="str">
        <f>⑤CP구성!$C69</f>
        <v>노동리·우정리</v>
      </c>
      <c r="B60" s="370">
        <f>⑤CP구성!$B69</f>
        <v>50</v>
      </c>
      <c r="C60" s="370" t="str">
        <f>⑤CP구성!$D69</f>
        <v>연결관로 - 관 부설</v>
      </c>
      <c r="D60" s="361">
        <f>⑤CP구성!$S69</f>
        <v>47415</v>
      </c>
      <c r="E60" s="361">
        <f>⑤CP구성!$V69</f>
        <v>47597.599999999999</v>
      </c>
      <c r="F60" s="362">
        <f>⑤CP구성!$W69</f>
        <v>183.59999999999854</v>
      </c>
      <c r="G60" s="362">
        <f>⑤CP구성!$L69</f>
        <v>604</v>
      </c>
      <c r="H60" s="362">
        <f>⑤CP구성!$M69</f>
        <v>696.6</v>
      </c>
      <c r="I60" s="406" t="str">
        <f t="shared" si="21"/>
        <v/>
      </c>
      <c r="J60" s="404" t="str">
        <f t="shared" si="21"/>
        <v/>
      </c>
      <c r="K60" s="404" t="str">
        <f t="shared" si="21"/>
        <v/>
      </c>
      <c r="L60" s="368" t="str">
        <f t="shared" si="21"/>
        <v/>
      </c>
      <c r="M60" s="368" t="str">
        <f t="shared" si="21"/>
        <v/>
      </c>
      <c r="N60" s="368" t="str">
        <f t="shared" si="21"/>
        <v/>
      </c>
      <c r="O60" s="367" t="str">
        <f t="shared" si="21"/>
        <v/>
      </c>
      <c r="P60" s="363" t="str">
        <f t="shared" si="21"/>
        <v/>
      </c>
      <c r="Q60" s="363" t="str">
        <f t="shared" si="21"/>
        <v/>
      </c>
      <c r="R60" s="363" t="str">
        <f t="shared" si="21"/>
        <v/>
      </c>
      <c r="S60" s="363" t="str">
        <f t="shared" si="21"/>
        <v/>
      </c>
      <c r="T60" s="363" t="str">
        <f t="shared" si="21"/>
        <v/>
      </c>
      <c r="U60" s="402" t="str">
        <f t="shared" si="21"/>
        <v/>
      </c>
      <c r="V60" s="402" t="str">
        <f t="shared" si="21"/>
        <v/>
      </c>
      <c r="W60" s="402" t="str">
        <f t="shared" si="21"/>
        <v/>
      </c>
      <c r="X60" s="363" t="str">
        <f t="shared" si="21"/>
        <v/>
      </c>
      <c r="Y60" s="363" t="str">
        <f t="shared" si="20"/>
        <v/>
      </c>
      <c r="Z60" s="363" t="str">
        <f t="shared" si="20"/>
        <v/>
      </c>
      <c r="AA60" s="363" t="str">
        <f t="shared" si="20"/>
        <v/>
      </c>
      <c r="AB60" s="363" t="str">
        <f t="shared" si="20"/>
        <v/>
      </c>
      <c r="AC60" s="363" t="str">
        <f t="shared" si="20"/>
        <v/>
      </c>
      <c r="AD60" s="363" t="str">
        <f t="shared" si="20"/>
        <v/>
      </c>
      <c r="AE60" s="363" t="str">
        <f t="shared" si="20"/>
        <v/>
      </c>
      <c r="AF60" s="368" t="str">
        <f t="shared" si="20"/>
        <v/>
      </c>
      <c r="AG60" s="402" t="str">
        <f t="shared" si="20"/>
        <v/>
      </c>
      <c r="AH60" s="402" t="str">
        <f t="shared" si="20"/>
        <v/>
      </c>
      <c r="AI60" s="402" t="str">
        <f t="shared" si="20"/>
        <v/>
      </c>
      <c r="AJ60" s="368" t="str">
        <f t="shared" si="20"/>
        <v/>
      </c>
      <c r="AK60" s="368" t="str">
        <f t="shared" si="20"/>
        <v/>
      </c>
      <c r="AL60" s="364" t="str">
        <f t="shared" si="20"/>
        <v/>
      </c>
      <c r="AM60" s="364" t="str">
        <f t="shared" si="20"/>
        <v/>
      </c>
      <c r="AN60" s="364" t="str">
        <f t="shared" si="19"/>
        <v/>
      </c>
      <c r="AO60" s="364" t="str">
        <f t="shared" si="19"/>
        <v/>
      </c>
      <c r="AP60" s="364" t="str">
        <f t="shared" si="19"/>
        <v/>
      </c>
      <c r="AQ60" s="364" t="str">
        <f t="shared" si="19"/>
        <v>■</v>
      </c>
      <c r="AR60" s="364" t="str">
        <f t="shared" si="19"/>
        <v>■</v>
      </c>
      <c r="AS60" s="402" t="str">
        <f t="shared" si="19"/>
        <v/>
      </c>
      <c r="AT60" s="402" t="str">
        <f t="shared" si="19"/>
        <v/>
      </c>
      <c r="AU60" s="402" t="str">
        <f t="shared" si="19"/>
        <v/>
      </c>
      <c r="AV60" s="364" t="str">
        <f t="shared" si="19"/>
        <v>■</v>
      </c>
      <c r="AW60" s="363" t="str">
        <f t="shared" si="19"/>
        <v>■</v>
      </c>
      <c r="AX60" s="363" t="str">
        <f t="shared" si="19"/>
        <v/>
      </c>
      <c r="AY60" s="366" t="str">
        <f t="shared" si="19"/>
        <v/>
      </c>
      <c r="AZ60" s="366" t="str">
        <f t="shared" si="19"/>
        <v/>
      </c>
      <c r="BA60" s="431" t="str">
        <f t="shared" si="19"/>
        <v/>
      </c>
      <c r="BB60" s="366" t="str">
        <f t="shared" si="19"/>
        <v/>
      </c>
      <c r="BC60" s="436" t="str">
        <f t="shared" si="19"/>
        <v/>
      </c>
      <c r="BD60"/>
      <c r="BE60" s="126">
        <f>⑤CP구성!$AF69</f>
        <v>0</v>
      </c>
      <c r="BF60"/>
      <c r="BG60"/>
      <c r="BH60"/>
      <c r="BI60"/>
      <c r="BJ60"/>
      <c r="BK60"/>
      <c r="BL60"/>
      <c r="BM60"/>
      <c r="BN60"/>
      <c r="BO60"/>
      <c r="BP60"/>
    </row>
    <row r="61" spans="1:68" s="126" customFormat="1" ht="24" customHeight="1">
      <c r="A61" s="359" t="str">
        <f>⑤CP구성!$C70</f>
        <v>노동리·우정리</v>
      </c>
      <c r="B61" s="368">
        <f>⑤CP구성!$B70</f>
        <v>51</v>
      </c>
      <c r="C61" s="368" t="str">
        <f>⑤CP구성!$D70</f>
        <v>연결관로 - 구조물공</v>
      </c>
      <c r="D61" s="361">
        <f>⑤CP구성!$S70</f>
        <v>47591</v>
      </c>
      <c r="E61" s="361">
        <f>⑤CP구성!$V70</f>
        <v>47614.5</v>
      </c>
      <c r="F61" s="362">
        <f>⑤CP구성!$W70</f>
        <v>24.5</v>
      </c>
      <c r="G61" s="362">
        <f>⑤CP구성!$L70</f>
        <v>690</v>
      </c>
      <c r="H61" s="362">
        <f>⑤CP구성!$M70</f>
        <v>713.5</v>
      </c>
      <c r="I61" s="404" t="str">
        <f t="shared" si="21"/>
        <v/>
      </c>
      <c r="J61" s="404" t="str">
        <f t="shared" si="21"/>
        <v/>
      </c>
      <c r="K61" s="404" t="str">
        <f t="shared" si="21"/>
        <v/>
      </c>
      <c r="L61" s="363" t="str">
        <f t="shared" si="21"/>
        <v/>
      </c>
      <c r="M61" s="364" t="str">
        <f t="shared" si="21"/>
        <v/>
      </c>
      <c r="N61" s="364" t="str">
        <f t="shared" si="21"/>
        <v/>
      </c>
      <c r="O61" s="364" t="str">
        <f t="shared" si="21"/>
        <v/>
      </c>
      <c r="P61" s="364" t="str">
        <f t="shared" si="21"/>
        <v/>
      </c>
      <c r="Q61" s="364" t="str">
        <f t="shared" si="21"/>
        <v/>
      </c>
      <c r="R61" s="364" t="str">
        <f t="shared" si="21"/>
        <v/>
      </c>
      <c r="S61" s="364" t="str">
        <f t="shared" si="21"/>
        <v/>
      </c>
      <c r="T61" s="364" t="str">
        <f t="shared" si="21"/>
        <v/>
      </c>
      <c r="U61" s="402" t="str">
        <f t="shared" si="21"/>
        <v/>
      </c>
      <c r="V61" s="402" t="str">
        <f t="shared" si="21"/>
        <v/>
      </c>
      <c r="W61" s="402" t="str">
        <f t="shared" si="21"/>
        <v/>
      </c>
      <c r="X61" s="364" t="str">
        <f t="shared" si="21"/>
        <v/>
      </c>
      <c r="Y61" s="364" t="str">
        <f t="shared" si="20"/>
        <v/>
      </c>
      <c r="Z61" s="364" t="str">
        <f t="shared" si="20"/>
        <v/>
      </c>
      <c r="AA61" s="364" t="str">
        <f t="shared" si="20"/>
        <v/>
      </c>
      <c r="AB61" s="364" t="str">
        <f t="shared" si="20"/>
        <v/>
      </c>
      <c r="AC61" s="364" t="str">
        <f t="shared" si="20"/>
        <v/>
      </c>
      <c r="AD61" s="364" t="str">
        <f t="shared" si="20"/>
        <v/>
      </c>
      <c r="AE61" s="364" t="str">
        <f t="shared" si="20"/>
        <v/>
      </c>
      <c r="AF61" s="364" t="str">
        <f t="shared" si="20"/>
        <v/>
      </c>
      <c r="AG61" s="402" t="str">
        <f t="shared" si="20"/>
        <v/>
      </c>
      <c r="AH61" s="402" t="str">
        <f t="shared" si="20"/>
        <v/>
      </c>
      <c r="AI61" s="402" t="str">
        <f t="shared" si="20"/>
        <v/>
      </c>
      <c r="AJ61" s="364" t="str">
        <f t="shared" si="20"/>
        <v/>
      </c>
      <c r="AK61" s="364" t="str">
        <f t="shared" si="20"/>
        <v/>
      </c>
      <c r="AL61" s="364" t="str">
        <f t="shared" si="20"/>
        <v/>
      </c>
      <c r="AM61" s="364" t="str">
        <f t="shared" si="20"/>
        <v/>
      </c>
      <c r="AN61" s="364" t="str">
        <f t="shared" si="19"/>
        <v/>
      </c>
      <c r="AO61" s="364" t="str">
        <f t="shared" si="19"/>
        <v/>
      </c>
      <c r="AP61" s="364" t="str">
        <f t="shared" si="19"/>
        <v/>
      </c>
      <c r="AQ61" s="364" t="str">
        <f t="shared" si="19"/>
        <v/>
      </c>
      <c r="AR61" s="364" t="str">
        <f t="shared" si="19"/>
        <v/>
      </c>
      <c r="AS61" s="402" t="str">
        <f t="shared" si="19"/>
        <v/>
      </c>
      <c r="AT61" s="402" t="str">
        <f t="shared" si="19"/>
        <v/>
      </c>
      <c r="AU61" s="402" t="str">
        <f t="shared" si="19"/>
        <v/>
      </c>
      <c r="AV61" s="364" t="str">
        <f t="shared" si="19"/>
        <v/>
      </c>
      <c r="AW61" s="363" t="str">
        <f t="shared" si="19"/>
        <v>■</v>
      </c>
      <c r="AX61" s="363" t="str">
        <f t="shared" si="19"/>
        <v>■</v>
      </c>
      <c r="AY61" s="366" t="str">
        <f t="shared" si="19"/>
        <v/>
      </c>
      <c r="AZ61" s="366" t="str">
        <f t="shared" si="19"/>
        <v/>
      </c>
      <c r="BA61" s="431" t="str">
        <f t="shared" si="19"/>
        <v/>
      </c>
      <c r="BB61" s="366" t="str">
        <f t="shared" si="19"/>
        <v/>
      </c>
      <c r="BC61" s="436" t="str">
        <f t="shared" si="19"/>
        <v/>
      </c>
      <c r="BD61"/>
      <c r="BE61" s="126">
        <f>⑤CP구성!$AF70</f>
        <v>0</v>
      </c>
      <c r="BF61"/>
      <c r="BG61"/>
      <c r="BH61"/>
      <c r="BI61"/>
      <c r="BJ61"/>
      <c r="BK61"/>
      <c r="BL61"/>
      <c r="BM61"/>
      <c r="BN61"/>
      <c r="BO61"/>
      <c r="BP61"/>
    </row>
    <row r="62" spans="1:68" s="126" customFormat="1" ht="24" customHeight="1">
      <c r="A62" s="359" t="str">
        <f>⑤CP구성!$C71</f>
        <v>노동리·우정리</v>
      </c>
      <c r="B62" s="368">
        <f>⑤CP구성!$B71</f>
        <v>52</v>
      </c>
      <c r="C62" s="368" t="str">
        <f>⑤CP구성!$D71</f>
        <v>연결관로 - 포장 복구</v>
      </c>
      <c r="D62" s="361">
        <f>⑤CP구성!$S71</f>
        <v>47614</v>
      </c>
      <c r="E62" s="361">
        <f>⑤CP구성!$V71</f>
        <v>47653.3</v>
      </c>
      <c r="F62" s="362">
        <f>⑤CP구성!$W71</f>
        <v>40.30000000000291</v>
      </c>
      <c r="G62" s="362">
        <f>⑤CP구성!$L71</f>
        <v>713</v>
      </c>
      <c r="H62" s="362">
        <f>⑤CP구성!$M71</f>
        <v>752.3</v>
      </c>
      <c r="I62" s="404" t="str">
        <f t="shared" si="21"/>
        <v/>
      </c>
      <c r="J62" s="404" t="str">
        <f t="shared" si="21"/>
        <v/>
      </c>
      <c r="K62" s="404" t="str">
        <f t="shared" si="21"/>
        <v/>
      </c>
      <c r="L62" s="363" t="str">
        <f t="shared" si="21"/>
        <v/>
      </c>
      <c r="M62" s="364" t="str">
        <f t="shared" si="21"/>
        <v/>
      </c>
      <c r="N62" s="364" t="str">
        <f t="shared" si="21"/>
        <v/>
      </c>
      <c r="O62" s="364" t="str">
        <f t="shared" si="21"/>
        <v/>
      </c>
      <c r="P62" s="364" t="str">
        <f t="shared" si="21"/>
        <v/>
      </c>
      <c r="Q62" s="364" t="str">
        <f t="shared" si="21"/>
        <v/>
      </c>
      <c r="R62" s="364" t="str">
        <f t="shared" si="21"/>
        <v/>
      </c>
      <c r="S62" s="364" t="str">
        <f t="shared" si="21"/>
        <v/>
      </c>
      <c r="T62" s="364" t="str">
        <f t="shared" si="21"/>
        <v/>
      </c>
      <c r="U62" s="402" t="str">
        <f t="shared" si="21"/>
        <v/>
      </c>
      <c r="V62" s="402" t="str">
        <f t="shared" si="21"/>
        <v/>
      </c>
      <c r="W62" s="402" t="str">
        <f t="shared" si="21"/>
        <v/>
      </c>
      <c r="X62" s="364" t="str">
        <f t="shared" si="21"/>
        <v/>
      </c>
      <c r="Y62" s="364" t="str">
        <f t="shared" si="20"/>
        <v/>
      </c>
      <c r="Z62" s="364" t="str">
        <f t="shared" si="20"/>
        <v/>
      </c>
      <c r="AA62" s="364" t="str">
        <f t="shared" si="20"/>
        <v/>
      </c>
      <c r="AB62" s="364" t="str">
        <f t="shared" si="20"/>
        <v/>
      </c>
      <c r="AC62" s="364" t="str">
        <f t="shared" si="20"/>
        <v/>
      </c>
      <c r="AD62" s="364" t="str">
        <f t="shared" si="20"/>
        <v/>
      </c>
      <c r="AE62" s="364" t="str">
        <f t="shared" si="20"/>
        <v/>
      </c>
      <c r="AF62" s="364" t="str">
        <f t="shared" si="20"/>
        <v/>
      </c>
      <c r="AG62" s="402" t="str">
        <f t="shared" si="20"/>
        <v/>
      </c>
      <c r="AH62" s="402" t="str">
        <f t="shared" si="20"/>
        <v/>
      </c>
      <c r="AI62" s="402" t="str">
        <f t="shared" si="20"/>
        <v/>
      </c>
      <c r="AJ62" s="364" t="str">
        <f t="shared" si="20"/>
        <v/>
      </c>
      <c r="AK62" s="364" t="str">
        <f t="shared" si="20"/>
        <v/>
      </c>
      <c r="AL62" s="364" t="str">
        <f t="shared" si="20"/>
        <v/>
      </c>
      <c r="AM62" s="364" t="str">
        <f t="shared" si="20"/>
        <v/>
      </c>
      <c r="AN62" s="364" t="str">
        <f t="shared" si="19"/>
        <v/>
      </c>
      <c r="AO62" s="364" t="str">
        <f t="shared" si="19"/>
        <v/>
      </c>
      <c r="AP62" s="364" t="str">
        <f t="shared" si="19"/>
        <v/>
      </c>
      <c r="AQ62" s="364" t="str">
        <f t="shared" si="19"/>
        <v/>
      </c>
      <c r="AR62" s="364" t="str">
        <f t="shared" si="19"/>
        <v/>
      </c>
      <c r="AS62" s="402" t="str">
        <f t="shared" si="19"/>
        <v/>
      </c>
      <c r="AT62" s="402" t="str">
        <f t="shared" si="19"/>
        <v/>
      </c>
      <c r="AU62" s="402" t="str">
        <f t="shared" si="19"/>
        <v/>
      </c>
      <c r="AV62" s="364" t="str">
        <f t="shared" si="19"/>
        <v/>
      </c>
      <c r="AW62" s="365" t="str">
        <f t="shared" si="19"/>
        <v/>
      </c>
      <c r="AX62" s="363" t="str">
        <f t="shared" si="19"/>
        <v>■</v>
      </c>
      <c r="AY62" s="366" t="str">
        <f t="shared" si="19"/>
        <v>■</v>
      </c>
      <c r="AZ62" s="366" t="str">
        <f t="shared" si="19"/>
        <v/>
      </c>
      <c r="BA62" s="431" t="str">
        <f t="shared" si="19"/>
        <v/>
      </c>
      <c r="BB62" s="366" t="str">
        <f t="shared" si="19"/>
        <v/>
      </c>
      <c r="BC62" s="436" t="str">
        <f t="shared" si="19"/>
        <v/>
      </c>
      <c r="BD62"/>
      <c r="BE62" s="126">
        <f>⑤CP구성!$AF71</f>
        <v>0</v>
      </c>
      <c r="BF62"/>
      <c r="BG62"/>
      <c r="BH62"/>
      <c r="BI62"/>
      <c r="BJ62"/>
      <c r="BK62"/>
      <c r="BL62"/>
      <c r="BM62"/>
      <c r="BN62"/>
      <c r="BO62"/>
      <c r="BP62"/>
    </row>
    <row r="63" spans="1:68" s="126" customFormat="1" ht="24" customHeight="1">
      <c r="A63" s="359" t="str">
        <f>⑤CP구성!$C72</f>
        <v>노동리·우정리</v>
      </c>
      <c r="B63" s="370">
        <f>⑤CP구성!$B72</f>
        <v>53</v>
      </c>
      <c r="C63" s="370" t="str">
        <f>⑤CP구성!$D72</f>
        <v>연결관로 - 부대공</v>
      </c>
      <c r="D63" s="361">
        <f>⑤CP구성!$S72</f>
        <v>47651</v>
      </c>
      <c r="E63" s="361">
        <f>⑤CP구성!$V72</f>
        <v>47671.199999999997</v>
      </c>
      <c r="F63" s="362">
        <f>⑤CP구성!$W72</f>
        <v>21.19999999999709</v>
      </c>
      <c r="G63" s="362">
        <f>⑤CP구성!$L72</f>
        <v>750</v>
      </c>
      <c r="H63" s="362">
        <f>⑤CP구성!$M72</f>
        <v>770.2</v>
      </c>
      <c r="I63" s="406" t="str">
        <f t="shared" si="21"/>
        <v/>
      </c>
      <c r="J63" s="404" t="str">
        <f t="shared" si="21"/>
        <v/>
      </c>
      <c r="K63" s="404" t="str">
        <f t="shared" si="21"/>
        <v/>
      </c>
      <c r="L63" s="363" t="str">
        <f t="shared" si="21"/>
        <v/>
      </c>
      <c r="M63" s="363" t="str">
        <f t="shared" si="21"/>
        <v/>
      </c>
      <c r="N63" s="363" t="str">
        <f t="shared" si="21"/>
        <v/>
      </c>
      <c r="O63" s="363" t="str">
        <f t="shared" si="21"/>
        <v/>
      </c>
      <c r="P63" s="363" t="str">
        <f t="shared" si="21"/>
        <v/>
      </c>
      <c r="Q63" s="363" t="str">
        <f t="shared" si="21"/>
        <v/>
      </c>
      <c r="R63" s="363" t="str">
        <f t="shared" si="21"/>
        <v/>
      </c>
      <c r="S63" s="363" t="str">
        <f t="shared" si="21"/>
        <v/>
      </c>
      <c r="T63" s="363" t="str">
        <f t="shared" si="21"/>
        <v/>
      </c>
      <c r="U63" s="402" t="str">
        <f t="shared" si="21"/>
        <v/>
      </c>
      <c r="V63" s="402" t="str">
        <f t="shared" si="21"/>
        <v/>
      </c>
      <c r="W63" s="402" t="str">
        <f t="shared" si="21"/>
        <v/>
      </c>
      <c r="X63" s="363" t="str">
        <f t="shared" si="21"/>
        <v/>
      </c>
      <c r="Y63" s="363" t="str">
        <f t="shared" si="20"/>
        <v/>
      </c>
      <c r="Z63" s="363" t="str">
        <f t="shared" si="20"/>
        <v/>
      </c>
      <c r="AA63" s="363" t="str">
        <f t="shared" si="20"/>
        <v/>
      </c>
      <c r="AB63" s="363" t="str">
        <f t="shared" si="20"/>
        <v/>
      </c>
      <c r="AC63" s="363" t="str">
        <f t="shared" si="20"/>
        <v/>
      </c>
      <c r="AD63" s="363" t="str">
        <f t="shared" si="20"/>
        <v/>
      </c>
      <c r="AE63" s="363" t="str">
        <f t="shared" si="20"/>
        <v/>
      </c>
      <c r="AF63" s="363" t="str">
        <f t="shared" si="20"/>
        <v/>
      </c>
      <c r="AG63" s="402" t="str">
        <f t="shared" si="20"/>
        <v/>
      </c>
      <c r="AH63" s="402" t="str">
        <f t="shared" si="20"/>
        <v/>
      </c>
      <c r="AI63" s="402" t="str">
        <f t="shared" si="20"/>
        <v/>
      </c>
      <c r="AJ63" s="364" t="str">
        <f t="shared" si="20"/>
        <v/>
      </c>
      <c r="AK63" s="364" t="str">
        <f t="shared" si="20"/>
        <v/>
      </c>
      <c r="AL63" s="364" t="str">
        <f t="shared" si="20"/>
        <v/>
      </c>
      <c r="AM63" s="364" t="str">
        <f t="shared" si="20"/>
        <v/>
      </c>
      <c r="AN63" s="364" t="str">
        <f t="shared" si="19"/>
        <v/>
      </c>
      <c r="AO63" s="364" t="str">
        <f t="shared" si="19"/>
        <v/>
      </c>
      <c r="AP63" s="364" t="str">
        <f t="shared" si="19"/>
        <v/>
      </c>
      <c r="AQ63" s="364" t="str">
        <f t="shared" si="19"/>
        <v/>
      </c>
      <c r="AR63" s="364" t="str">
        <f t="shared" si="19"/>
        <v/>
      </c>
      <c r="AS63" s="402" t="str">
        <f t="shared" si="19"/>
        <v/>
      </c>
      <c r="AT63" s="402" t="str">
        <f t="shared" si="19"/>
        <v/>
      </c>
      <c r="AU63" s="402" t="str">
        <f t="shared" si="19"/>
        <v/>
      </c>
      <c r="AV63" s="364" t="str">
        <f t="shared" si="19"/>
        <v/>
      </c>
      <c r="AW63" s="363" t="str">
        <f t="shared" si="19"/>
        <v/>
      </c>
      <c r="AX63" s="363" t="str">
        <f t="shared" si="19"/>
        <v/>
      </c>
      <c r="AY63" s="366" t="str">
        <f t="shared" si="19"/>
        <v>■</v>
      </c>
      <c r="AZ63" s="366" t="str">
        <f t="shared" si="19"/>
        <v>■</v>
      </c>
      <c r="BA63" s="431" t="str">
        <f t="shared" si="19"/>
        <v/>
      </c>
      <c r="BB63" s="366" t="str">
        <f t="shared" si="19"/>
        <v/>
      </c>
      <c r="BC63" s="436" t="str">
        <f t="shared" si="19"/>
        <v/>
      </c>
      <c r="BD63"/>
      <c r="BE63" s="126">
        <f>⑤CP구성!$AF72</f>
        <v>0</v>
      </c>
      <c r="BF63"/>
      <c r="BG63"/>
      <c r="BH63"/>
      <c r="BI63"/>
      <c r="BJ63"/>
      <c r="BK63"/>
      <c r="BL63"/>
      <c r="BM63"/>
      <c r="BN63"/>
      <c r="BO63"/>
      <c r="BP63"/>
    </row>
    <row r="64" spans="1:68" s="126" customFormat="1" ht="24" customHeight="1">
      <c r="A64" s="359" t="str">
        <f>⑤CP구성!$C73</f>
        <v>노동리·우정리</v>
      </c>
      <c r="B64" s="368">
        <f>⑤CP구성!$B73</f>
        <v>54</v>
      </c>
      <c r="C64" s="368" t="str">
        <f>⑤CP구성!$D73</f>
        <v>배수설비 - 토공</v>
      </c>
      <c r="D64" s="361">
        <f>⑤CP구성!$S73</f>
        <v>47389</v>
      </c>
      <c r="E64" s="361">
        <f>⑤CP구성!$V73</f>
        <v>47671.199999999997</v>
      </c>
      <c r="F64" s="362">
        <f>⑤CP구성!$W73</f>
        <v>283.19999999999709</v>
      </c>
      <c r="G64" s="362">
        <f>⑤CP구성!$L73</f>
        <v>578</v>
      </c>
      <c r="H64" s="362">
        <f>⑤CP구성!$M73</f>
        <v>770.2</v>
      </c>
      <c r="I64" s="404" t="str">
        <f t="shared" si="21"/>
        <v/>
      </c>
      <c r="J64" s="404" t="str">
        <f t="shared" si="21"/>
        <v/>
      </c>
      <c r="K64" s="404" t="str">
        <f t="shared" si="21"/>
        <v/>
      </c>
      <c r="L64" s="363" t="str">
        <f t="shared" si="21"/>
        <v/>
      </c>
      <c r="M64" s="364" t="str">
        <f t="shared" si="21"/>
        <v/>
      </c>
      <c r="N64" s="364" t="str">
        <f t="shared" si="21"/>
        <v/>
      </c>
      <c r="O64" s="364" t="str">
        <f t="shared" si="21"/>
        <v/>
      </c>
      <c r="P64" s="364" t="str">
        <f t="shared" si="21"/>
        <v/>
      </c>
      <c r="Q64" s="364" t="str">
        <f t="shared" si="21"/>
        <v/>
      </c>
      <c r="R64" s="364" t="str">
        <f t="shared" si="21"/>
        <v/>
      </c>
      <c r="S64" s="364" t="str">
        <f t="shared" si="21"/>
        <v/>
      </c>
      <c r="T64" s="364" t="str">
        <f t="shared" si="21"/>
        <v/>
      </c>
      <c r="U64" s="402" t="str">
        <f t="shared" si="21"/>
        <v/>
      </c>
      <c r="V64" s="402" t="str">
        <f t="shared" si="21"/>
        <v/>
      </c>
      <c r="W64" s="402" t="str">
        <f t="shared" si="21"/>
        <v/>
      </c>
      <c r="X64" s="364" t="str">
        <f t="shared" si="21"/>
        <v/>
      </c>
      <c r="Y64" s="364" t="str">
        <f t="shared" si="20"/>
        <v/>
      </c>
      <c r="Z64" s="364" t="str">
        <f t="shared" si="20"/>
        <v/>
      </c>
      <c r="AA64" s="364" t="str">
        <f t="shared" si="20"/>
        <v/>
      </c>
      <c r="AB64" s="364" t="str">
        <f t="shared" si="20"/>
        <v/>
      </c>
      <c r="AC64" s="364" t="str">
        <f t="shared" si="20"/>
        <v/>
      </c>
      <c r="AD64" s="364" t="str">
        <f t="shared" si="20"/>
        <v/>
      </c>
      <c r="AE64" s="364" t="str">
        <f t="shared" si="20"/>
        <v/>
      </c>
      <c r="AF64" s="364" t="str">
        <f t="shared" si="20"/>
        <v/>
      </c>
      <c r="AG64" s="402" t="str">
        <f t="shared" si="20"/>
        <v/>
      </c>
      <c r="AH64" s="402" t="str">
        <f t="shared" si="20"/>
        <v/>
      </c>
      <c r="AI64" s="402" t="str">
        <f t="shared" si="20"/>
        <v/>
      </c>
      <c r="AJ64" s="364" t="str">
        <f t="shared" si="20"/>
        <v/>
      </c>
      <c r="AK64" s="364" t="str">
        <f t="shared" si="20"/>
        <v/>
      </c>
      <c r="AL64" s="364" t="str">
        <f t="shared" si="20"/>
        <v/>
      </c>
      <c r="AM64" s="364" t="str">
        <f t="shared" si="20"/>
        <v/>
      </c>
      <c r="AN64" s="364" t="str">
        <f t="shared" si="19"/>
        <v/>
      </c>
      <c r="AO64" s="364" t="str">
        <f t="shared" si="19"/>
        <v/>
      </c>
      <c r="AP64" s="364" t="str">
        <f t="shared" si="19"/>
        <v>■</v>
      </c>
      <c r="AQ64" s="364" t="str">
        <f t="shared" si="19"/>
        <v>■</v>
      </c>
      <c r="AR64" s="364" t="str">
        <f t="shared" si="19"/>
        <v>■</v>
      </c>
      <c r="AS64" s="402" t="str">
        <f t="shared" si="19"/>
        <v/>
      </c>
      <c r="AT64" s="402" t="str">
        <f t="shared" si="19"/>
        <v/>
      </c>
      <c r="AU64" s="402" t="str">
        <f t="shared" si="19"/>
        <v/>
      </c>
      <c r="AV64" s="364" t="str">
        <f t="shared" si="19"/>
        <v>■</v>
      </c>
      <c r="AW64" s="363" t="str">
        <f t="shared" si="19"/>
        <v>■</v>
      </c>
      <c r="AX64" s="363" t="str">
        <f t="shared" si="19"/>
        <v>■</v>
      </c>
      <c r="AY64" s="366" t="str">
        <f t="shared" si="19"/>
        <v>■</v>
      </c>
      <c r="AZ64" s="366" t="str">
        <f t="shared" si="19"/>
        <v>■</v>
      </c>
      <c r="BA64" s="431" t="str">
        <f t="shared" si="19"/>
        <v/>
      </c>
      <c r="BB64" s="366" t="str">
        <f t="shared" si="19"/>
        <v/>
      </c>
      <c r="BC64" s="436" t="str">
        <f t="shared" si="19"/>
        <v/>
      </c>
      <c r="BD64"/>
      <c r="BE64" s="126">
        <f>⑤CP구성!$AF73</f>
        <v>0</v>
      </c>
      <c r="BF64"/>
      <c r="BG64"/>
      <c r="BH64"/>
      <c r="BI64"/>
      <c r="BJ64"/>
      <c r="BK64"/>
      <c r="BL64"/>
      <c r="BM64"/>
      <c r="BN64"/>
      <c r="BO64"/>
      <c r="BP64"/>
    </row>
    <row r="65" spans="1:68" s="126" customFormat="1" ht="24" customHeight="1">
      <c r="A65" s="359" t="str">
        <f>⑤CP구성!$C74</f>
        <v>노동리·우정리</v>
      </c>
      <c r="B65" s="368">
        <f>⑤CP구성!$B74</f>
        <v>55</v>
      </c>
      <c r="C65" s="368" t="str">
        <f>⑤CP구성!$D74</f>
        <v>배수설비 - 관 부설</v>
      </c>
      <c r="D65" s="361">
        <f>⑤CP구성!$S74</f>
        <v>47406</v>
      </c>
      <c r="E65" s="361">
        <f>⑤CP구성!$V74</f>
        <v>47547.6</v>
      </c>
      <c r="F65" s="362">
        <f>⑤CP구성!$W74</f>
        <v>142.59999999999854</v>
      </c>
      <c r="G65" s="362">
        <f>⑤CP구성!$L74</f>
        <v>595</v>
      </c>
      <c r="H65" s="362">
        <f>⑤CP구성!$M74</f>
        <v>646.6</v>
      </c>
      <c r="I65" s="404" t="str">
        <f t="shared" si="21"/>
        <v/>
      </c>
      <c r="J65" s="404" t="str">
        <f t="shared" si="21"/>
        <v/>
      </c>
      <c r="K65" s="404" t="str">
        <f t="shared" si="21"/>
        <v/>
      </c>
      <c r="L65" s="363" t="str">
        <f t="shared" si="21"/>
        <v/>
      </c>
      <c r="M65" s="364" t="str">
        <f t="shared" si="21"/>
        <v/>
      </c>
      <c r="N65" s="364" t="str">
        <f t="shared" si="21"/>
        <v/>
      </c>
      <c r="O65" s="364" t="str">
        <f t="shared" si="21"/>
        <v/>
      </c>
      <c r="P65" s="364" t="str">
        <f t="shared" si="21"/>
        <v/>
      </c>
      <c r="Q65" s="364" t="str">
        <f t="shared" si="21"/>
        <v/>
      </c>
      <c r="R65" s="364" t="str">
        <f t="shared" si="21"/>
        <v/>
      </c>
      <c r="S65" s="364" t="str">
        <f t="shared" si="21"/>
        <v/>
      </c>
      <c r="T65" s="364" t="str">
        <f t="shared" si="21"/>
        <v/>
      </c>
      <c r="U65" s="402" t="str">
        <f t="shared" si="21"/>
        <v/>
      </c>
      <c r="V65" s="402" t="str">
        <f t="shared" si="21"/>
        <v/>
      </c>
      <c r="W65" s="402" t="str">
        <f t="shared" si="21"/>
        <v/>
      </c>
      <c r="X65" s="364" t="str">
        <f t="shared" si="21"/>
        <v/>
      </c>
      <c r="Y65" s="364" t="str">
        <f t="shared" si="20"/>
        <v/>
      </c>
      <c r="Z65" s="364" t="str">
        <f t="shared" si="20"/>
        <v/>
      </c>
      <c r="AA65" s="364" t="str">
        <f t="shared" si="20"/>
        <v/>
      </c>
      <c r="AB65" s="364" t="str">
        <f t="shared" si="20"/>
        <v/>
      </c>
      <c r="AC65" s="364" t="str">
        <f t="shared" si="20"/>
        <v/>
      </c>
      <c r="AD65" s="364" t="str">
        <f t="shared" si="20"/>
        <v/>
      </c>
      <c r="AE65" s="364" t="str">
        <f t="shared" si="20"/>
        <v/>
      </c>
      <c r="AF65" s="364" t="str">
        <f t="shared" si="20"/>
        <v/>
      </c>
      <c r="AG65" s="402" t="str">
        <f t="shared" si="20"/>
        <v/>
      </c>
      <c r="AH65" s="402" t="str">
        <f t="shared" si="20"/>
        <v/>
      </c>
      <c r="AI65" s="402" t="str">
        <f t="shared" si="20"/>
        <v/>
      </c>
      <c r="AJ65" s="364" t="str">
        <f t="shared" si="20"/>
        <v/>
      </c>
      <c r="AK65" s="364" t="str">
        <f t="shared" si="20"/>
        <v/>
      </c>
      <c r="AL65" s="364" t="str">
        <f t="shared" si="20"/>
        <v/>
      </c>
      <c r="AM65" s="364" t="str">
        <f t="shared" si="20"/>
        <v/>
      </c>
      <c r="AN65" s="364" t="str">
        <f t="shared" si="19"/>
        <v/>
      </c>
      <c r="AO65" s="364" t="str">
        <f t="shared" si="19"/>
        <v/>
      </c>
      <c r="AP65" s="364" t="str">
        <f t="shared" si="19"/>
        <v/>
      </c>
      <c r="AQ65" s="364" t="str">
        <f t="shared" si="19"/>
        <v>■</v>
      </c>
      <c r="AR65" s="364" t="str">
        <f t="shared" si="19"/>
        <v>■</v>
      </c>
      <c r="AS65" s="402" t="str">
        <f t="shared" si="19"/>
        <v/>
      </c>
      <c r="AT65" s="402" t="str">
        <f t="shared" si="19"/>
        <v/>
      </c>
      <c r="AU65" s="402" t="str">
        <f t="shared" si="19"/>
        <v/>
      </c>
      <c r="AV65" s="364" t="str">
        <f t="shared" si="19"/>
        <v>■</v>
      </c>
      <c r="AW65" s="363" t="str">
        <f t="shared" si="19"/>
        <v/>
      </c>
      <c r="AX65" s="363" t="str">
        <f t="shared" si="19"/>
        <v/>
      </c>
      <c r="AY65" s="366" t="str">
        <f t="shared" si="19"/>
        <v/>
      </c>
      <c r="AZ65" s="366" t="str">
        <f t="shared" si="19"/>
        <v/>
      </c>
      <c r="BA65" s="431" t="str">
        <f t="shared" si="19"/>
        <v/>
      </c>
      <c r="BB65" s="366" t="str">
        <f t="shared" si="19"/>
        <v/>
      </c>
      <c r="BC65" s="436" t="str">
        <f t="shared" si="19"/>
        <v/>
      </c>
      <c r="BD65"/>
      <c r="BE65" s="126">
        <f>⑤CP구성!$AF74</f>
        <v>0</v>
      </c>
      <c r="BF65"/>
      <c r="BG65"/>
      <c r="BH65"/>
      <c r="BI65"/>
      <c r="BJ65"/>
      <c r="BK65"/>
      <c r="BL65"/>
      <c r="BM65"/>
      <c r="BN65"/>
      <c r="BO65"/>
      <c r="BP65"/>
    </row>
    <row r="66" spans="1:68" s="126" customFormat="1" ht="24" customHeight="1">
      <c r="A66" s="359" t="str">
        <f>⑤CP구성!$C75</f>
        <v>노동리·우정리</v>
      </c>
      <c r="B66" s="370">
        <f>⑤CP구성!$B75</f>
        <v>56</v>
      </c>
      <c r="C66" s="370" t="str">
        <f>⑤CP구성!$D75</f>
        <v>배수설비 - 구조물공</v>
      </c>
      <c r="D66" s="361">
        <f>⑤CP구성!$S75</f>
        <v>47544</v>
      </c>
      <c r="E66" s="361">
        <f>⑤CP구성!$V75</f>
        <v>47554.2</v>
      </c>
      <c r="F66" s="362">
        <f>⑤CP구성!$W75</f>
        <v>11.19999999999709</v>
      </c>
      <c r="G66" s="362">
        <f>⑤CP구성!$L75</f>
        <v>643</v>
      </c>
      <c r="H66" s="362">
        <f>⑤CP구성!$M75</f>
        <v>653.20000000000005</v>
      </c>
      <c r="I66" s="406" t="str">
        <f t="shared" si="21"/>
        <v/>
      </c>
      <c r="J66" s="404" t="str">
        <f t="shared" si="21"/>
        <v/>
      </c>
      <c r="K66" s="404" t="str">
        <f t="shared" si="21"/>
        <v/>
      </c>
      <c r="L66" s="363" t="str">
        <f t="shared" si="21"/>
        <v/>
      </c>
      <c r="M66" s="363" t="str">
        <f t="shared" si="21"/>
        <v/>
      </c>
      <c r="N66" s="368" t="str">
        <f t="shared" si="21"/>
        <v/>
      </c>
      <c r="O66" s="368" t="str">
        <f t="shared" si="21"/>
        <v/>
      </c>
      <c r="P66" s="363" t="str">
        <f t="shared" si="21"/>
        <v/>
      </c>
      <c r="Q66" s="363" t="str">
        <f t="shared" si="21"/>
        <v/>
      </c>
      <c r="R66" s="363" t="str">
        <f t="shared" si="21"/>
        <v/>
      </c>
      <c r="S66" s="363" t="str">
        <f t="shared" si="21"/>
        <v/>
      </c>
      <c r="T66" s="363" t="str">
        <f t="shared" si="21"/>
        <v/>
      </c>
      <c r="U66" s="402" t="str">
        <f t="shared" si="21"/>
        <v/>
      </c>
      <c r="V66" s="402" t="str">
        <f t="shared" si="21"/>
        <v/>
      </c>
      <c r="W66" s="402" t="str">
        <f t="shared" si="21"/>
        <v/>
      </c>
      <c r="X66" s="363" t="str">
        <f t="shared" si="21"/>
        <v/>
      </c>
      <c r="Y66" s="363" t="str">
        <f t="shared" si="20"/>
        <v/>
      </c>
      <c r="Z66" s="363" t="str">
        <f t="shared" si="20"/>
        <v/>
      </c>
      <c r="AA66" s="363" t="str">
        <f t="shared" si="20"/>
        <v/>
      </c>
      <c r="AB66" s="363" t="str">
        <f t="shared" si="20"/>
        <v/>
      </c>
      <c r="AC66" s="363" t="str">
        <f t="shared" si="20"/>
        <v/>
      </c>
      <c r="AD66" s="363" t="str">
        <f t="shared" si="20"/>
        <v/>
      </c>
      <c r="AE66" s="363" t="str">
        <f t="shared" si="20"/>
        <v/>
      </c>
      <c r="AF66" s="363" t="str">
        <f t="shared" si="20"/>
        <v/>
      </c>
      <c r="AG66" s="402" t="str">
        <f t="shared" si="20"/>
        <v/>
      </c>
      <c r="AH66" s="402" t="str">
        <f t="shared" si="20"/>
        <v/>
      </c>
      <c r="AI66" s="402" t="str">
        <f t="shared" si="20"/>
        <v/>
      </c>
      <c r="AJ66" s="364" t="str">
        <f t="shared" si="20"/>
        <v/>
      </c>
      <c r="AK66" s="364" t="str">
        <f t="shared" si="20"/>
        <v/>
      </c>
      <c r="AL66" s="364" t="str">
        <f t="shared" si="20"/>
        <v/>
      </c>
      <c r="AM66" s="364" t="str">
        <f t="shared" si="20"/>
        <v/>
      </c>
      <c r="AN66" s="364" t="str">
        <f t="shared" si="19"/>
        <v/>
      </c>
      <c r="AO66" s="364" t="str">
        <f t="shared" si="19"/>
        <v/>
      </c>
      <c r="AP66" s="364" t="str">
        <f t="shared" si="19"/>
        <v/>
      </c>
      <c r="AQ66" s="364" t="str">
        <f t="shared" si="19"/>
        <v/>
      </c>
      <c r="AR66" s="364" t="str">
        <f t="shared" si="19"/>
        <v/>
      </c>
      <c r="AS66" s="402" t="str">
        <f t="shared" si="19"/>
        <v/>
      </c>
      <c r="AT66" s="402" t="str">
        <f t="shared" si="19"/>
        <v/>
      </c>
      <c r="AU66" s="402" t="str">
        <f t="shared" si="19"/>
        <v/>
      </c>
      <c r="AV66" s="364" t="str">
        <f t="shared" si="19"/>
        <v>■</v>
      </c>
      <c r="AW66" s="363" t="str">
        <f t="shared" si="19"/>
        <v/>
      </c>
      <c r="AX66" s="363" t="str">
        <f t="shared" si="19"/>
        <v/>
      </c>
      <c r="AY66" s="366" t="str">
        <f t="shared" si="19"/>
        <v/>
      </c>
      <c r="AZ66" s="366" t="str">
        <f t="shared" si="19"/>
        <v/>
      </c>
      <c r="BA66" s="431" t="str">
        <f t="shared" si="19"/>
        <v/>
      </c>
      <c r="BB66" s="366" t="str">
        <f t="shared" si="19"/>
        <v/>
      </c>
      <c r="BC66" s="436" t="str">
        <f t="shared" si="19"/>
        <v/>
      </c>
      <c r="BD66"/>
      <c r="BE66" s="126">
        <f>⑤CP구성!$AF75</f>
        <v>0</v>
      </c>
      <c r="BF66"/>
      <c r="BG66"/>
      <c r="BH66"/>
      <c r="BI66"/>
      <c r="BJ66"/>
      <c r="BK66"/>
      <c r="BL66"/>
      <c r="BM66"/>
      <c r="BN66"/>
      <c r="BO66"/>
      <c r="BP66"/>
    </row>
    <row r="67" spans="1:68" s="126" customFormat="1" ht="24" customHeight="1">
      <c r="A67" s="359" t="str">
        <f>⑤CP구성!$C76</f>
        <v>노동리·우정리</v>
      </c>
      <c r="B67" s="368">
        <f>⑤CP구성!$B76</f>
        <v>57</v>
      </c>
      <c r="C67" s="368" t="str">
        <f>⑤CP구성!$D76</f>
        <v>배수설비 - 포장 복구</v>
      </c>
      <c r="D67" s="361">
        <f>⑤CP구성!$S76</f>
        <v>47555</v>
      </c>
      <c r="E67" s="361">
        <f>⑤CP구성!$V76</f>
        <v>47653.3</v>
      </c>
      <c r="F67" s="362">
        <f>⑤CP구성!$W76</f>
        <v>99.30000000000291</v>
      </c>
      <c r="G67" s="362">
        <f>⑤CP구성!$L76</f>
        <v>654</v>
      </c>
      <c r="H67" s="362">
        <f>⑤CP구성!$M76</f>
        <v>752.3</v>
      </c>
      <c r="I67" s="404" t="str">
        <f t="shared" si="21"/>
        <v/>
      </c>
      <c r="J67" s="404" t="str">
        <f t="shared" si="21"/>
        <v/>
      </c>
      <c r="K67" s="404" t="str">
        <f t="shared" si="21"/>
        <v/>
      </c>
      <c r="L67" s="363" t="str">
        <f t="shared" si="21"/>
        <v/>
      </c>
      <c r="M67" s="364" t="str">
        <f t="shared" si="21"/>
        <v/>
      </c>
      <c r="N67" s="364" t="str">
        <f t="shared" si="21"/>
        <v/>
      </c>
      <c r="O67" s="364" t="str">
        <f t="shared" si="21"/>
        <v/>
      </c>
      <c r="P67" s="364" t="str">
        <f t="shared" si="21"/>
        <v/>
      </c>
      <c r="Q67" s="364" t="str">
        <f t="shared" si="21"/>
        <v/>
      </c>
      <c r="R67" s="364" t="str">
        <f t="shared" si="21"/>
        <v/>
      </c>
      <c r="S67" s="364" t="str">
        <f t="shared" si="21"/>
        <v/>
      </c>
      <c r="T67" s="364" t="str">
        <f t="shared" si="21"/>
        <v/>
      </c>
      <c r="U67" s="402" t="str">
        <f t="shared" si="21"/>
        <v/>
      </c>
      <c r="V67" s="402" t="str">
        <f t="shared" si="21"/>
        <v/>
      </c>
      <c r="W67" s="402" t="str">
        <f t="shared" si="21"/>
        <v/>
      </c>
      <c r="X67" s="364" t="str">
        <f t="shared" si="21"/>
        <v/>
      </c>
      <c r="Y67" s="364" t="str">
        <f t="shared" si="20"/>
        <v/>
      </c>
      <c r="Z67" s="364" t="str">
        <f t="shared" si="20"/>
        <v/>
      </c>
      <c r="AA67" s="364" t="str">
        <f t="shared" si="20"/>
        <v/>
      </c>
      <c r="AB67" s="364" t="str">
        <f t="shared" si="20"/>
        <v/>
      </c>
      <c r="AC67" s="364" t="str">
        <f t="shared" si="20"/>
        <v/>
      </c>
      <c r="AD67" s="364" t="str">
        <f t="shared" si="20"/>
        <v/>
      </c>
      <c r="AE67" s="364" t="str">
        <f t="shared" si="20"/>
        <v/>
      </c>
      <c r="AF67" s="364" t="str">
        <f t="shared" si="20"/>
        <v/>
      </c>
      <c r="AG67" s="402" t="str">
        <f t="shared" si="20"/>
        <v/>
      </c>
      <c r="AH67" s="402" t="str">
        <f t="shared" si="20"/>
        <v/>
      </c>
      <c r="AI67" s="402" t="str">
        <f t="shared" si="20"/>
        <v/>
      </c>
      <c r="AJ67" s="364" t="str">
        <f t="shared" si="20"/>
        <v/>
      </c>
      <c r="AK67" s="364" t="str">
        <f t="shared" si="20"/>
        <v/>
      </c>
      <c r="AL67" s="364" t="str">
        <f t="shared" si="20"/>
        <v/>
      </c>
      <c r="AM67" s="364" t="str">
        <f t="shared" si="20"/>
        <v/>
      </c>
      <c r="AN67" s="364" t="str">
        <f t="shared" si="19"/>
        <v/>
      </c>
      <c r="AO67" s="364" t="str">
        <f t="shared" si="19"/>
        <v/>
      </c>
      <c r="AP67" s="364" t="str">
        <f t="shared" si="19"/>
        <v/>
      </c>
      <c r="AQ67" s="364" t="str">
        <f t="shared" si="19"/>
        <v/>
      </c>
      <c r="AR67" s="364" t="str">
        <f t="shared" si="19"/>
        <v/>
      </c>
      <c r="AS67" s="402" t="str">
        <f t="shared" si="19"/>
        <v/>
      </c>
      <c r="AT67" s="402" t="str">
        <f t="shared" si="19"/>
        <v/>
      </c>
      <c r="AU67" s="402" t="str">
        <f t="shared" si="19"/>
        <v/>
      </c>
      <c r="AV67" s="364" t="str">
        <f t="shared" si="19"/>
        <v>■</v>
      </c>
      <c r="AW67" s="363" t="str">
        <f t="shared" si="19"/>
        <v>■</v>
      </c>
      <c r="AX67" s="363" t="str">
        <f t="shared" si="19"/>
        <v>■</v>
      </c>
      <c r="AY67" s="366" t="str">
        <f t="shared" si="19"/>
        <v>■</v>
      </c>
      <c r="AZ67" s="366" t="str">
        <f t="shared" si="19"/>
        <v/>
      </c>
      <c r="BA67" s="431" t="str">
        <f t="shared" si="19"/>
        <v/>
      </c>
      <c r="BB67" s="366" t="str">
        <f t="shared" si="19"/>
        <v/>
      </c>
      <c r="BC67" s="436" t="str">
        <f t="shared" si="19"/>
        <v/>
      </c>
      <c r="BD67"/>
      <c r="BE67" s="126">
        <f>⑤CP구성!$AF76</f>
        <v>0</v>
      </c>
      <c r="BF67"/>
      <c r="BG67"/>
      <c r="BH67"/>
      <c r="BI67"/>
      <c r="BJ67"/>
      <c r="BK67"/>
      <c r="BL67"/>
      <c r="BM67"/>
      <c r="BN67"/>
      <c r="BO67"/>
      <c r="BP67"/>
    </row>
    <row r="68" spans="1:68" s="126" customFormat="1" ht="24" customHeight="1">
      <c r="A68" s="373" t="str">
        <f>⑤CP구성!$C77</f>
        <v>노동리·우정리</v>
      </c>
      <c r="B68" s="368">
        <f>⑤CP구성!$B77</f>
        <v>58</v>
      </c>
      <c r="C68" s="368" t="str">
        <f>⑤CP구성!$D77</f>
        <v>배수설비 - 부대공</v>
      </c>
      <c r="D68" s="361">
        <f>⑤CP구성!$S77</f>
        <v>47578</v>
      </c>
      <c r="E68" s="361">
        <f>⑤CP구성!$V77</f>
        <v>47671.199999999997</v>
      </c>
      <c r="F68" s="362">
        <f>⑤CP구성!$W77</f>
        <v>94.19999999999709</v>
      </c>
      <c r="G68" s="362">
        <f>⑤CP구성!$L77</f>
        <v>677</v>
      </c>
      <c r="H68" s="362">
        <f>⑤CP구성!$M77</f>
        <v>770.2</v>
      </c>
      <c r="I68" s="404" t="str">
        <f t="shared" si="21"/>
        <v/>
      </c>
      <c r="J68" s="404" t="str">
        <f t="shared" si="21"/>
        <v/>
      </c>
      <c r="K68" s="404" t="str">
        <f t="shared" si="21"/>
        <v/>
      </c>
      <c r="L68" s="363" t="str">
        <f t="shared" si="21"/>
        <v/>
      </c>
      <c r="M68" s="364" t="str">
        <f t="shared" si="21"/>
        <v/>
      </c>
      <c r="N68" s="364" t="str">
        <f t="shared" si="21"/>
        <v/>
      </c>
      <c r="O68" s="364" t="str">
        <f t="shared" si="21"/>
        <v/>
      </c>
      <c r="P68" s="364" t="str">
        <f t="shared" si="21"/>
        <v/>
      </c>
      <c r="Q68" s="364" t="str">
        <f t="shared" si="21"/>
        <v/>
      </c>
      <c r="R68" s="364" t="str">
        <f t="shared" si="21"/>
        <v/>
      </c>
      <c r="S68" s="364" t="str">
        <f t="shared" si="21"/>
        <v/>
      </c>
      <c r="T68" s="364" t="str">
        <f t="shared" si="21"/>
        <v/>
      </c>
      <c r="U68" s="402" t="str">
        <f t="shared" si="21"/>
        <v/>
      </c>
      <c r="V68" s="402" t="str">
        <f t="shared" si="21"/>
        <v/>
      </c>
      <c r="W68" s="402" t="str">
        <f t="shared" si="21"/>
        <v/>
      </c>
      <c r="X68" s="364" t="str">
        <f t="shared" si="21"/>
        <v/>
      </c>
      <c r="Y68" s="364" t="str">
        <f t="shared" si="20"/>
        <v/>
      </c>
      <c r="Z68" s="364" t="str">
        <f t="shared" si="20"/>
        <v/>
      </c>
      <c r="AA68" s="364" t="str">
        <f t="shared" si="20"/>
        <v/>
      </c>
      <c r="AB68" s="364" t="str">
        <f t="shared" si="20"/>
        <v/>
      </c>
      <c r="AC68" s="364" t="str">
        <f t="shared" si="20"/>
        <v/>
      </c>
      <c r="AD68" s="364" t="str">
        <f t="shared" si="20"/>
        <v/>
      </c>
      <c r="AE68" s="364" t="str">
        <f t="shared" si="20"/>
        <v/>
      </c>
      <c r="AF68" s="364" t="str">
        <f t="shared" si="20"/>
        <v/>
      </c>
      <c r="AG68" s="402" t="str">
        <f t="shared" si="20"/>
        <v/>
      </c>
      <c r="AH68" s="402" t="str">
        <f t="shared" si="20"/>
        <v/>
      </c>
      <c r="AI68" s="402" t="str">
        <f t="shared" si="20"/>
        <v/>
      </c>
      <c r="AJ68" s="364" t="str">
        <f t="shared" si="20"/>
        <v/>
      </c>
      <c r="AK68" s="364" t="str">
        <f t="shared" si="20"/>
        <v/>
      </c>
      <c r="AL68" s="364" t="str">
        <f t="shared" si="20"/>
        <v/>
      </c>
      <c r="AM68" s="364" t="str">
        <f t="shared" si="20"/>
        <v/>
      </c>
      <c r="AN68" s="364" t="str">
        <f t="shared" si="20"/>
        <v/>
      </c>
      <c r="AO68" s="364" t="str">
        <f t="shared" ref="AO68:BC70" si="22">IF($D68="","",IF(AND($D68&lt;=EOMONTH(AO$5,0),$E68&gt;=AO$5),IF(AND(AO$2="중지",$BE68&lt;&gt;"Y"),"","■"),""))</f>
        <v/>
      </c>
      <c r="AP68" s="364" t="str">
        <f t="shared" si="22"/>
        <v/>
      </c>
      <c r="AQ68" s="364" t="str">
        <f t="shared" si="22"/>
        <v/>
      </c>
      <c r="AR68" s="364" t="str">
        <f t="shared" si="22"/>
        <v/>
      </c>
      <c r="AS68" s="402" t="str">
        <f t="shared" si="22"/>
        <v/>
      </c>
      <c r="AT68" s="402" t="str">
        <f t="shared" si="22"/>
        <v/>
      </c>
      <c r="AU68" s="402" t="str">
        <f t="shared" si="22"/>
        <v/>
      </c>
      <c r="AV68" s="364" t="str">
        <f t="shared" si="22"/>
        <v/>
      </c>
      <c r="AW68" s="363" t="str">
        <f t="shared" si="22"/>
        <v>■</v>
      </c>
      <c r="AX68" s="363" t="str">
        <f t="shared" si="22"/>
        <v>■</v>
      </c>
      <c r="AY68" s="363" t="str">
        <f t="shared" si="22"/>
        <v>■</v>
      </c>
      <c r="AZ68" s="366" t="str">
        <f t="shared" si="22"/>
        <v>■</v>
      </c>
      <c r="BA68" s="431" t="str">
        <f t="shared" si="22"/>
        <v/>
      </c>
      <c r="BB68" s="366" t="str">
        <f t="shared" si="22"/>
        <v/>
      </c>
      <c r="BC68" s="436" t="str">
        <f t="shared" si="22"/>
        <v/>
      </c>
      <c r="BD68"/>
      <c r="BE68" s="126">
        <f>⑤CP구성!$AF77</f>
        <v>0</v>
      </c>
      <c r="BF68"/>
      <c r="BG68"/>
      <c r="BH68"/>
      <c r="BI68"/>
      <c r="BJ68"/>
      <c r="BK68"/>
      <c r="BL68"/>
      <c r="BM68"/>
      <c r="BN68"/>
      <c r="BO68"/>
      <c r="BP68"/>
    </row>
    <row r="69" spans="1:68" s="126" customFormat="1" ht="24" customHeight="1">
      <c r="A69" s="359"/>
      <c r="B69" s="370"/>
      <c r="C69" s="370"/>
      <c r="D69" s="374"/>
      <c r="E69" s="374"/>
      <c r="F69" s="361"/>
      <c r="G69" s="361"/>
      <c r="H69" s="366"/>
      <c r="I69" s="407" t="str">
        <f t="shared" si="21"/>
        <v/>
      </c>
      <c r="J69" s="409" t="str">
        <f t="shared" si="21"/>
        <v/>
      </c>
      <c r="K69" s="409" t="str">
        <f t="shared" si="21"/>
        <v/>
      </c>
      <c r="L69" s="375" t="str">
        <f t="shared" si="21"/>
        <v/>
      </c>
      <c r="M69" s="375" t="str">
        <f t="shared" si="21"/>
        <v/>
      </c>
      <c r="N69" s="366" t="str">
        <f t="shared" si="21"/>
        <v/>
      </c>
      <c r="O69" s="366" t="str">
        <f t="shared" si="21"/>
        <v/>
      </c>
      <c r="P69" s="366" t="str">
        <f t="shared" si="21"/>
        <v/>
      </c>
      <c r="Q69" s="375" t="str">
        <f t="shared" si="21"/>
        <v/>
      </c>
      <c r="R69" s="375" t="str">
        <f t="shared" si="21"/>
        <v/>
      </c>
      <c r="S69" s="375" t="str">
        <f t="shared" si="21"/>
        <v/>
      </c>
      <c r="T69" s="375" t="str">
        <f t="shared" si="21"/>
        <v/>
      </c>
      <c r="U69" s="402" t="str">
        <f t="shared" si="21"/>
        <v/>
      </c>
      <c r="V69" s="402" t="str">
        <f t="shared" si="21"/>
        <v/>
      </c>
      <c r="W69" s="402" t="str">
        <f t="shared" si="21"/>
        <v/>
      </c>
      <c r="X69" s="375" t="str">
        <f t="shared" si="21"/>
        <v/>
      </c>
      <c r="Y69" s="375" t="str">
        <f t="shared" si="20"/>
        <v/>
      </c>
      <c r="Z69" s="376" t="str">
        <f t="shared" si="20"/>
        <v/>
      </c>
      <c r="AA69" s="376" t="str">
        <f t="shared" si="20"/>
        <v/>
      </c>
      <c r="AB69" s="376" t="str">
        <f t="shared" si="20"/>
        <v/>
      </c>
      <c r="AC69" s="376" t="str">
        <f t="shared" si="20"/>
        <v/>
      </c>
      <c r="AD69" s="376" t="str">
        <f t="shared" si="20"/>
        <v/>
      </c>
      <c r="AE69" s="376" t="str">
        <f t="shared" si="20"/>
        <v/>
      </c>
      <c r="AF69" s="376" t="str">
        <f t="shared" si="20"/>
        <v/>
      </c>
      <c r="AG69" s="402" t="str">
        <f t="shared" si="20"/>
        <v/>
      </c>
      <c r="AH69" s="402" t="str">
        <f t="shared" si="20"/>
        <v/>
      </c>
      <c r="AI69" s="402" t="str">
        <f t="shared" si="20"/>
        <v/>
      </c>
      <c r="AJ69" s="377" t="str">
        <f t="shared" si="20"/>
        <v/>
      </c>
      <c r="AK69" s="378" t="str">
        <f t="shared" si="20"/>
        <v/>
      </c>
      <c r="AL69" s="364" t="str">
        <f t="shared" si="20"/>
        <v/>
      </c>
      <c r="AM69" s="364" t="str">
        <f t="shared" si="20"/>
        <v/>
      </c>
      <c r="AN69" s="364" t="str">
        <f t="shared" si="20"/>
        <v/>
      </c>
      <c r="AO69" s="364" t="str">
        <f t="shared" si="22"/>
        <v/>
      </c>
      <c r="AP69" s="364" t="str">
        <f t="shared" si="22"/>
        <v/>
      </c>
      <c r="AQ69" s="364" t="str">
        <f t="shared" si="22"/>
        <v/>
      </c>
      <c r="AR69" s="364" t="str">
        <f t="shared" si="22"/>
        <v/>
      </c>
      <c r="AS69" s="402" t="str">
        <f t="shared" si="22"/>
        <v/>
      </c>
      <c r="AT69" s="402" t="str">
        <f t="shared" si="22"/>
        <v/>
      </c>
      <c r="AU69" s="402" t="str">
        <f t="shared" si="22"/>
        <v/>
      </c>
      <c r="AV69" s="364" t="str">
        <f t="shared" si="22"/>
        <v/>
      </c>
      <c r="AW69" s="363" t="str">
        <f t="shared" si="22"/>
        <v/>
      </c>
      <c r="AX69" s="363" t="str">
        <f t="shared" si="22"/>
        <v/>
      </c>
      <c r="AY69" s="366" t="str">
        <f t="shared" si="22"/>
        <v/>
      </c>
      <c r="AZ69" s="366" t="str">
        <f t="shared" si="22"/>
        <v/>
      </c>
      <c r="BA69" s="431" t="str">
        <f t="shared" si="22"/>
        <v/>
      </c>
      <c r="BB69" s="366" t="str">
        <f t="shared" si="22"/>
        <v/>
      </c>
      <c r="BC69" s="436" t="str">
        <f t="shared" si="22"/>
        <v/>
      </c>
      <c r="BD69"/>
      <c r="BE69"/>
      <c r="BF69"/>
      <c r="BG69"/>
      <c r="BH69"/>
      <c r="BI69"/>
      <c r="BJ69"/>
      <c r="BK69"/>
      <c r="BL69"/>
      <c r="BM69"/>
      <c r="BN69"/>
      <c r="BO69"/>
      <c r="BP69"/>
    </row>
    <row r="70" spans="1:68" s="220" customFormat="1" ht="24" customHeight="1" thickBot="1">
      <c r="A70" s="381" t="s">
        <v>1626</v>
      </c>
      <c r="B70" s="382"/>
      <c r="C70" s="382" t="s">
        <v>1653</v>
      </c>
      <c r="D70" s="383">
        <f>⑤CP구성!$S$80</f>
        <v>46357</v>
      </c>
      <c r="E70" s="383">
        <f>⑤CP구성!$V$80</f>
        <v>47781.2</v>
      </c>
      <c r="F70" s="384">
        <f>⑤CP구성!$W$80</f>
        <v>1425.1999999999971</v>
      </c>
      <c r="G70" s="382"/>
      <c r="H70" s="382"/>
      <c r="I70" s="408" t="str">
        <f t="shared" si="21"/>
        <v/>
      </c>
      <c r="J70" s="408" t="str">
        <f t="shared" si="21"/>
        <v/>
      </c>
      <c r="K70" s="408" t="str">
        <f t="shared" si="21"/>
        <v/>
      </c>
      <c r="L70" s="379" t="str">
        <f t="shared" si="21"/>
        <v>■</v>
      </c>
      <c r="M70" s="379" t="str">
        <f t="shared" si="21"/>
        <v>■</v>
      </c>
      <c r="N70" s="379" t="str">
        <f t="shared" si="21"/>
        <v>■</v>
      </c>
      <c r="O70" s="379" t="str">
        <f t="shared" si="21"/>
        <v>■</v>
      </c>
      <c r="P70" s="379" t="str">
        <f t="shared" si="21"/>
        <v>■</v>
      </c>
      <c r="Q70" s="379" t="str">
        <f t="shared" si="21"/>
        <v>■</v>
      </c>
      <c r="R70" s="379" t="str">
        <f t="shared" si="21"/>
        <v>■</v>
      </c>
      <c r="S70" s="379" t="str">
        <f t="shared" si="21"/>
        <v>■</v>
      </c>
      <c r="T70" s="379" t="str">
        <f t="shared" si="21"/>
        <v>■</v>
      </c>
      <c r="U70" s="408" t="str">
        <f t="shared" si="21"/>
        <v/>
      </c>
      <c r="V70" s="408" t="str">
        <f t="shared" si="21"/>
        <v/>
      </c>
      <c r="W70" s="408" t="str">
        <f t="shared" si="21"/>
        <v/>
      </c>
      <c r="X70" s="379" t="str">
        <f t="shared" ref="X70:AN70" si="23">IF($D70="","",IF(AND($D70&lt;=EOMONTH(X$5,0),$E70&gt;=X$5),IF(AND(X$2="중지",$BE70&lt;&gt;"Y"),"","■"),""))</f>
        <v>■</v>
      </c>
      <c r="Y70" s="379" t="str">
        <f t="shared" si="23"/>
        <v>■</v>
      </c>
      <c r="Z70" s="379" t="str">
        <f t="shared" si="23"/>
        <v>■</v>
      </c>
      <c r="AA70" s="379" t="str">
        <f t="shared" si="23"/>
        <v>■</v>
      </c>
      <c r="AB70" s="379" t="str">
        <f t="shared" si="23"/>
        <v>■</v>
      </c>
      <c r="AC70" s="379" t="str">
        <f t="shared" si="23"/>
        <v>■</v>
      </c>
      <c r="AD70" s="379" t="str">
        <f t="shared" si="23"/>
        <v>■</v>
      </c>
      <c r="AE70" s="379" t="str">
        <f t="shared" si="23"/>
        <v>■</v>
      </c>
      <c r="AF70" s="379" t="str">
        <f t="shared" si="23"/>
        <v>■</v>
      </c>
      <c r="AG70" s="408" t="str">
        <f t="shared" si="23"/>
        <v/>
      </c>
      <c r="AH70" s="408" t="str">
        <f t="shared" si="23"/>
        <v/>
      </c>
      <c r="AI70" s="408" t="str">
        <f t="shared" si="23"/>
        <v/>
      </c>
      <c r="AJ70" s="379" t="str">
        <f t="shared" si="23"/>
        <v>■</v>
      </c>
      <c r="AK70" s="379" t="str">
        <f t="shared" si="23"/>
        <v>■</v>
      </c>
      <c r="AL70" s="379" t="str">
        <f t="shared" si="23"/>
        <v>■</v>
      </c>
      <c r="AM70" s="379" t="str">
        <f t="shared" si="23"/>
        <v>■</v>
      </c>
      <c r="AN70" s="379" t="str">
        <f t="shared" si="23"/>
        <v>■</v>
      </c>
      <c r="AO70" s="379" t="str">
        <f t="shared" si="22"/>
        <v>■</v>
      </c>
      <c r="AP70" s="379" t="str">
        <f t="shared" si="22"/>
        <v>■</v>
      </c>
      <c r="AQ70" s="379" t="str">
        <f t="shared" si="22"/>
        <v>■</v>
      </c>
      <c r="AR70" s="379" t="str">
        <f t="shared" si="22"/>
        <v>■</v>
      </c>
      <c r="AS70" s="408" t="str">
        <f t="shared" si="22"/>
        <v/>
      </c>
      <c r="AT70" s="408" t="str">
        <f t="shared" si="22"/>
        <v/>
      </c>
      <c r="AU70" s="408" t="str">
        <f t="shared" si="22"/>
        <v/>
      </c>
      <c r="AV70" s="379" t="str">
        <f t="shared" si="22"/>
        <v>■</v>
      </c>
      <c r="AW70" s="379" t="str">
        <f t="shared" si="22"/>
        <v>■</v>
      </c>
      <c r="AX70" s="379" t="str">
        <f t="shared" si="22"/>
        <v>■</v>
      </c>
      <c r="AY70" s="379" t="str">
        <f t="shared" si="22"/>
        <v>■</v>
      </c>
      <c r="AZ70" s="379" t="str">
        <f t="shared" si="22"/>
        <v>■</v>
      </c>
      <c r="BA70" s="432" t="str">
        <f t="shared" si="22"/>
        <v>■</v>
      </c>
      <c r="BB70" s="385" t="str">
        <f t="shared" si="22"/>
        <v>■</v>
      </c>
      <c r="BC70" s="437" t="str">
        <f t="shared" si="22"/>
        <v>■</v>
      </c>
      <c r="BD70"/>
      <c r="BE70"/>
      <c r="BF70"/>
      <c r="BG70"/>
      <c r="BH70"/>
      <c r="BI70"/>
      <c r="BJ70"/>
      <c r="BK70"/>
      <c r="BL70"/>
      <c r="BM70"/>
      <c r="BN70"/>
      <c r="BO70"/>
      <c r="BP70"/>
    </row>
    <row r="71" spans="1:68" s="126" customFormat="1" ht="18" customHeight="1">
      <c r="A71" t="s">
        <v>1721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 s="338"/>
      <c r="AX71" s="338"/>
    </row>
    <row r="72" spans="1:68" s="126" customFormat="1" ht="18" customHeight="1">
      <c r="A72" t="s">
        <v>1722</v>
      </c>
      <c r="B72" s="219"/>
      <c r="C72" s="219"/>
      <c r="I72" s="338"/>
      <c r="J72" s="339"/>
      <c r="K72" s="339"/>
      <c r="L72" s="339"/>
      <c r="M72" s="339"/>
      <c r="N72" s="339"/>
      <c r="O72" s="339"/>
      <c r="P72" s="339"/>
      <c r="Q72" s="339"/>
      <c r="R72" s="339"/>
      <c r="S72" s="339"/>
      <c r="T72" s="339"/>
      <c r="U72" s="334"/>
      <c r="V72" s="334"/>
      <c r="W72" s="334"/>
      <c r="X72" s="339"/>
      <c r="Y72" s="339"/>
      <c r="Z72" s="339"/>
      <c r="AA72" s="339"/>
      <c r="AB72" s="339"/>
      <c r="AC72" s="339"/>
      <c r="AD72" s="339"/>
      <c r="AG72" s="334"/>
      <c r="AH72" s="334"/>
      <c r="AI72" s="334"/>
      <c r="AJ72" s="339"/>
      <c r="AK72" s="339"/>
      <c r="AL72" s="339"/>
      <c r="AM72" s="339"/>
      <c r="AN72" s="339"/>
      <c r="AO72" s="339"/>
      <c r="AP72" s="339"/>
      <c r="AQ72" s="339"/>
      <c r="AR72" s="339"/>
      <c r="AS72" s="334"/>
      <c r="AT72" s="334"/>
      <c r="AU72" s="334"/>
      <c r="AV72" s="339"/>
      <c r="AW72" s="338"/>
      <c r="AX72" s="338"/>
    </row>
    <row r="73" spans="1:68" s="126" customFormat="1" ht="18" customHeight="1">
      <c r="A73" t="s">
        <v>1764</v>
      </c>
      <c r="B73" s="219"/>
      <c r="C73" s="219"/>
      <c r="I73" s="339"/>
      <c r="J73" s="339"/>
      <c r="K73" s="339"/>
      <c r="L73" s="339"/>
      <c r="M73" s="337"/>
      <c r="N73" s="337"/>
      <c r="O73" s="337"/>
      <c r="P73" s="337"/>
      <c r="Q73" s="337"/>
      <c r="R73" s="337"/>
      <c r="S73" s="337"/>
      <c r="T73" s="337"/>
      <c r="U73" s="334"/>
      <c r="V73" s="334"/>
      <c r="W73" s="334"/>
      <c r="X73" s="337"/>
      <c r="Y73" s="337"/>
      <c r="Z73" s="337"/>
      <c r="AA73" s="337"/>
      <c r="AB73" s="337"/>
      <c r="AC73" s="337"/>
      <c r="AD73" s="337"/>
      <c r="AE73" s="337"/>
      <c r="AF73" s="337"/>
      <c r="AG73" s="334"/>
      <c r="AH73" s="334"/>
      <c r="AI73" s="334"/>
      <c r="AJ73" s="337"/>
      <c r="AK73" s="337"/>
      <c r="AL73" s="337"/>
      <c r="AM73" s="337"/>
      <c r="AN73" s="337"/>
      <c r="AO73" s="337"/>
      <c r="AP73" s="337"/>
      <c r="AQ73" s="337"/>
      <c r="AR73" s="337"/>
      <c r="AS73" s="334"/>
      <c r="AT73" s="334"/>
      <c r="AU73" s="334"/>
      <c r="AV73" s="337"/>
      <c r="AW73" s="338"/>
      <c r="AX73" s="338"/>
    </row>
    <row r="74" spans="1:68" s="126" customFormat="1" ht="18" customHeight="1">
      <c r="A74" s="340" t="s">
        <v>1723</v>
      </c>
      <c r="B74" s="219"/>
      <c r="C74" s="219"/>
      <c r="I74" s="339"/>
      <c r="J74" s="339"/>
      <c r="K74" s="339"/>
      <c r="L74" s="339"/>
      <c r="M74" s="337"/>
      <c r="N74" s="337"/>
      <c r="O74" s="337"/>
      <c r="P74" s="337"/>
      <c r="Q74" s="337"/>
      <c r="R74" s="337"/>
      <c r="S74" s="337"/>
      <c r="T74" s="337"/>
      <c r="U74" s="334"/>
      <c r="V74" s="334"/>
      <c r="W74" s="334"/>
      <c r="X74" s="337"/>
      <c r="Y74" s="337"/>
      <c r="Z74" s="337"/>
      <c r="AA74" s="337"/>
      <c r="AB74" s="337"/>
      <c r="AC74" s="337"/>
      <c r="AD74" s="337"/>
      <c r="AE74" s="337"/>
      <c r="AF74" s="337"/>
      <c r="AG74" s="334"/>
      <c r="AH74" s="334"/>
      <c r="AI74" s="334"/>
      <c r="AJ74" s="337"/>
      <c r="AK74" s="337"/>
      <c r="AL74" s="337"/>
      <c r="AM74" s="337"/>
      <c r="AN74" s="337"/>
      <c r="AO74" s="337"/>
      <c r="AP74" s="337"/>
      <c r="AQ74" s="337"/>
      <c r="AR74" s="337"/>
      <c r="AS74" s="334"/>
      <c r="AT74" s="334"/>
      <c r="AU74" s="334"/>
      <c r="AV74" s="337"/>
      <c r="AW74" s="338"/>
      <c r="AX74" s="338"/>
    </row>
    <row r="75" spans="1:68" s="126" customFormat="1" ht="18" customHeight="1">
      <c r="A75" s="219"/>
      <c r="B75" s="219"/>
      <c r="C75" s="219"/>
      <c r="I75" s="338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4"/>
      <c r="V75" s="334"/>
      <c r="W75" s="334"/>
      <c r="X75" s="339"/>
      <c r="Y75" s="339"/>
      <c r="Z75" s="339"/>
      <c r="AA75" s="339"/>
      <c r="AB75" s="339"/>
      <c r="AC75" s="339"/>
      <c r="AD75" s="339"/>
      <c r="AE75" s="339"/>
      <c r="AF75" s="339"/>
      <c r="AG75" s="334"/>
      <c r="AH75" s="334"/>
      <c r="AI75" s="334"/>
      <c r="AJ75" s="337"/>
      <c r="AK75" s="337"/>
      <c r="AL75" s="337"/>
      <c r="AN75" s="337"/>
      <c r="AO75" s="339"/>
      <c r="AP75" s="339"/>
      <c r="AQ75" s="339"/>
      <c r="AR75" s="339"/>
      <c r="AS75" s="334"/>
      <c r="AT75" s="334"/>
      <c r="AU75" s="334"/>
      <c r="AV75" s="339"/>
      <c r="AW75" s="338"/>
      <c r="AX75" s="338"/>
    </row>
    <row r="76" spans="1:68" s="126" customFormat="1" ht="18" customHeight="1">
      <c r="A76" s="219"/>
      <c r="B76" s="219"/>
      <c r="C76" s="219"/>
      <c r="I76" s="339"/>
      <c r="J76" s="339"/>
      <c r="K76" s="339"/>
      <c r="L76" s="339"/>
      <c r="M76" s="337"/>
      <c r="N76" s="337"/>
      <c r="O76" s="337"/>
      <c r="P76" s="337"/>
      <c r="Q76" s="337"/>
      <c r="R76" s="337"/>
      <c r="S76" s="337"/>
      <c r="T76" s="337"/>
      <c r="U76" s="334"/>
      <c r="V76" s="334"/>
      <c r="W76" s="334"/>
      <c r="X76" s="337"/>
      <c r="Y76" s="337"/>
      <c r="Z76" s="337"/>
      <c r="AA76" s="337"/>
      <c r="AB76" s="337"/>
      <c r="AC76" s="337"/>
      <c r="AD76" s="337"/>
      <c r="AE76" s="337"/>
      <c r="AF76" s="337"/>
      <c r="AG76" s="334"/>
      <c r="AH76" s="334"/>
      <c r="AI76" s="334"/>
      <c r="AJ76" s="337"/>
      <c r="AK76" s="337"/>
      <c r="AL76" s="337"/>
      <c r="AM76" s="337"/>
      <c r="AN76" s="337"/>
      <c r="AO76" s="337"/>
      <c r="AP76" s="337"/>
      <c r="AQ76" s="337"/>
      <c r="AR76" s="337"/>
      <c r="AS76" s="334"/>
      <c r="AT76" s="334"/>
      <c r="AU76" s="334"/>
      <c r="AV76" s="337"/>
      <c r="AW76" s="338"/>
      <c r="AX76" s="338"/>
    </row>
    <row r="77" spans="1:68" s="126" customFormat="1" ht="18" customHeight="1">
      <c r="A77" s="219"/>
      <c r="B77" s="219"/>
      <c r="C77" s="219"/>
      <c r="I77" s="339"/>
      <c r="J77" s="339"/>
      <c r="K77" s="339"/>
      <c r="L77" s="339"/>
      <c r="M77" s="337"/>
      <c r="N77" s="337"/>
      <c r="O77" s="337"/>
      <c r="P77" s="337"/>
      <c r="Q77" s="337"/>
      <c r="R77" s="337"/>
      <c r="S77" s="337"/>
      <c r="T77" s="337"/>
      <c r="U77" s="334"/>
      <c r="V77" s="334"/>
      <c r="W77" s="334"/>
      <c r="X77" s="337"/>
      <c r="Y77" s="337"/>
      <c r="Z77" s="337"/>
      <c r="AA77" s="337"/>
      <c r="AB77" s="337"/>
      <c r="AC77" s="337"/>
      <c r="AD77" s="337"/>
      <c r="AE77" s="337"/>
      <c r="AF77" s="337"/>
      <c r="AG77" s="334"/>
      <c r="AH77" s="334"/>
      <c r="AI77" s="334"/>
      <c r="AJ77" s="337"/>
      <c r="AK77" s="337"/>
      <c r="AL77" s="337"/>
      <c r="AM77" s="337"/>
      <c r="AN77" s="337"/>
      <c r="AO77" s="337"/>
      <c r="AP77" s="337"/>
      <c r="AQ77" s="337"/>
      <c r="AR77" s="337"/>
      <c r="AS77" s="334"/>
      <c r="AT77" s="334"/>
      <c r="AU77" s="334"/>
      <c r="AV77" s="337"/>
      <c r="AW77" s="338"/>
      <c r="AX77" s="338"/>
    </row>
    <row r="78" spans="1:68" s="126" customFormat="1" ht="18" customHeight="1">
      <c r="A78" s="219"/>
      <c r="B78" s="219"/>
      <c r="C78" s="219"/>
      <c r="D78" s="335"/>
      <c r="E78" s="335"/>
      <c r="I78" s="338"/>
      <c r="J78" s="339"/>
      <c r="K78" s="339"/>
      <c r="L78" s="339"/>
      <c r="M78" s="339"/>
      <c r="N78" s="339"/>
      <c r="O78" s="339"/>
      <c r="P78" s="339"/>
      <c r="Q78" s="339"/>
      <c r="R78" s="339"/>
      <c r="S78" s="339"/>
      <c r="T78" s="339"/>
      <c r="U78" s="334"/>
      <c r="V78" s="334"/>
      <c r="W78" s="334"/>
      <c r="X78" s="339"/>
      <c r="Y78" s="339"/>
      <c r="Z78" s="339"/>
      <c r="AA78" s="339"/>
      <c r="AB78" s="339"/>
      <c r="AC78" s="339"/>
      <c r="AD78" s="339"/>
      <c r="AE78" s="339"/>
      <c r="AF78" s="339"/>
      <c r="AG78" s="334"/>
      <c r="AH78" s="334"/>
      <c r="AI78" s="334"/>
      <c r="AJ78" s="339"/>
      <c r="AK78" s="339"/>
      <c r="AL78" s="339"/>
      <c r="AM78" s="341"/>
      <c r="AN78" s="339"/>
      <c r="AO78" s="337"/>
      <c r="AP78" s="337"/>
      <c r="AQ78" s="337"/>
      <c r="AR78" s="339"/>
      <c r="AS78" s="334"/>
      <c r="AT78" s="334"/>
      <c r="AU78" s="334"/>
      <c r="AV78" s="339"/>
      <c r="AW78" s="338"/>
      <c r="AX78" s="338"/>
    </row>
    <row r="79" spans="1:68" s="126" customFormat="1" ht="18" customHeight="1">
      <c r="A79" s="219"/>
      <c r="B79" s="219"/>
      <c r="C79" s="219"/>
      <c r="I79" s="339"/>
      <c r="J79" s="339"/>
      <c r="K79" s="339"/>
      <c r="L79" s="339"/>
      <c r="M79" s="337"/>
      <c r="N79" s="337"/>
      <c r="O79" s="337"/>
      <c r="P79" s="337"/>
      <c r="Q79" s="337"/>
      <c r="R79" s="337"/>
      <c r="S79" s="337"/>
      <c r="T79" s="337"/>
      <c r="U79" s="334"/>
      <c r="V79" s="334"/>
      <c r="W79" s="334"/>
      <c r="X79" s="337"/>
      <c r="Y79" s="337"/>
      <c r="Z79" s="337"/>
      <c r="AA79" s="337"/>
      <c r="AB79" s="337"/>
      <c r="AC79" s="337"/>
      <c r="AD79" s="337"/>
      <c r="AE79" s="337"/>
      <c r="AF79" s="337"/>
      <c r="AG79" s="334"/>
      <c r="AH79" s="334"/>
      <c r="AI79" s="334"/>
      <c r="AJ79" s="337"/>
      <c r="AK79" s="337"/>
      <c r="AL79" s="337"/>
      <c r="AM79" s="337"/>
      <c r="AN79" s="337"/>
      <c r="AO79" s="337"/>
      <c r="AP79" s="337"/>
      <c r="AQ79" s="337"/>
      <c r="AR79" s="337"/>
      <c r="AS79" s="334"/>
      <c r="AT79" s="334"/>
      <c r="AU79" s="334"/>
      <c r="AV79" s="337"/>
      <c r="AW79" s="338"/>
      <c r="AX79" s="338"/>
    </row>
    <row r="80" spans="1:68" s="126" customFormat="1" ht="18" customHeight="1">
      <c r="A80" s="219"/>
      <c r="B80" s="219"/>
      <c r="C80" s="219"/>
      <c r="I80" s="339"/>
      <c r="J80" s="339"/>
      <c r="K80" s="339"/>
      <c r="L80" s="339"/>
      <c r="M80" s="337"/>
      <c r="N80" s="337"/>
      <c r="O80" s="337"/>
      <c r="P80" s="337"/>
      <c r="Q80" s="337"/>
      <c r="R80" s="337"/>
      <c r="S80" s="337"/>
      <c r="T80" s="337"/>
      <c r="U80" s="334"/>
      <c r="V80" s="334"/>
      <c r="W80" s="334"/>
      <c r="X80" s="337"/>
      <c r="Y80" s="337"/>
      <c r="Z80" s="337"/>
      <c r="AA80" s="337"/>
      <c r="AB80" s="337"/>
      <c r="AC80" s="337"/>
      <c r="AD80" s="337"/>
      <c r="AE80" s="337"/>
      <c r="AF80" s="337"/>
      <c r="AG80" s="334"/>
      <c r="AH80" s="334"/>
      <c r="AI80" s="334"/>
      <c r="AJ80" s="337"/>
      <c r="AK80" s="337"/>
      <c r="AL80" s="337"/>
      <c r="AM80" s="337"/>
      <c r="AN80" s="337"/>
      <c r="AO80" s="337"/>
      <c r="AP80" s="337"/>
      <c r="AQ80" s="337"/>
      <c r="AR80" s="337"/>
      <c r="AS80" s="334"/>
      <c r="AT80" s="334"/>
      <c r="AU80" s="334"/>
      <c r="AV80" s="337"/>
      <c r="AW80" s="338"/>
      <c r="AX80" s="338"/>
    </row>
    <row r="81" spans="1:50" s="126" customFormat="1" ht="18" customHeight="1">
      <c r="A81" s="219"/>
      <c r="B81" s="219"/>
      <c r="C81" s="219"/>
      <c r="I81" s="338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4"/>
      <c r="V81" s="334"/>
      <c r="W81" s="334"/>
      <c r="X81" s="339"/>
      <c r="Y81" s="339"/>
      <c r="Z81" s="339"/>
      <c r="AA81" s="339"/>
      <c r="AB81" s="339"/>
      <c r="AC81" s="339"/>
      <c r="AD81" s="339"/>
      <c r="AE81" s="339"/>
      <c r="AF81" s="339"/>
      <c r="AG81" s="334"/>
      <c r="AH81" s="334"/>
      <c r="AI81" s="334"/>
      <c r="AJ81" s="339"/>
      <c r="AK81" s="339"/>
      <c r="AL81" s="339"/>
      <c r="AM81" s="339"/>
      <c r="AN81" s="339"/>
      <c r="AO81" s="339"/>
      <c r="AP81" s="339"/>
      <c r="AQ81" s="339"/>
      <c r="AR81" s="337"/>
      <c r="AS81" s="334"/>
      <c r="AT81" s="334"/>
      <c r="AU81" s="334"/>
      <c r="AV81" s="337"/>
      <c r="AW81" s="338"/>
      <c r="AX81" s="338"/>
    </row>
    <row r="82" spans="1:50" s="126" customFormat="1" ht="18" customHeight="1">
      <c r="A82" s="219"/>
      <c r="B82" s="219"/>
      <c r="C82" s="219"/>
      <c r="I82" s="339"/>
      <c r="J82" s="339"/>
      <c r="K82" s="339"/>
      <c r="L82" s="339"/>
      <c r="M82" s="337"/>
      <c r="N82" s="337"/>
      <c r="O82" s="337"/>
      <c r="P82" s="337"/>
      <c r="Q82" s="337"/>
      <c r="R82" s="337"/>
      <c r="S82" s="337"/>
      <c r="T82" s="337"/>
      <c r="U82" s="334"/>
      <c r="V82" s="334"/>
      <c r="W82" s="334"/>
      <c r="X82" s="337"/>
      <c r="Y82" s="337"/>
      <c r="Z82" s="337"/>
      <c r="AA82" s="337"/>
      <c r="AB82" s="337"/>
      <c r="AC82" s="337"/>
      <c r="AD82" s="337"/>
      <c r="AE82" s="337"/>
      <c r="AF82" s="337"/>
      <c r="AG82" s="334"/>
      <c r="AH82" s="334"/>
      <c r="AI82" s="334"/>
      <c r="AJ82" s="337"/>
      <c r="AK82" s="337"/>
      <c r="AL82" s="337"/>
      <c r="AM82" s="337"/>
      <c r="AN82" s="337"/>
      <c r="AO82" s="337"/>
      <c r="AP82" s="337"/>
      <c r="AQ82" s="337"/>
      <c r="AR82" s="337"/>
      <c r="AS82" s="334"/>
      <c r="AT82" s="334"/>
      <c r="AU82" s="334"/>
      <c r="AV82" s="337"/>
      <c r="AW82" s="338"/>
      <c r="AX82" s="338"/>
    </row>
    <row r="83" spans="1:50" s="126" customFormat="1" ht="24.75" customHeight="1">
      <c r="A83" s="220"/>
      <c r="B83" s="220"/>
      <c r="C83" s="220"/>
      <c r="D83" s="220"/>
      <c r="E83" s="220"/>
      <c r="F83" s="220"/>
      <c r="G83" s="220"/>
      <c r="H83" s="220"/>
      <c r="I83" s="342"/>
      <c r="J83" s="342"/>
      <c r="K83" s="342"/>
      <c r="L83" s="342"/>
      <c r="M83" s="342"/>
      <c r="N83" s="342"/>
      <c r="O83" s="342"/>
      <c r="P83" s="342"/>
      <c r="Q83" s="342"/>
      <c r="R83" s="342"/>
      <c r="S83" s="342"/>
      <c r="T83" s="342"/>
      <c r="U83" s="334"/>
      <c r="V83" s="334"/>
      <c r="W83" s="334"/>
      <c r="X83" s="342"/>
      <c r="Y83" s="342"/>
      <c r="Z83" s="342"/>
      <c r="AA83" s="342"/>
      <c r="AB83" s="342"/>
      <c r="AC83" s="342"/>
      <c r="AD83" s="342"/>
      <c r="AE83" s="342"/>
      <c r="AF83" s="342"/>
      <c r="AG83" s="334"/>
      <c r="AH83" s="334"/>
      <c r="AI83" s="334"/>
      <c r="AJ83" s="342"/>
      <c r="AK83" s="342"/>
      <c r="AL83" s="342"/>
      <c r="AM83" s="342"/>
      <c r="AN83" s="342"/>
      <c r="AO83" s="342"/>
      <c r="AP83" s="342"/>
      <c r="AQ83" s="342"/>
      <c r="AR83" s="342"/>
      <c r="AS83" s="334"/>
      <c r="AT83" s="334"/>
      <c r="AU83" s="334"/>
      <c r="AV83" s="342"/>
      <c r="AW83" s="336"/>
      <c r="AX83" s="336"/>
    </row>
    <row r="84" spans="1:50" ht="24.75" customHeight="1">
      <c r="A84" s="220"/>
      <c r="B84" s="220"/>
      <c r="C84" s="220"/>
      <c r="D84" s="220"/>
      <c r="E84" s="220"/>
      <c r="F84" s="220"/>
      <c r="G84" s="220"/>
      <c r="H84" s="220"/>
      <c r="I84" s="342"/>
      <c r="J84" s="342"/>
      <c r="K84" s="342"/>
      <c r="L84" s="342"/>
      <c r="M84" s="342"/>
      <c r="N84" s="342"/>
      <c r="O84" s="342"/>
      <c r="P84" s="342"/>
      <c r="Q84" s="342"/>
      <c r="R84" s="342"/>
      <c r="S84" s="342"/>
      <c r="T84" s="342"/>
      <c r="U84" s="334"/>
      <c r="V84" s="334"/>
      <c r="W84" s="334"/>
      <c r="X84" s="342"/>
      <c r="Y84" s="342"/>
      <c r="Z84" s="342"/>
      <c r="AA84" s="342"/>
      <c r="AB84" s="342"/>
      <c r="AC84" s="342"/>
      <c r="AD84" s="342"/>
      <c r="AE84" s="342"/>
      <c r="AF84" s="342"/>
      <c r="AG84" s="334"/>
      <c r="AH84" s="334"/>
      <c r="AI84" s="334"/>
      <c r="AJ84" s="342"/>
      <c r="AK84" s="342"/>
      <c r="AL84" s="342"/>
      <c r="AM84" s="342"/>
      <c r="AN84" s="342"/>
      <c r="AO84" s="342"/>
      <c r="AP84" s="342"/>
      <c r="AQ84" s="342"/>
      <c r="AR84" s="342"/>
      <c r="AS84" s="334"/>
      <c r="AT84" s="334"/>
      <c r="AU84" s="334"/>
      <c r="AV84" s="342"/>
      <c r="AW84" s="336"/>
      <c r="AX84" s="336"/>
    </row>
    <row r="85" spans="1:50" ht="15.45"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R85" s="127"/>
      <c r="AS85" s="127"/>
      <c r="AT85" s="127"/>
      <c r="AU85" s="127"/>
      <c r="AV85" s="127"/>
      <c r="AW85" s="127"/>
    </row>
    <row r="86" spans="1:50" ht="15.45"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  <c r="AN86" s="127"/>
      <c r="AO86" s="127"/>
      <c r="AP86" s="127"/>
      <c r="AQ86" s="127"/>
      <c r="AR86" s="127"/>
      <c r="AS86" s="127"/>
      <c r="AT86" s="127"/>
      <c r="AU86" s="127"/>
      <c r="AV86" s="127"/>
      <c r="AW86" s="127"/>
    </row>
    <row r="87" spans="1:50" ht="15.45"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R87" s="127"/>
      <c r="AS87" s="127"/>
      <c r="AT87" s="127"/>
      <c r="AU87" s="127"/>
      <c r="AV87" s="127"/>
      <c r="AW87" s="127"/>
    </row>
    <row r="88" spans="1:50" ht="15.45"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  <c r="AK88" s="127"/>
      <c r="AL88" s="127"/>
      <c r="AM88" s="127"/>
      <c r="AN88" s="127"/>
      <c r="AO88" s="127"/>
      <c r="AP88" s="127"/>
      <c r="AQ88" s="127"/>
      <c r="AR88" s="127"/>
      <c r="AS88" s="127"/>
      <c r="AT88" s="127"/>
      <c r="AU88" s="127"/>
      <c r="AV88" s="127"/>
      <c r="AW88" s="127"/>
    </row>
    <row r="89" spans="1:50" ht="15.45"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</row>
    <row r="90" spans="1:50" ht="15.45"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  <c r="AN90" s="127"/>
    </row>
    <row r="91" spans="1:50" ht="15.45"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</row>
    <row r="92" spans="1:50" ht="15.45"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</row>
    <row r="106" spans="3:12" ht="17.600000000000001">
      <c r="C106" s="204"/>
      <c r="D106" s="128"/>
      <c r="E106" s="129"/>
      <c r="F106" s="129"/>
      <c r="G106" s="130"/>
      <c r="H106" s="125"/>
      <c r="I106" s="131"/>
      <c r="J106" s="132"/>
      <c r="K106" s="132"/>
      <c r="L106" s="132"/>
    </row>
  </sheetData>
  <mergeCells count="1">
    <mergeCell ref="A5:B5"/>
  </mergeCells>
  <phoneticPr fontId="84" type="noConversion"/>
  <conditionalFormatting sqref="I2:BC2">
    <cfRule type="cellIs" dxfId="1" priority="12" operator="equal">
      <formula>"중지"</formula>
    </cfRule>
  </conditionalFormatting>
  <conditionalFormatting sqref="I6:BC70 BE7:BE33 BE36:BE48 BE51:BE68">
    <cfRule type="cellIs" dxfId="0" priority="13" operator="equal">
      <formula>"■"</formula>
    </cfRule>
  </conditionalFormatting>
  <printOptions horizontalCentered="1" verticalCentered="1"/>
  <pageMargins left="0.31496111111111108" right="0.31496111111111108" top="0.47244166666666665" bottom="0.47244166666666665" header="0.19685069444444445" footer="0.19685069444444445"/>
  <pageSetup paperSize="9" scale="50" fitToWidth="2" fitToHeight="2" orientation="landscape" r:id="rId1"/>
  <headerFooter>
    <oddHeader>&amp;C&amp;"맑은 고딕,굵게"&amp;11연천군 신서공공하수처리시설 증설 외 2개사업 — 적정 공사기간 산정</oddHeader>
    <oddFooter>&amp;R&amp;"맑은 고딕"&amp;8&amp;P / &amp;N&amp;L&amp;"맑은 고딕"&amp;8CP공정표 (동절기 순연축 기준 산정근거)</oddFooter>
  </headerFooter>
  <rowBreaks count="1" manualBreakCount="1">
    <brk id="43" max="56" man="1"/>
  </rowBreaks>
  <colBreaks count="2" manualBreakCount="2">
    <brk id="27" max="73" man="1"/>
    <brk id="46" max="73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</sheetPr>
  <dimension ref="A1:AE126"/>
  <sheetViews>
    <sheetView view="pageBreakPreview" zoomScale="60" zoomScaleNormal="100" workbookViewId="0">
      <selection activeCell="F14" sqref="F14"/>
    </sheetView>
  </sheetViews>
  <sheetFormatPr defaultColWidth="8.69140625" defaultRowHeight="14.6"/>
  <cols>
    <col min="1" max="1" width="3" customWidth="1"/>
    <col min="2" max="2" width="22" customWidth="1"/>
    <col min="3" max="3" width="14" customWidth="1"/>
    <col min="4" max="4" width="6" customWidth="1"/>
    <col min="5" max="5" width="9" customWidth="1"/>
    <col min="6" max="6" width="7" customWidth="1"/>
    <col min="7" max="7" width="8" customWidth="1"/>
    <col min="8" max="10" width="12" customWidth="1"/>
    <col min="14" max="14" width="12.84375" customWidth="1"/>
    <col min="19" max="20" width="22.3046875" customWidth="1"/>
    <col min="23" max="23" width="22.4609375" customWidth="1"/>
    <col min="24" max="24" width="10.3828125" customWidth="1"/>
    <col min="25" max="25" width="11.15234375" customWidth="1"/>
    <col min="26" max="27" width="10.3828125" customWidth="1"/>
    <col min="28" max="28" width="11.84375" customWidth="1"/>
    <col min="29" max="29" width="8.61328125" customWidth="1"/>
    <col min="30" max="31" width="14.3828125" customWidth="1"/>
  </cols>
  <sheetData>
    <row r="1" spans="1:31" ht="25.5" customHeight="1">
      <c r="A1" s="225" t="s">
        <v>1620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31">
      <c r="B2" t="s">
        <v>1833</v>
      </c>
    </row>
    <row r="3" spans="1:31" ht="17.600000000000001">
      <c r="B3" s="14"/>
      <c r="F3" s="77"/>
      <c r="G3" s="224"/>
      <c r="H3" s="224"/>
      <c r="W3" s="389" t="s">
        <v>1822</v>
      </c>
    </row>
    <row r="4" spans="1:31" ht="15.45">
      <c r="B4" s="15" t="s">
        <v>1621</v>
      </c>
      <c r="C4" s="16"/>
      <c r="D4" s="17"/>
      <c r="F4" s="78"/>
      <c r="G4" s="79"/>
      <c r="R4" s="394" t="s">
        <v>1788</v>
      </c>
    </row>
    <row r="5" spans="1:31" ht="32.049999999999997" customHeight="1">
      <c r="B5" s="6" t="s">
        <v>1500</v>
      </c>
      <c r="C5" s="84" t="s">
        <v>1622</v>
      </c>
      <c r="D5" s="444" t="s">
        <v>1623</v>
      </c>
      <c r="E5" s="445" t="s">
        <v>1731</v>
      </c>
      <c r="F5" s="446" t="s">
        <v>1654</v>
      </c>
      <c r="G5" s="447" t="s">
        <v>1624</v>
      </c>
      <c r="H5" s="445" t="s">
        <v>1655</v>
      </c>
      <c r="I5" s="445" t="s">
        <v>1656</v>
      </c>
      <c r="J5" s="445" t="s">
        <v>1724</v>
      </c>
      <c r="K5" s="445" t="s">
        <v>1657</v>
      </c>
      <c r="L5" s="445" t="s">
        <v>1658</v>
      </c>
      <c r="M5" s="445" t="s">
        <v>1659</v>
      </c>
      <c r="N5" s="445" t="s">
        <v>1625</v>
      </c>
      <c r="O5" s="452" t="s">
        <v>1725</v>
      </c>
      <c r="P5" s="452" t="s">
        <v>1736</v>
      </c>
      <c r="Q5" s="448"/>
      <c r="R5" s="449" t="s">
        <v>1500</v>
      </c>
      <c r="S5" s="449" t="s">
        <v>1702</v>
      </c>
      <c r="T5" s="449" t="s">
        <v>1703</v>
      </c>
      <c r="U5" s="449" t="s">
        <v>1648</v>
      </c>
      <c r="V5" s="449" t="s">
        <v>62</v>
      </c>
      <c r="W5" s="528" t="s">
        <v>1823</v>
      </c>
      <c r="X5" s="516" t="s">
        <v>1828</v>
      </c>
      <c r="Y5" s="516" t="s">
        <v>1824</v>
      </c>
      <c r="Z5" s="516" t="s">
        <v>1825</v>
      </c>
      <c r="AA5" s="516" t="s">
        <v>1826</v>
      </c>
      <c r="AB5" s="516" t="s">
        <v>1827</v>
      </c>
      <c r="AC5" s="516" t="s">
        <v>62</v>
      </c>
      <c r="AD5" s="516" t="s">
        <v>1786</v>
      </c>
      <c r="AE5" s="516" t="s">
        <v>1787</v>
      </c>
    </row>
    <row r="6" spans="1:31" ht="20.05" customHeight="1">
      <c r="B6" s="15" t="s">
        <v>1502</v>
      </c>
      <c r="C6" s="281">
        <f>⑤CP구성!$C$6</f>
        <v>46357</v>
      </c>
      <c r="D6" s="282">
        <f>⑤CP구성!$O$6</f>
        <v>60</v>
      </c>
      <c r="E6" s="283">
        <f>$H6-$D6-$F6-$G6</f>
        <v>239.39999999999856</v>
      </c>
      <c r="F6" s="284">
        <f>ROUND(SUM($J$15:$J$60)-(SUMIF($D$15:$D$60,12,$J$15:$J$60)+SUMIF($D$15:$D$60,1,$J$15:$J$60)+SUMIF($D$15:$D$60,2,$J$15:$J$60)),1)</f>
        <v>226.7</v>
      </c>
      <c r="G6" s="239">
        <f>IF($T6=MAX($T$6:$T$8),①공사개요!$C$15,0)</f>
        <v>0</v>
      </c>
      <c r="H6" s="417">
        <f>$L6-$J6</f>
        <v>526.09999999999854</v>
      </c>
      <c r="I6" s="284">
        <f>H6/365*12</f>
        <v>17.296438356164337</v>
      </c>
      <c r="J6" s="425" cm="1">
        <f t="array" ref="J6">SUMPRODUCT(('⑤-1 동절기순연축'!$D$5:$D$124="중지")*('⑤-1 동절기순연축'!$B$5:$B$124&gt;=$S6)*('⑤-1 동절기순연축'!$B$5:$B$124&lt;=$T6)*'⑤-1 동절기순연축'!$C$5:$C$124)</f>
        <v>212</v>
      </c>
      <c r="K6" s="239" cm="1">
        <f t="array" ref="K6">SUMPRODUCT(('⑤-1 동절기순연축'!$D$5:$D$124="중지")*('⑤-1 동절기순연축'!$B$5:$B$124&gt;=$S6)*('⑤-1 동절기순연축'!$B$5:$B$124&lt;=$T6))/3</f>
        <v>2.3333333333333335</v>
      </c>
      <c r="L6" s="417">
        <f>$T6-$S6+1</f>
        <v>738.09999999999854</v>
      </c>
      <c r="M6" s="284">
        <f>L6/365*12</f>
        <v>24.266301369862965</v>
      </c>
      <c r="N6" s="238">
        <f>$T6</f>
        <v>47094.1</v>
      </c>
      <c r="O6" s="284">
        <f>ROUND(SUM($J$15:$J$60),1)</f>
        <v>414.8</v>
      </c>
      <c r="P6" s="284">
        <f>ROUND((SUMIF($D$15:$D$60,12,$J$15:$J$60)+SUMIF($D$15:$D$60,1,$J$15:$J$60)+SUMIF($D$15:$D$60,2,$J$15:$J$60)),1)</f>
        <v>188.1</v>
      </c>
      <c r="R6" t="str">
        <f>$B6</f>
        <v>횡산소규모</v>
      </c>
      <c r="S6" s="238">
        <f>⑤CP구성!$S$43</f>
        <v>46357</v>
      </c>
      <c r="T6" s="238">
        <f>⑤CP구성!$V$43</f>
        <v>47094.1</v>
      </c>
      <c r="U6" s="417">
        <f>$T6-$S6+1</f>
        <v>738.09999999999854</v>
      </c>
      <c r="V6" s="284">
        <f>$U6/365*12</f>
        <v>24.266301369862965</v>
      </c>
      <c r="W6" s="510" t="str">
        <f>$B6</f>
        <v>횡산소규모</v>
      </c>
      <c r="X6" s="529">
        <f>$D6</f>
        <v>60</v>
      </c>
      <c r="Y6" s="529">
        <f>$F6</f>
        <v>226.7</v>
      </c>
      <c r="Z6" s="529">
        <f>$E6</f>
        <v>239.39999999999856</v>
      </c>
      <c r="AA6" s="529">
        <f>$G6</f>
        <v>0</v>
      </c>
      <c r="AB6" s="529">
        <f>$H6</f>
        <v>526.09999999999854</v>
      </c>
      <c r="AC6" s="514">
        <f>$I6</f>
        <v>17.296438356164337</v>
      </c>
      <c r="AD6" s="515">
        <f>①공사개요!$C$10</f>
        <v>46357</v>
      </c>
      <c r="AE6" s="515">
        <f>$AD6+ROUNDUP($AB6,0)-1</f>
        <v>46883</v>
      </c>
    </row>
    <row r="7" spans="1:31" ht="20.05" customHeight="1">
      <c r="B7" s="15" t="s">
        <v>1503</v>
      </c>
      <c r="C7" s="281">
        <f>⑤CP구성!$C$7</f>
        <v>46539</v>
      </c>
      <c r="D7" s="282">
        <f>⑤CP구성!$O$7</f>
        <v>0</v>
      </c>
      <c r="E7" s="284">
        <f>$H7-$D7-$F7-$G7</f>
        <v>480.3</v>
      </c>
      <c r="F7" s="284">
        <f>ROUND(SUM($T$15:$T$60)-(SUMIF($N$15:$N$60,12,$T$15:$T$60)+SUMIF($N$15:$N$60,1,$T$15:$T$60)+SUMIF($N$15:$N$60,2,$T$15:$T$60)),1)</f>
        <v>338.7</v>
      </c>
      <c r="G7" s="239">
        <f>IF($T7=MAX($T$6:$T$8),①공사개요!$C$15,0)</f>
        <v>0</v>
      </c>
      <c r="H7" s="417">
        <f>$L7-$J7</f>
        <v>819</v>
      </c>
      <c r="I7" s="284">
        <f>H7/365*12</f>
        <v>26.926027397260274</v>
      </c>
      <c r="J7" s="425" cm="1">
        <f t="array" ref="J7">SUMPRODUCT(('⑤-1 동절기순연축'!$D$5:$D$124="중지")*('⑤-1 동절기순연축'!$B$5:$B$124&gt;=$S7)*('⑤-1 동절기순연축'!$B$5:$B$124&lt;=$T7)*'⑤-1 동절기순연축'!$C$5:$C$124)</f>
        <v>271</v>
      </c>
      <c r="K7" s="239" cm="1">
        <f t="array" ref="K7">SUMPRODUCT(('⑤-1 동절기순연축'!$D$5:$D$124="중지")*('⑤-1 동절기순연축'!$B$5:$B$124&gt;=$S7)*('⑤-1 동절기순연축'!$B$5:$B$124&lt;=$T7))/3</f>
        <v>3</v>
      </c>
      <c r="L7" s="417">
        <f>$T7-$S7+1</f>
        <v>1090</v>
      </c>
      <c r="M7" s="284">
        <f>L7/365*12</f>
        <v>35.835616438356162</v>
      </c>
      <c r="N7" s="238">
        <f>$T7</f>
        <v>47628</v>
      </c>
      <c r="O7" s="284">
        <f>ROUND(SUM($T$15:$T$60),1)</f>
        <v>609.70000000000005</v>
      </c>
      <c r="P7" s="284">
        <f>ROUND((SUMIF($N$15:$N$60,12,$T$15:$T$60)+SUMIF($N$15:$N$60,1,$T$15:$T$60)+SUMIF($N$15:$N$60,2,$T$15:$T$60)),1)</f>
        <v>271</v>
      </c>
      <c r="R7" t="str">
        <f>$B7</f>
        <v>신서 증설</v>
      </c>
      <c r="S7" s="238">
        <f>⑤CP구성!$S$58</f>
        <v>46539</v>
      </c>
      <c r="T7" s="238">
        <f>⑤CP구성!$V$58</f>
        <v>47628</v>
      </c>
      <c r="U7" s="417">
        <f>$T7-$S7+1</f>
        <v>1090</v>
      </c>
      <c r="V7" s="284">
        <f>$U7/365*12</f>
        <v>35.835616438356162</v>
      </c>
      <c r="W7" s="510" t="str">
        <f>$B7</f>
        <v>신서 증설</v>
      </c>
      <c r="X7" s="529">
        <f>$D7</f>
        <v>0</v>
      </c>
      <c r="Y7" s="529">
        <f>$F7</f>
        <v>338.7</v>
      </c>
      <c r="Z7" s="529">
        <f>$E7</f>
        <v>480.3</v>
      </c>
      <c r="AA7" s="529">
        <f>$G7</f>
        <v>0</v>
      </c>
      <c r="AB7" s="529">
        <f>$H7</f>
        <v>819</v>
      </c>
      <c r="AC7" s="514">
        <f>$I7</f>
        <v>26.926027397260274</v>
      </c>
      <c r="AD7" s="515">
        <f>$AD$6+92</f>
        <v>46449</v>
      </c>
      <c r="AE7" s="515">
        <f>$AD7+ROUNDUP($AB7,0)</f>
        <v>47268</v>
      </c>
    </row>
    <row r="8" spans="1:31" ht="20.05" customHeight="1">
      <c r="B8" s="15" t="s">
        <v>1504</v>
      </c>
      <c r="C8" s="281">
        <f>⑤CP구성!$C$8</f>
        <v>46631</v>
      </c>
      <c r="D8" s="282">
        <f>⑤CP구성!$O$8</f>
        <v>0</v>
      </c>
      <c r="E8" s="284">
        <f>$H8-$D8-$F8-$G8</f>
        <v>488.19999999999709</v>
      </c>
      <c r="F8" s="284">
        <f>ROUND(SUM($AD$15:$AD$60)-(SUMIF($X$15:$X$60,12,$AD$15:$AD$60)+SUMIF($X$15:$X$60,1,$AD$15:$AD$60)+SUMIF($X$15:$X$60,2,$AD$15:$AD$60)),1)</f>
        <v>362</v>
      </c>
      <c r="G8" s="239">
        <f>IF($T8=MAX($T$6:$T$8),①공사개요!$C$15,0)</f>
        <v>30</v>
      </c>
      <c r="H8" s="417">
        <f>$L8-$J8</f>
        <v>880.19999999999709</v>
      </c>
      <c r="I8" s="284">
        <f>H8/365*12</f>
        <v>28.93808219178073</v>
      </c>
      <c r="J8" s="425" cm="1">
        <f t="array" ref="J8">SUMPRODUCT(('⑤-1 동절기순연축'!$D$5:$D$124="중지")*('⑤-1 동절기순연축'!$B$5:$B$124&gt;=$S8)*('⑤-1 동절기순연축'!$B$5:$B$124&lt;=$T8)*'⑤-1 동절기순연축'!$C$5:$C$124)</f>
        <v>271</v>
      </c>
      <c r="K8" s="239" cm="1">
        <f t="array" ref="K8">SUMPRODUCT(('⑤-1 동절기순연축'!$D$5:$D$124="중지")*('⑤-1 동절기순연축'!$B$5:$B$124&gt;=$S8)*('⑤-1 동절기순연축'!$B$5:$B$124&lt;=$T8))/3</f>
        <v>3</v>
      </c>
      <c r="L8" s="417">
        <f>$T8-$S8+1</f>
        <v>1151.1999999999971</v>
      </c>
      <c r="M8" s="284">
        <f>L8/365*12</f>
        <v>37.847671232876621</v>
      </c>
      <c r="N8" s="238">
        <f>$T8</f>
        <v>47781.2</v>
      </c>
      <c r="O8" s="284">
        <f>ROUND(SUM($AD$15:$AD$60),1)</f>
        <v>633</v>
      </c>
      <c r="P8" s="284">
        <f>ROUND((SUMIF($X$15:$X$60,12,$AD$15:$AD$60)+SUMIF($X$15:$X$60,1,$AD$15:$AD$60)+SUMIF($X$15:$X$60,2,$AD$15:$AD$60)),1)</f>
        <v>271</v>
      </c>
      <c r="R8" t="str">
        <f>$B8</f>
        <v>노동리·우정리</v>
      </c>
      <c r="S8" s="238">
        <f>⑤CP구성!$S$78</f>
        <v>46631</v>
      </c>
      <c r="T8" s="238">
        <f>⑤CP구성!$V$80</f>
        <v>47781.2</v>
      </c>
      <c r="U8" s="417">
        <f>$T8-$S8+1</f>
        <v>1151.1999999999971</v>
      </c>
      <c r="V8" s="284">
        <f>$U8/365*12</f>
        <v>37.847671232876621</v>
      </c>
      <c r="W8" s="510" t="str">
        <f>$B8</f>
        <v>노동리·우정리</v>
      </c>
      <c r="X8" s="529">
        <f>$D8</f>
        <v>0</v>
      </c>
      <c r="Y8" s="529">
        <f>$F8</f>
        <v>362</v>
      </c>
      <c r="Z8" s="529">
        <f>$E8</f>
        <v>488.19999999999709</v>
      </c>
      <c r="AA8" s="529">
        <f>$G8</f>
        <v>30</v>
      </c>
      <c r="AB8" s="529">
        <f>$H8</f>
        <v>880.19999999999709</v>
      </c>
      <c r="AC8" s="514">
        <f>$I8</f>
        <v>28.93808219178073</v>
      </c>
      <c r="AD8" s="515">
        <f>$AD$6+184</f>
        <v>46541</v>
      </c>
      <c r="AE8" s="515">
        <f>$AD8+ROUNDUP($AB8,0)-1</f>
        <v>47421</v>
      </c>
    </row>
    <row r="9" spans="1:31" ht="20.05" customHeight="1">
      <c r="B9" s="15" t="s">
        <v>1626</v>
      </c>
      <c r="C9" s="281">
        <f>MIN(C6:C8)</f>
        <v>46357</v>
      </c>
      <c r="D9" s="286">
        <f>⑤CP구성!$O$6</f>
        <v>60</v>
      </c>
      <c r="E9" s="287">
        <f>SUM(E6:E8)</f>
        <v>1207.8999999999955</v>
      </c>
      <c r="F9" s="287">
        <f>SUM(F6:F8)</f>
        <v>927.4</v>
      </c>
      <c r="G9" s="288">
        <f>①공사개요!$C$15</f>
        <v>30</v>
      </c>
      <c r="H9" s="418">
        <f>$L9-$J9</f>
        <v>1064.1999999999971</v>
      </c>
      <c r="I9" s="287">
        <f>H9/365*12</f>
        <v>34.987397260273873</v>
      </c>
      <c r="J9" s="450">
        <f>⑤CP구성!$Z$16</f>
        <v>361</v>
      </c>
      <c r="K9" s="451">
        <f>⑤CP구성!$Z$17</f>
        <v>4</v>
      </c>
      <c r="L9" s="418">
        <f>⑤CP구성!$Z$14</f>
        <v>1425.1999999999971</v>
      </c>
      <c r="M9" s="287">
        <f>L9/365*12</f>
        <v>46.855890410958807</v>
      </c>
      <c r="N9" s="289">
        <f>$T9</f>
        <v>47781.2</v>
      </c>
      <c r="O9" s="287">
        <f>SUM(O6:O8)</f>
        <v>1657.5</v>
      </c>
      <c r="P9" s="284">
        <f>ROUND(SUM($I$66:$I$125),1)</f>
        <v>361</v>
      </c>
      <c r="R9" s="237" t="str">
        <f>$B9</f>
        <v>【 3개 사업 전체 】</v>
      </c>
      <c r="S9" s="289">
        <f>⑤CP구성!$S$80</f>
        <v>46357</v>
      </c>
      <c r="T9" s="289">
        <f>⑤CP구성!$V$80</f>
        <v>47781.2</v>
      </c>
      <c r="U9" s="418">
        <f>⑤CP구성!$Z$14</f>
        <v>1425.1999999999971</v>
      </c>
      <c r="V9" s="287">
        <f>⑤CP구성!$Z$15</f>
        <v>46.855890410958807</v>
      </c>
      <c r="W9" s="517" t="str">
        <f>$B9</f>
        <v>【 3개 사업 전체 】</v>
      </c>
      <c r="X9" s="530">
        <f>$D9</f>
        <v>60</v>
      </c>
      <c r="Y9" s="530">
        <f>$F9</f>
        <v>927.4</v>
      </c>
      <c r="Z9" s="530">
        <f>$E9</f>
        <v>1207.8999999999955</v>
      </c>
      <c r="AA9" s="530">
        <f>$G9</f>
        <v>30</v>
      </c>
      <c r="AB9" s="530">
        <f>$H9</f>
        <v>1064.1999999999971</v>
      </c>
      <c r="AC9" s="521">
        <f>$I9</f>
        <v>34.987397260273873</v>
      </c>
      <c r="AD9" s="522">
        <f>MIN(AD6:AD8)</f>
        <v>46357</v>
      </c>
      <c r="AE9" s="522">
        <f>MAX(AE6:AE8)</f>
        <v>47421</v>
      </c>
    </row>
    <row r="10" spans="1:31" ht="31" customHeight="1">
      <c r="B10" s="526" t="s">
        <v>1732</v>
      </c>
      <c r="C10" s="21"/>
      <c r="D10" s="17"/>
      <c r="R10" s="424" t="s">
        <v>1793</v>
      </c>
      <c r="W10" s="543" t="s">
        <v>1829</v>
      </c>
      <c r="X10" s="543"/>
      <c r="Y10" s="543"/>
      <c r="Z10" s="543"/>
      <c r="AA10" s="543"/>
      <c r="AB10" s="543"/>
      <c r="AC10" s="543"/>
      <c r="AD10" s="543"/>
      <c r="AE10" s="543"/>
    </row>
    <row r="11" spans="1:31" ht="18" customHeight="1">
      <c r="B11" s="90" t="s">
        <v>1733</v>
      </c>
      <c r="O11" t="s">
        <v>1668</v>
      </c>
      <c r="W11" s="539" t="s">
        <v>1830</v>
      </c>
      <c r="X11" s="539"/>
      <c r="Y11" s="539"/>
      <c r="Z11" s="539"/>
      <c r="AA11" s="539"/>
      <c r="AB11" s="539"/>
      <c r="AC11" s="539"/>
      <c r="AD11" s="539"/>
      <c r="AE11" s="539"/>
    </row>
    <row r="12" spans="1:31" ht="31" customHeight="1">
      <c r="B12" s="527" t="s">
        <v>1734</v>
      </c>
      <c r="W12" s="539" t="s">
        <v>1831</v>
      </c>
      <c r="X12" s="539"/>
      <c r="Y12" s="539"/>
      <c r="Z12" s="539"/>
      <c r="AA12" s="539"/>
      <c r="AB12" s="539"/>
      <c r="AC12" s="539"/>
      <c r="AD12" s="539"/>
      <c r="AE12" s="539"/>
    </row>
    <row r="13" spans="1:31" ht="31" customHeight="1">
      <c r="B13" s="453" t="s">
        <v>1735</v>
      </c>
      <c r="L13" s="80" t="s">
        <v>1629</v>
      </c>
      <c r="V13" s="80" t="s">
        <v>1630</v>
      </c>
      <c r="W13" s="539" t="s">
        <v>1832</v>
      </c>
      <c r="X13" s="539"/>
      <c r="Y13" s="539"/>
      <c r="Z13" s="539"/>
      <c r="AA13" s="539"/>
      <c r="AB13" s="539"/>
      <c r="AC13" s="539"/>
      <c r="AD13" s="539"/>
      <c r="AE13" s="539"/>
    </row>
    <row r="14" spans="1:31" ht="30" customHeight="1">
      <c r="B14" s="71" t="s">
        <v>71</v>
      </c>
      <c r="C14" s="72" t="s">
        <v>77</v>
      </c>
      <c r="D14" s="72" t="s">
        <v>78</v>
      </c>
      <c r="E14" s="72" t="s">
        <v>79</v>
      </c>
      <c r="F14" s="72" t="s">
        <v>437</v>
      </c>
      <c r="G14" s="72" t="s">
        <v>438</v>
      </c>
      <c r="H14" s="72" t="s">
        <v>439</v>
      </c>
      <c r="I14" s="72" t="s">
        <v>1729</v>
      </c>
      <c r="J14" s="72" t="s">
        <v>1730</v>
      </c>
      <c r="L14" s="71" t="s">
        <v>71</v>
      </c>
      <c r="M14" s="72" t="s">
        <v>77</v>
      </c>
      <c r="N14" s="72" t="s">
        <v>78</v>
      </c>
      <c r="O14" s="72" t="s">
        <v>79</v>
      </c>
      <c r="P14" s="72" t="s">
        <v>437</v>
      </c>
      <c r="Q14" s="72" t="s">
        <v>438</v>
      </c>
      <c r="R14" s="72" t="s">
        <v>439</v>
      </c>
      <c r="S14" s="72" t="s">
        <v>1729</v>
      </c>
      <c r="T14" s="72" t="s">
        <v>1730</v>
      </c>
      <c r="V14" s="71" t="s">
        <v>71</v>
      </c>
      <c r="W14" s="72" t="s">
        <v>77</v>
      </c>
      <c r="X14" s="72" t="s">
        <v>78</v>
      </c>
      <c r="Y14" s="72" t="s">
        <v>79</v>
      </c>
      <c r="Z14" s="72" t="s">
        <v>437</v>
      </c>
      <c r="AA14" s="72" t="s">
        <v>438</v>
      </c>
      <c r="AB14" s="72" t="s">
        <v>439</v>
      </c>
      <c r="AC14" s="72" t="s">
        <v>1729</v>
      </c>
      <c r="AD14" s="72" t="s">
        <v>1730</v>
      </c>
    </row>
    <row r="15" spans="1:31">
      <c r="B15" s="81">
        <v>1</v>
      </c>
      <c r="C15" s="82">
        <f>YEAR($S$6)</f>
        <v>2026</v>
      </c>
      <c r="D15" s="82">
        <f>MONTH($S$6)</f>
        <v>12</v>
      </c>
      <c r="E15" s="221">
        <f t="shared" ref="E15:E60" si="0">DAY(EOMONTH(DATE(C15,D15,1),0))</f>
        <v>31</v>
      </c>
      <c r="F15" s="293">
        <f>IF(OR(D15=12,D15=1,D15=2),E15,IFERROR(INDEX(②비작업일수!$J$8:$J$52,MATCH(C15*100+D15,②비작업일수!$N$8:$N$52,0)),IFERROR(INDEX(②비작업일수!$J$8:$J$52,MATCH(D15,②비작업일수!$D$8:$D$52,0)),8)))</f>
        <v>31</v>
      </c>
      <c r="G15" s="293">
        <f t="shared" ref="G15:G60" si="1">MAX(E15-F15,0)</f>
        <v>0</v>
      </c>
      <c r="H15" s="293">
        <f>G15</f>
        <v>0</v>
      </c>
      <c r="I15" s="293">
        <f t="shared" ref="I15:I60" si="2">MAX(0,MIN($T$6,EOMONTH(DATE($C15,$D15,1),0))-MAX($S$6,DATE($C15,$D15,1))+1)</f>
        <v>31</v>
      </c>
      <c r="J15" s="294">
        <f t="shared" ref="J15:J60" si="3">ROUND($F15*$I15/$E15,1)</f>
        <v>31</v>
      </c>
      <c r="L15" s="81">
        <v>1</v>
      </c>
      <c r="M15" s="82">
        <f>YEAR($S$7)</f>
        <v>2027</v>
      </c>
      <c r="N15" s="82">
        <f>MONTH($S$7)</f>
        <v>6</v>
      </c>
      <c r="O15" s="221">
        <f t="shared" ref="O15:O60" si="4">DAY(EOMONTH(DATE(M15,N15,1),0))</f>
        <v>30</v>
      </c>
      <c r="P15" s="293">
        <f>IF(OR(N15=12,N15=1,N15=2),O15,IFERROR(INDEX(②비작업일수!$J$8:$J$52,MATCH(M15*100+N15,②비작업일수!$N$8:$N$52,0)),IFERROR(INDEX(②비작업일수!$J$8:$J$52,MATCH(N15,②비작업일수!$D$8:$D$52,0)),8)))</f>
        <v>9</v>
      </c>
      <c r="Q15" s="293">
        <f t="shared" ref="Q15:Q60" si="5">MAX(O15-P15,0)</f>
        <v>21</v>
      </c>
      <c r="R15" s="293">
        <f>Q15</f>
        <v>21</v>
      </c>
      <c r="S15" s="293">
        <f t="shared" ref="S15:S60" si="6">MAX(0,MIN($T$7,EOMONTH(DATE($M15,$N15,1),0))-MAX($S$7,DATE($M15,$N15,1))+1)</f>
        <v>30</v>
      </c>
      <c r="T15" s="294">
        <f t="shared" ref="T15:T60" si="7">ROUND($P15*$S15/$O15,1)</f>
        <v>9</v>
      </c>
      <c r="V15" s="81">
        <v>1</v>
      </c>
      <c r="W15" s="82">
        <f>YEAR($S$8)</f>
        <v>2027</v>
      </c>
      <c r="X15" s="82">
        <f>MONTH($S$8)</f>
        <v>9</v>
      </c>
      <c r="Y15" s="221">
        <f t="shared" ref="Y15:Y60" si="8">DAY(EOMONTH(DATE(W15,X15,1),0))</f>
        <v>30</v>
      </c>
      <c r="Z15" s="293">
        <f>IF(OR(X15=12,X15=1,X15=2),Y15,IFERROR(INDEX(②비작업일수!$J$8:$J$52,MATCH(W15*100+X15,②비작업일수!$N$8:$N$52,0)),IFERROR(INDEX(②비작업일수!$J$8:$J$52,MATCH(X15,②비작업일수!$D$8:$D$52,0)),8)))</f>
        <v>10.899999999999999</v>
      </c>
      <c r="AA15" s="293">
        <f t="shared" ref="AA15:AA60" si="9">MAX(Y15-Z15,0)</f>
        <v>19.100000000000001</v>
      </c>
      <c r="AB15" s="293">
        <f>AA15</f>
        <v>19.100000000000001</v>
      </c>
      <c r="AC15" s="293">
        <f t="shared" ref="AC15:AC60" si="10">MAX(0,MIN($T$8,EOMONTH(DATE($W15,$X15,1),0))-MAX($S$8,DATE($W15,$X15,1))+1)</f>
        <v>30</v>
      </c>
      <c r="AD15" s="294">
        <f t="shared" ref="AD15:AD60" si="11">ROUND($Z15*$AC15/$Y15,1)</f>
        <v>10.9</v>
      </c>
    </row>
    <row r="16" spans="1:31">
      <c r="B16" s="81">
        <v>2</v>
      </c>
      <c r="C16" s="82">
        <f t="shared" ref="C16:C60" si="12">YEAR(DATE(C15,D15+1,1))</f>
        <v>2027</v>
      </c>
      <c r="D16" s="82">
        <f t="shared" ref="D16:D60" si="13">MONTH(DATE(C15,D15+1,1))</f>
        <v>1</v>
      </c>
      <c r="E16" s="223">
        <f t="shared" si="0"/>
        <v>31</v>
      </c>
      <c r="F16" s="295">
        <f>IF(OR(D16=12,D16=1,D16=2),E16,IFERROR(INDEX(②비작업일수!$J$8:$J$52,MATCH(C16*100+D16,②비작업일수!$N$8:$N$52,0)),IFERROR(INDEX(②비작업일수!$J$8:$J$52,MATCH(D16,②비작업일수!$D$8:$D$52,0)),8)))</f>
        <v>31</v>
      </c>
      <c r="G16" s="295">
        <f t="shared" si="1"/>
        <v>0</v>
      </c>
      <c r="H16" s="295">
        <f t="shared" ref="H16:H60" si="14">H15+G16</f>
        <v>0</v>
      </c>
      <c r="I16" s="295">
        <f t="shared" si="2"/>
        <v>31</v>
      </c>
      <c r="J16" s="296">
        <f t="shared" si="3"/>
        <v>31</v>
      </c>
      <c r="L16" s="81">
        <v>2</v>
      </c>
      <c r="M16" s="82">
        <f t="shared" ref="M16:M60" si="15">YEAR(DATE(M15,N15+1,1))</f>
        <v>2027</v>
      </c>
      <c r="N16" s="82">
        <f t="shared" ref="N16:N60" si="16">MONTH(DATE(M15,N15+1,1))</f>
        <v>7</v>
      </c>
      <c r="O16" s="223">
        <f t="shared" si="4"/>
        <v>31</v>
      </c>
      <c r="P16" s="295">
        <f>IF(OR(N16=12,N16=1,N16=2),O16,IFERROR(INDEX(②비작업일수!$J$8:$J$52,MATCH(M16*100+N16,②비작업일수!$N$8:$N$52,0)),IFERROR(INDEX(②비작업일수!$J$8:$J$52,MATCH(N16,②비작업일수!$D$8:$D$52,0)),8)))</f>
        <v>18.3</v>
      </c>
      <c r="Q16" s="295">
        <f t="shared" si="5"/>
        <v>12.7</v>
      </c>
      <c r="R16" s="295">
        <f t="shared" ref="R16:R60" si="17">R15+Q16</f>
        <v>33.700000000000003</v>
      </c>
      <c r="S16" s="295">
        <f t="shared" si="6"/>
        <v>31</v>
      </c>
      <c r="T16" s="296">
        <f t="shared" si="7"/>
        <v>18.3</v>
      </c>
      <c r="V16" s="81">
        <v>2</v>
      </c>
      <c r="W16" s="82">
        <f t="shared" ref="W16:W60" si="18">YEAR(DATE(W15,X15+1,1))</f>
        <v>2027</v>
      </c>
      <c r="X16" s="82">
        <f t="shared" ref="X16:X60" si="19">MONTH(DATE(W15,X15+1,1))</f>
        <v>10</v>
      </c>
      <c r="Y16" s="223">
        <f t="shared" si="8"/>
        <v>31</v>
      </c>
      <c r="Z16" s="295">
        <f>IF(OR(X16=12,X16=1,X16=2),Y16,IFERROR(INDEX(②비작업일수!$J$8:$J$52,MATCH(W16*100+X16,②비작업일수!$N$8:$N$52,0)),IFERROR(INDEX(②비작업일수!$J$8:$J$52,MATCH(X16,②비작업일수!$D$8:$D$52,0)),8)))</f>
        <v>11.2</v>
      </c>
      <c r="AA16" s="295">
        <f t="shared" si="9"/>
        <v>19.8</v>
      </c>
      <c r="AB16" s="295">
        <f t="shared" ref="AB16:AB60" si="20">AB15+AA16</f>
        <v>38.900000000000006</v>
      </c>
      <c r="AC16" s="295">
        <f t="shared" si="10"/>
        <v>31</v>
      </c>
      <c r="AD16" s="296">
        <f t="shared" si="11"/>
        <v>11.2</v>
      </c>
    </row>
    <row r="17" spans="2:30">
      <c r="B17" s="81">
        <v>3</v>
      </c>
      <c r="C17" s="82">
        <f t="shared" si="12"/>
        <v>2027</v>
      </c>
      <c r="D17" s="82">
        <f t="shared" si="13"/>
        <v>2</v>
      </c>
      <c r="E17" s="82">
        <f t="shared" si="0"/>
        <v>28</v>
      </c>
      <c r="F17" s="83">
        <f>IF(OR(D17=12,D17=1,D17=2),E17,IFERROR(INDEX(②비작업일수!$J$8:$J$52,MATCH(C17*100+D17,②비작업일수!$N$8:$N$52,0)),IFERROR(INDEX(②비작업일수!$J$8:$J$52,MATCH(D17,②비작업일수!$D$8:$D$52,0)),8)))</f>
        <v>28</v>
      </c>
      <c r="G17" s="83">
        <f t="shared" si="1"/>
        <v>0</v>
      </c>
      <c r="H17" s="83">
        <f t="shared" si="14"/>
        <v>0</v>
      </c>
      <c r="I17" s="83">
        <f t="shared" si="2"/>
        <v>28</v>
      </c>
      <c r="J17" s="83">
        <f t="shared" si="3"/>
        <v>28</v>
      </c>
      <c r="L17" s="81">
        <v>3</v>
      </c>
      <c r="M17" s="82">
        <f t="shared" si="15"/>
        <v>2027</v>
      </c>
      <c r="N17" s="82">
        <f t="shared" si="16"/>
        <v>8</v>
      </c>
      <c r="O17" s="82">
        <f t="shared" si="4"/>
        <v>31</v>
      </c>
      <c r="P17" s="83">
        <f>IF(OR(N17=12,N17=1,N17=2),O17,IFERROR(INDEX(②비작업일수!$J$8:$J$52,MATCH(M17*100+N17,②비작업일수!$N$8:$N$52,0)),IFERROR(INDEX(②비작업일수!$J$8:$J$52,MATCH(N17,②비작업일수!$D$8:$D$52,0)),8)))</f>
        <v>20.900000000000002</v>
      </c>
      <c r="Q17" s="83">
        <f t="shared" si="5"/>
        <v>10.099999999999998</v>
      </c>
      <c r="R17" s="83">
        <f t="shared" si="17"/>
        <v>43.8</v>
      </c>
      <c r="S17" s="83">
        <f t="shared" si="6"/>
        <v>31</v>
      </c>
      <c r="T17" s="83">
        <f t="shared" si="7"/>
        <v>20.9</v>
      </c>
      <c r="V17" s="81">
        <v>3</v>
      </c>
      <c r="W17" s="82">
        <f t="shared" si="18"/>
        <v>2027</v>
      </c>
      <c r="X17" s="82">
        <f t="shared" si="19"/>
        <v>11</v>
      </c>
      <c r="Y17" s="82">
        <f t="shared" si="8"/>
        <v>30</v>
      </c>
      <c r="Z17" s="83">
        <f>IF(OR(X17=12,X17=1,X17=2),Y17,IFERROR(INDEX(②비작업일수!$J$8:$J$52,MATCH(W17*100+X17,②비작업일수!$N$8:$N$52,0)),IFERROR(INDEX(②비작업일수!$J$8:$J$52,MATCH(X17,②비작업일수!$D$8:$D$52,0)),8)))</f>
        <v>9.6</v>
      </c>
      <c r="AA17" s="83">
        <f t="shared" si="9"/>
        <v>20.399999999999999</v>
      </c>
      <c r="AB17" s="83">
        <f t="shared" si="20"/>
        <v>59.300000000000004</v>
      </c>
      <c r="AC17" s="83">
        <f t="shared" si="10"/>
        <v>30</v>
      </c>
      <c r="AD17" s="83">
        <f t="shared" si="11"/>
        <v>9.6</v>
      </c>
    </row>
    <row r="18" spans="2:30">
      <c r="B18" s="81">
        <v>4</v>
      </c>
      <c r="C18" s="82">
        <f t="shared" si="12"/>
        <v>2027</v>
      </c>
      <c r="D18" s="82">
        <f t="shared" si="13"/>
        <v>3</v>
      </c>
      <c r="E18" s="82">
        <f t="shared" si="0"/>
        <v>31</v>
      </c>
      <c r="F18" s="83">
        <f>IF(OR(D18=12,D18=1,D18=2),E18,IFERROR(INDEX(②비작업일수!$J$8:$J$52,MATCH(C18*100+D18,②비작업일수!$N$8:$N$52,0)),IFERROR(INDEX(②비작업일수!$J$8:$J$52,MATCH(D18,②비작업일수!$D$8:$D$52,0)),8)))</f>
        <v>11.5</v>
      </c>
      <c r="G18" s="83">
        <f t="shared" si="1"/>
        <v>19.5</v>
      </c>
      <c r="H18" s="83">
        <f t="shared" si="14"/>
        <v>19.5</v>
      </c>
      <c r="I18" s="83">
        <f t="shared" si="2"/>
        <v>31</v>
      </c>
      <c r="J18" s="83">
        <f t="shared" si="3"/>
        <v>11.5</v>
      </c>
      <c r="L18" s="81">
        <v>4</v>
      </c>
      <c r="M18" s="82">
        <f t="shared" si="15"/>
        <v>2027</v>
      </c>
      <c r="N18" s="82">
        <f t="shared" si="16"/>
        <v>9</v>
      </c>
      <c r="O18" s="82">
        <f t="shared" si="4"/>
        <v>30</v>
      </c>
      <c r="P18" s="83">
        <f>IF(OR(N18=12,N18=1,N18=2),O18,IFERROR(INDEX(②비작업일수!$J$8:$J$52,MATCH(M18*100+N18,②비작업일수!$N$8:$N$52,0)),IFERROR(INDEX(②비작업일수!$J$8:$J$52,MATCH(N18,②비작업일수!$D$8:$D$52,0)),8)))</f>
        <v>10.899999999999999</v>
      </c>
      <c r="Q18" s="83">
        <f t="shared" si="5"/>
        <v>19.100000000000001</v>
      </c>
      <c r="R18" s="83">
        <f t="shared" si="17"/>
        <v>62.9</v>
      </c>
      <c r="S18" s="83">
        <f t="shared" si="6"/>
        <v>30</v>
      </c>
      <c r="T18" s="83">
        <f t="shared" si="7"/>
        <v>10.9</v>
      </c>
      <c r="V18" s="81">
        <v>4</v>
      </c>
      <c r="W18" s="82">
        <f t="shared" si="18"/>
        <v>2027</v>
      </c>
      <c r="X18" s="82">
        <f t="shared" si="19"/>
        <v>12</v>
      </c>
      <c r="Y18" s="82">
        <f t="shared" si="8"/>
        <v>31</v>
      </c>
      <c r="Z18" s="83">
        <f>IF(OR(X18=12,X18=1,X18=2),Y18,IFERROR(INDEX(②비작업일수!$J$8:$J$52,MATCH(W18*100+X18,②비작업일수!$N$8:$N$52,0)),IFERROR(INDEX(②비작업일수!$J$8:$J$52,MATCH(X18,②비작업일수!$D$8:$D$52,0)),8)))</f>
        <v>31</v>
      </c>
      <c r="AA18" s="83">
        <f t="shared" si="9"/>
        <v>0</v>
      </c>
      <c r="AB18" s="83">
        <f t="shared" si="20"/>
        <v>59.300000000000004</v>
      </c>
      <c r="AC18" s="83">
        <f t="shared" si="10"/>
        <v>31</v>
      </c>
      <c r="AD18" s="83">
        <f t="shared" si="11"/>
        <v>31</v>
      </c>
    </row>
    <row r="19" spans="2:30">
      <c r="B19" s="81">
        <v>5</v>
      </c>
      <c r="C19" s="82">
        <f t="shared" si="12"/>
        <v>2027</v>
      </c>
      <c r="D19" s="82">
        <f t="shared" si="13"/>
        <v>4</v>
      </c>
      <c r="E19" s="82">
        <f t="shared" si="0"/>
        <v>30</v>
      </c>
      <c r="F19" s="83">
        <f>IF(OR(D19=12,D19=1,D19=2),E19,IFERROR(INDEX(②비작업일수!$J$8:$J$52,MATCH(C19*100+D19,②비작업일수!$N$8:$N$52,0)),IFERROR(INDEX(②비작업일수!$J$8:$J$52,MATCH(D19,②비작업일수!$D$8:$D$52,0)),8)))</f>
        <v>10</v>
      </c>
      <c r="G19" s="83">
        <f t="shared" si="1"/>
        <v>20</v>
      </c>
      <c r="H19" s="83">
        <f t="shared" si="14"/>
        <v>39.5</v>
      </c>
      <c r="I19" s="83">
        <f t="shared" si="2"/>
        <v>30</v>
      </c>
      <c r="J19" s="83">
        <f t="shared" si="3"/>
        <v>10</v>
      </c>
      <c r="L19" s="81">
        <v>5</v>
      </c>
      <c r="M19" s="82">
        <f t="shared" si="15"/>
        <v>2027</v>
      </c>
      <c r="N19" s="82">
        <f t="shared" si="16"/>
        <v>10</v>
      </c>
      <c r="O19" s="82">
        <f t="shared" si="4"/>
        <v>31</v>
      </c>
      <c r="P19" s="83">
        <f>IF(OR(N19=12,N19=1,N19=2),O19,IFERROR(INDEX(②비작업일수!$J$8:$J$52,MATCH(M19*100+N19,②비작업일수!$N$8:$N$52,0)),IFERROR(INDEX(②비작업일수!$J$8:$J$52,MATCH(N19,②비작업일수!$D$8:$D$52,0)),8)))</f>
        <v>11.2</v>
      </c>
      <c r="Q19" s="83">
        <f t="shared" si="5"/>
        <v>19.8</v>
      </c>
      <c r="R19" s="83">
        <f t="shared" si="17"/>
        <v>82.7</v>
      </c>
      <c r="S19" s="83">
        <f t="shared" si="6"/>
        <v>31</v>
      </c>
      <c r="T19" s="83">
        <f t="shared" si="7"/>
        <v>11.2</v>
      </c>
      <c r="V19" s="81">
        <v>5</v>
      </c>
      <c r="W19" s="82">
        <f t="shared" si="18"/>
        <v>2028</v>
      </c>
      <c r="X19" s="82">
        <f t="shared" si="19"/>
        <v>1</v>
      </c>
      <c r="Y19" s="82">
        <f t="shared" si="8"/>
        <v>31</v>
      </c>
      <c r="Z19" s="83">
        <f>IF(OR(X19=12,X19=1,X19=2),Y19,IFERROR(INDEX(②비작업일수!$J$8:$J$52,MATCH(W19*100+X19,②비작업일수!$N$8:$N$52,0)),IFERROR(INDEX(②비작업일수!$J$8:$J$52,MATCH(X19,②비작업일수!$D$8:$D$52,0)),8)))</f>
        <v>31</v>
      </c>
      <c r="AA19" s="83">
        <f t="shared" si="9"/>
        <v>0</v>
      </c>
      <c r="AB19" s="83">
        <f t="shared" si="20"/>
        <v>59.300000000000004</v>
      </c>
      <c r="AC19" s="83">
        <f t="shared" si="10"/>
        <v>31</v>
      </c>
      <c r="AD19" s="83">
        <f t="shared" si="11"/>
        <v>31</v>
      </c>
    </row>
    <row r="20" spans="2:30">
      <c r="B20" s="81">
        <v>6</v>
      </c>
      <c r="C20" s="82">
        <f t="shared" si="12"/>
        <v>2027</v>
      </c>
      <c r="D20" s="82">
        <f t="shared" si="13"/>
        <v>5</v>
      </c>
      <c r="E20" s="82">
        <f t="shared" si="0"/>
        <v>31</v>
      </c>
      <c r="F20" s="83">
        <f>IF(OR(D20=12,D20=1,D20=2),E20,IFERROR(INDEX(②비작업일수!$J$8:$J$52,MATCH(C20*100+D20,②비작업일수!$N$8:$N$52,0)),IFERROR(INDEX(②비작업일수!$J$8:$J$52,MATCH(D20,②비작업일수!$D$8:$D$52,0)),8)))</f>
        <v>11.9</v>
      </c>
      <c r="G20" s="83">
        <f t="shared" si="1"/>
        <v>19.100000000000001</v>
      </c>
      <c r="H20" s="83">
        <f t="shared" si="14"/>
        <v>58.6</v>
      </c>
      <c r="I20" s="83">
        <f t="shared" si="2"/>
        <v>31</v>
      </c>
      <c r="J20" s="83">
        <f t="shared" si="3"/>
        <v>11.9</v>
      </c>
      <c r="L20" s="81">
        <v>6</v>
      </c>
      <c r="M20" s="82">
        <f t="shared" si="15"/>
        <v>2027</v>
      </c>
      <c r="N20" s="82">
        <f t="shared" si="16"/>
        <v>11</v>
      </c>
      <c r="O20" s="82">
        <f t="shared" si="4"/>
        <v>30</v>
      </c>
      <c r="P20" s="83">
        <f>IF(OR(N20=12,N20=1,N20=2),O20,IFERROR(INDEX(②비작업일수!$J$8:$J$52,MATCH(M20*100+N20,②비작업일수!$N$8:$N$52,0)),IFERROR(INDEX(②비작업일수!$J$8:$J$52,MATCH(N20,②비작업일수!$D$8:$D$52,0)),8)))</f>
        <v>9.6</v>
      </c>
      <c r="Q20" s="83">
        <f t="shared" si="5"/>
        <v>20.399999999999999</v>
      </c>
      <c r="R20" s="83">
        <f t="shared" si="17"/>
        <v>103.1</v>
      </c>
      <c r="S20" s="83">
        <f t="shared" si="6"/>
        <v>30</v>
      </c>
      <c r="T20" s="83">
        <f t="shared" si="7"/>
        <v>9.6</v>
      </c>
      <c r="V20" s="81">
        <v>6</v>
      </c>
      <c r="W20" s="82">
        <f t="shared" si="18"/>
        <v>2028</v>
      </c>
      <c r="X20" s="82">
        <f t="shared" si="19"/>
        <v>2</v>
      </c>
      <c r="Y20" s="82">
        <f t="shared" si="8"/>
        <v>29</v>
      </c>
      <c r="Z20" s="83">
        <f>IF(OR(X20=12,X20=1,X20=2),Y20,IFERROR(INDEX(②비작업일수!$J$8:$J$52,MATCH(W20*100+X20,②비작업일수!$N$8:$N$52,0)),IFERROR(INDEX(②비작업일수!$J$8:$J$52,MATCH(X20,②비작업일수!$D$8:$D$52,0)),8)))</f>
        <v>29</v>
      </c>
      <c r="AA20" s="83">
        <f t="shared" si="9"/>
        <v>0</v>
      </c>
      <c r="AB20" s="83">
        <f t="shared" si="20"/>
        <v>59.300000000000004</v>
      </c>
      <c r="AC20" s="83">
        <f t="shared" si="10"/>
        <v>29</v>
      </c>
      <c r="AD20" s="83">
        <f t="shared" si="11"/>
        <v>29</v>
      </c>
    </row>
    <row r="21" spans="2:30">
      <c r="B21" s="81">
        <v>7</v>
      </c>
      <c r="C21" s="82">
        <f t="shared" si="12"/>
        <v>2027</v>
      </c>
      <c r="D21" s="82">
        <f t="shared" si="13"/>
        <v>6</v>
      </c>
      <c r="E21" s="82">
        <f t="shared" si="0"/>
        <v>30</v>
      </c>
      <c r="F21" s="83">
        <f>IF(OR(D21=12,D21=1,D21=2),E21,IFERROR(INDEX(②비작업일수!$J$8:$J$52,MATCH(C21*100+D21,②비작업일수!$N$8:$N$52,0)),IFERROR(INDEX(②비작업일수!$J$8:$J$52,MATCH(D21,②비작업일수!$D$8:$D$52,0)),8)))</f>
        <v>9</v>
      </c>
      <c r="G21" s="83">
        <f t="shared" si="1"/>
        <v>21</v>
      </c>
      <c r="H21" s="83">
        <f t="shared" si="14"/>
        <v>79.599999999999994</v>
      </c>
      <c r="I21" s="83">
        <f t="shared" si="2"/>
        <v>30</v>
      </c>
      <c r="J21" s="83">
        <f t="shared" si="3"/>
        <v>9</v>
      </c>
      <c r="L21" s="81">
        <v>7</v>
      </c>
      <c r="M21" s="82">
        <f t="shared" si="15"/>
        <v>2027</v>
      </c>
      <c r="N21" s="82">
        <f t="shared" si="16"/>
        <v>12</v>
      </c>
      <c r="O21" s="82">
        <f t="shared" si="4"/>
        <v>31</v>
      </c>
      <c r="P21" s="83">
        <f>IF(OR(N21=12,N21=1,N21=2),O21,IFERROR(INDEX(②비작업일수!$J$8:$J$52,MATCH(M21*100+N21,②비작업일수!$N$8:$N$52,0)),IFERROR(INDEX(②비작업일수!$J$8:$J$52,MATCH(N21,②비작업일수!$D$8:$D$52,0)),8)))</f>
        <v>31</v>
      </c>
      <c r="Q21" s="83">
        <f t="shared" si="5"/>
        <v>0</v>
      </c>
      <c r="R21" s="83">
        <f t="shared" si="17"/>
        <v>103.1</v>
      </c>
      <c r="S21" s="83">
        <f t="shared" si="6"/>
        <v>31</v>
      </c>
      <c r="T21" s="83">
        <f t="shared" si="7"/>
        <v>31</v>
      </c>
      <c r="V21" s="81">
        <v>7</v>
      </c>
      <c r="W21" s="82">
        <f t="shared" si="18"/>
        <v>2028</v>
      </c>
      <c r="X21" s="82">
        <f t="shared" si="19"/>
        <v>3</v>
      </c>
      <c r="Y21" s="82">
        <f t="shared" si="8"/>
        <v>31</v>
      </c>
      <c r="Z21" s="83">
        <f>IF(OR(X21=12,X21=1,X21=2),Y21,IFERROR(INDEX(②비작업일수!$J$8:$J$52,MATCH(W21*100+X21,②비작업일수!$N$8:$N$52,0)),IFERROR(INDEX(②비작업일수!$J$8:$J$52,MATCH(X21,②비작업일수!$D$8:$D$52,0)),8)))</f>
        <v>11.5</v>
      </c>
      <c r="AA21" s="83">
        <f t="shared" si="9"/>
        <v>19.5</v>
      </c>
      <c r="AB21" s="83">
        <f t="shared" si="20"/>
        <v>78.800000000000011</v>
      </c>
      <c r="AC21" s="83">
        <f t="shared" si="10"/>
        <v>31</v>
      </c>
      <c r="AD21" s="83">
        <f t="shared" si="11"/>
        <v>11.5</v>
      </c>
    </row>
    <row r="22" spans="2:30">
      <c r="B22" s="81">
        <v>8</v>
      </c>
      <c r="C22" s="82">
        <f t="shared" si="12"/>
        <v>2027</v>
      </c>
      <c r="D22" s="82">
        <f t="shared" si="13"/>
        <v>7</v>
      </c>
      <c r="E22" s="82">
        <f t="shared" si="0"/>
        <v>31</v>
      </c>
      <c r="F22" s="83">
        <f>IF(OR(D22=12,D22=1,D22=2),E22,IFERROR(INDEX(②비작업일수!$J$8:$J$52,MATCH(C22*100+D22,②비작업일수!$N$8:$N$52,0)),IFERROR(INDEX(②비작업일수!$J$8:$J$52,MATCH(D22,②비작업일수!$D$8:$D$52,0)),8)))</f>
        <v>18.3</v>
      </c>
      <c r="G22" s="83">
        <f t="shared" si="1"/>
        <v>12.7</v>
      </c>
      <c r="H22" s="83">
        <f t="shared" si="14"/>
        <v>92.3</v>
      </c>
      <c r="I22" s="83">
        <f t="shared" si="2"/>
        <v>31</v>
      </c>
      <c r="J22" s="83">
        <f t="shared" si="3"/>
        <v>18.3</v>
      </c>
      <c r="L22" s="81">
        <v>8</v>
      </c>
      <c r="M22" s="82">
        <f t="shared" si="15"/>
        <v>2028</v>
      </c>
      <c r="N22" s="82">
        <f t="shared" si="16"/>
        <v>1</v>
      </c>
      <c r="O22" s="82">
        <f t="shared" si="4"/>
        <v>31</v>
      </c>
      <c r="P22" s="83">
        <f>IF(OR(N22=12,N22=1,N22=2),O22,IFERROR(INDEX(②비작업일수!$J$8:$J$52,MATCH(M22*100+N22,②비작업일수!$N$8:$N$52,0)),IFERROR(INDEX(②비작업일수!$J$8:$J$52,MATCH(N22,②비작업일수!$D$8:$D$52,0)),8)))</f>
        <v>31</v>
      </c>
      <c r="Q22" s="83">
        <f t="shared" si="5"/>
        <v>0</v>
      </c>
      <c r="R22" s="83">
        <f t="shared" si="17"/>
        <v>103.1</v>
      </c>
      <c r="S22" s="83">
        <f t="shared" si="6"/>
        <v>31</v>
      </c>
      <c r="T22" s="83">
        <f t="shared" si="7"/>
        <v>31</v>
      </c>
      <c r="V22" s="81">
        <v>8</v>
      </c>
      <c r="W22" s="82">
        <f t="shared" si="18"/>
        <v>2028</v>
      </c>
      <c r="X22" s="82">
        <f t="shared" si="19"/>
        <v>4</v>
      </c>
      <c r="Y22" s="82">
        <f t="shared" si="8"/>
        <v>30</v>
      </c>
      <c r="Z22" s="83">
        <f>IF(OR(X22=12,X22=1,X22=2),Y22,IFERROR(INDEX(②비작업일수!$J$8:$J$52,MATCH(W22*100+X22,②비작업일수!$N$8:$N$52,0)),IFERROR(INDEX(②비작업일수!$J$8:$J$52,MATCH(X22,②비작업일수!$D$8:$D$52,0)),8)))</f>
        <v>11</v>
      </c>
      <c r="AA22" s="83">
        <f t="shared" si="9"/>
        <v>19</v>
      </c>
      <c r="AB22" s="83">
        <f t="shared" si="20"/>
        <v>97.800000000000011</v>
      </c>
      <c r="AC22" s="83">
        <f t="shared" si="10"/>
        <v>30</v>
      </c>
      <c r="AD22" s="83">
        <f t="shared" si="11"/>
        <v>11</v>
      </c>
    </row>
    <row r="23" spans="2:30">
      <c r="B23" s="81">
        <v>9</v>
      </c>
      <c r="C23" s="82">
        <f t="shared" si="12"/>
        <v>2027</v>
      </c>
      <c r="D23" s="82">
        <f t="shared" si="13"/>
        <v>8</v>
      </c>
      <c r="E23" s="82">
        <f t="shared" si="0"/>
        <v>31</v>
      </c>
      <c r="F23" s="83">
        <f>IF(OR(D23=12,D23=1,D23=2),E23,IFERROR(INDEX(②비작업일수!$J$8:$J$52,MATCH(C23*100+D23,②비작업일수!$N$8:$N$52,0)),IFERROR(INDEX(②비작업일수!$J$8:$J$52,MATCH(D23,②비작업일수!$D$8:$D$52,0)),8)))</f>
        <v>20.900000000000002</v>
      </c>
      <c r="G23" s="83">
        <f t="shared" si="1"/>
        <v>10.099999999999998</v>
      </c>
      <c r="H23" s="83">
        <f t="shared" si="14"/>
        <v>102.39999999999999</v>
      </c>
      <c r="I23" s="83">
        <f t="shared" si="2"/>
        <v>31</v>
      </c>
      <c r="J23" s="83">
        <f t="shared" si="3"/>
        <v>20.9</v>
      </c>
      <c r="L23" s="81">
        <v>9</v>
      </c>
      <c r="M23" s="82">
        <f t="shared" si="15"/>
        <v>2028</v>
      </c>
      <c r="N23" s="82">
        <f t="shared" si="16"/>
        <v>2</v>
      </c>
      <c r="O23" s="82">
        <f t="shared" si="4"/>
        <v>29</v>
      </c>
      <c r="P23" s="83">
        <f>IF(OR(N23=12,N23=1,N23=2),O23,IFERROR(INDEX(②비작업일수!$J$8:$J$52,MATCH(M23*100+N23,②비작업일수!$N$8:$N$52,0)),IFERROR(INDEX(②비작업일수!$J$8:$J$52,MATCH(N23,②비작업일수!$D$8:$D$52,0)),8)))</f>
        <v>29</v>
      </c>
      <c r="Q23" s="83">
        <f t="shared" si="5"/>
        <v>0</v>
      </c>
      <c r="R23" s="83">
        <f t="shared" si="17"/>
        <v>103.1</v>
      </c>
      <c r="S23" s="83">
        <f t="shared" si="6"/>
        <v>29</v>
      </c>
      <c r="T23" s="83">
        <f t="shared" si="7"/>
        <v>29</v>
      </c>
      <c r="V23" s="81">
        <v>9</v>
      </c>
      <c r="W23" s="82">
        <f t="shared" si="18"/>
        <v>2028</v>
      </c>
      <c r="X23" s="82">
        <f t="shared" si="19"/>
        <v>5</v>
      </c>
      <c r="Y23" s="82">
        <f t="shared" si="8"/>
        <v>31</v>
      </c>
      <c r="Z23" s="83">
        <f>IF(OR(X23=12,X23=1,X23=2),Y23,IFERROR(INDEX(②비작업일수!$J$8:$J$52,MATCH(W23*100+X23,②비작업일수!$N$8:$N$52,0)),IFERROR(INDEX(②비작업일수!$J$8:$J$52,MATCH(X23,②비작업일수!$D$8:$D$52,0)),8)))</f>
        <v>11.9</v>
      </c>
      <c r="AA23" s="83">
        <f t="shared" si="9"/>
        <v>19.100000000000001</v>
      </c>
      <c r="AB23" s="83">
        <f t="shared" si="20"/>
        <v>116.9</v>
      </c>
      <c r="AC23" s="83">
        <f t="shared" si="10"/>
        <v>31</v>
      </c>
      <c r="AD23" s="83">
        <f t="shared" si="11"/>
        <v>11.9</v>
      </c>
    </row>
    <row r="24" spans="2:30">
      <c r="B24" s="81">
        <v>10</v>
      </c>
      <c r="C24" s="82">
        <f t="shared" si="12"/>
        <v>2027</v>
      </c>
      <c r="D24" s="82">
        <f t="shared" si="13"/>
        <v>9</v>
      </c>
      <c r="E24" s="82">
        <f t="shared" si="0"/>
        <v>30</v>
      </c>
      <c r="F24" s="83">
        <f>IF(OR(D24=12,D24=1,D24=2),E24,IFERROR(INDEX(②비작업일수!$J$8:$J$52,MATCH(C24*100+D24,②비작업일수!$N$8:$N$52,0)),IFERROR(INDEX(②비작업일수!$J$8:$J$52,MATCH(D24,②비작업일수!$D$8:$D$52,0)),8)))</f>
        <v>10.899999999999999</v>
      </c>
      <c r="G24" s="83">
        <f t="shared" si="1"/>
        <v>19.100000000000001</v>
      </c>
      <c r="H24" s="83">
        <f t="shared" si="14"/>
        <v>121.5</v>
      </c>
      <c r="I24" s="83">
        <f t="shared" si="2"/>
        <v>30</v>
      </c>
      <c r="J24" s="83">
        <f t="shared" si="3"/>
        <v>10.9</v>
      </c>
      <c r="L24" s="81">
        <v>10</v>
      </c>
      <c r="M24" s="82">
        <f t="shared" si="15"/>
        <v>2028</v>
      </c>
      <c r="N24" s="82">
        <f t="shared" si="16"/>
        <v>3</v>
      </c>
      <c r="O24" s="82">
        <f t="shared" si="4"/>
        <v>31</v>
      </c>
      <c r="P24" s="83">
        <f>IF(OR(N24=12,N24=1,N24=2),O24,IFERROR(INDEX(②비작업일수!$J$8:$J$52,MATCH(M24*100+N24,②비작업일수!$N$8:$N$52,0)),IFERROR(INDEX(②비작업일수!$J$8:$J$52,MATCH(N24,②비작업일수!$D$8:$D$52,0)),8)))</f>
        <v>11.5</v>
      </c>
      <c r="Q24" s="83">
        <f t="shared" si="5"/>
        <v>19.5</v>
      </c>
      <c r="R24" s="83">
        <f t="shared" si="17"/>
        <v>122.6</v>
      </c>
      <c r="S24" s="83">
        <f t="shared" si="6"/>
        <v>31</v>
      </c>
      <c r="T24" s="83">
        <f t="shared" si="7"/>
        <v>11.5</v>
      </c>
      <c r="V24" s="81">
        <v>10</v>
      </c>
      <c r="W24" s="82">
        <f t="shared" si="18"/>
        <v>2028</v>
      </c>
      <c r="X24" s="82">
        <f t="shared" si="19"/>
        <v>6</v>
      </c>
      <c r="Y24" s="82">
        <f t="shared" si="8"/>
        <v>30</v>
      </c>
      <c r="Z24" s="83">
        <f>IF(OR(X24=12,X24=1,X24=2),Y24,IFERROR(INDEX(②비작업일수!$J$8:$J$52,MATCH(W24*100+X24,②비작업일수!$N$8:$N$52,0)),IFERROR(INDEX(②비작업일수!$J$8:$J$52,MATCH(X24,②비작업일수!$D$8:$D$52,0)),8)))</f>
        <v>10</v>
      </c>
      <c r="AA24" s="83">
        <f t="shared" si="9"/>
        <v>20</v>
      </c>
      <c r="AB24" s="83">
        <f t="shared" si="20"/>
        <v>136.9</v>
      </c>
      <c r="AC24" s="83">
        <f t="shared" si="10"/>
        <v>30</v>
      </c>
      <c r="AD24" s="83">
        <f t="shared" si="11"/>
        <v>10</v>
      </c>
    </row>
    <row r="25" spans="2:30">
      <c r="B25" s="81">
        <v>11</v>
      </c>
      <c r="C25" s="82">
        <f t="shared" si="12"/>
        <v>2027</v>
      </c>
      <c r="D25" s="82">
        <f t="shared" si="13"/>
        <v>10</v>
      </c>
      <c r="E25" s="82">
        <f t="shared" si="0"/>
        <v>31</v>
      </c>
      <c r="F25" s="83">
        <f>IF(OR(D25=12,D25=1,D25=2),E25,IFERROR(INDEX(②비작업일수!$J$8:$J$52,MATCH(C25*100+D25,②비작업일수!$N$8:$N$52,0)),IFERROR(INDEX(②비작업일수!$J$8:$J$52,MATCH(D25,②비작업일수!$D$8:$D$52,0)),8)))</f>
        <v>11.2</v>
      </c>
      <c r="G25" s="83">
        <f t="shared" si="1"/>
        <v>19.8</v>
      </c>
      <c r="H25" s="83">
        <f t="shared" si="14"/>
        <v>141.30000000000001</v>
      </c>
      <c r="I25" s="83">
        <f t="shared" si="2"/>
        <v>31</v>
      </c>
      <c r="J25" s="83">
        <f t="shared" si="3"/>
        <v>11.2</v>
      </c>
      <c r="L25" s="81">
        <v>11</v>
      </c>
      <c r="M25" s="82">
        <f t="shared" si="15"/>
        <v>2028</v>
      </c>
      <c r="N25" s="82">
        <f t="shared" si="16"/>
        <v>4</v>
      </c>
      <c r="O25" s="82">
        <f t="shared" si="4"/>
        <v>30</v>
      </c>
      <c r="P25" s="83">
        <f>IF(OR(N25=12,N25=1,N25=2),O25,IFERROR(INDEX(②비작업일수!$J$8:$J$52,MATCH(M25*100+N25,②비작업일수!$N$8:$N$52,0)),IFERROR(INDEX(②비작업일수!$J$8:$J$52,MATCH(N25,②비작업일수!$D$8:$D$52,0)),8)))</f>
        <v>11</v>
      </c>
      <c r="Q25" s="83">
        <f t="shared" si="5"/>
        <v>19</v>
      </c>
      <c r="R25" s="83">
        <f t="shared" si="17"/>
        <v>141.6</v>
      </c>
      <c r="S25" s="83">
        <f t="shared" si="6"/>
        <v>30</v>
      </c>
      <c r="T25" s="83">
        <f t="shared" si="7"/>
        <v>11</v>
      </c>
      <c r="V25" s="81">
        <v>11</v>
      </c>
      <c r="W25" s="82">
        <f t="shared" si="18"/>
        <v>2028</v>
      </c>
      <c r="X25" s="82">
        <f t="shared" si="19"/>
        <v>7</v>
      </c>
      <c r="Y25" s="82">
        <f t="shared" si="8"/>
        <v>31</v>
      </c>
      <c r="Z25" s="83">
        <f>IF(OR(X25=12,X25=1,X25=2),Y25,IFERROR(INDEX(②비작업일수!$J$8:$J$52,MATCH(W25*100+X25,②비작업일수!$N$8:$N$52,0)),IFERROR(INDEX(②비작업일수!$J$8:$J$52,MATCH(X25,②비작업일수!$D$8:$D$52,0)),8)))</f>
        <v>18.3</v>
      </c>
      <c r="AA25" s="83">
        <f t="shared" si="9"/>
        <v>12.7</v>
      </c>
      <c r="AB25" s="83">
        <f t="shared" si="20"/>
        <v>149.6</v>
      </c>
      <c r="AC25" s="83">
        <f t="shared" si="10"/>
        <v>31</v>
      </c>
      <c r="AD25" s="83">
        <f t="shared" si="11"/>
        <v>18.3</v>
      </c>
    </row>
    <row r="26" spans="2:30">
      <c r="B26" s="81">
        <v>12</v>
      </c>
      <c r="C26" s="82">
        <f t="shared" si="12"/>
        <v>2027</v>
      </c>
      <c r="D26" s="82">
        <f t="shared" si="13"/>
        <v>11</v>
      </c>
      <c r="E26" s="82">
        <f t="shared" si="0"/>
        <v>30</v>
      </c>
      <c r="F26" s="83">
        <f>IF(OR(D26=12,D26=1,D26=2),E26,IFERROR(INDEX(②비작업일수!$J$8:$J$52,MATCH(C26*100+D26,②비작업일수!$N$8:$N$52,0)),IFERROR(INDEX(②비작업일수!$J$8:$J$52,MATCH(D26,②비작업일수!$D$8:$D$52,0)),8)))</f>
        <v>9.6</v>
      </c>
      <c r="G26" s="83">
        <f t="shared" si="1"/>
        <v>20.399999999999999</v>
      </c>
      <c r="H26" s="83">
        <f t="shared" si="14"/>
        <v>161.70000000000002</v>
      </c>
      <c r="I26" s="83">
        <f t="shared" si="2"/>
        <v>30</v>
      </c>
      <c r="J26" s="83">
        <f t="shared" si="3"/>
        <v>9.6</v>
      </c>
      <c r="L26" s="81">
        <v>12</v>
      </c>
      <c r="M26" s="82">
        <f t="shared" si="15"/>
        <v>2028</v>
      </c>
      <c r="N26" s="82">
        <f t="shared" si="16"/>
        <v>5</v>
      </c>
      <c r="O26" s="82">
        <f t="shared" si="4"/>
        <v>31</v>
      </c>
      <c r="P26" s="83">
        <f>IF(OR(N26=12,N26=1,N26=2),O26,IFERROR(INDEX(②비작업일수!$J$8:$J$52,MATCH(M26*100+N26,②비작업일수!$N$8:$N$52,0)),IFERROR(INDEX(②비작업일수!$J$8:$J$52,MATCH(N26,②비작업일수!$D$8:$D$52,0)),8)))</f>
        <v>11.9</v>
      </c>
      <c r="Q26" s="83">
        <f t="shared" si="5"/>
        <v>19.100000000000001</v>
      </c>
      <c r="R26" s="83">
        <f t="shared" si="17"/>
        <v>160.69999999999999</v>
      </c>
      <c r="S26" s="83">
        <f t="shared" si="6"/>
        <v>31</v>
      </c>
      <c r="T26" s="83">
        <f t="shared" si="7"/>
        <v>11.9</v>
      </c>
      <c r="V26" s="81">
        <v>12</v>
      </c>
      <c r="W26" s="82">
        <f t="shared" si="18"/>
        <v>2028</v>
      </c>
      <c r="X26" s="82">
        <f t="shared" si="19"/>
        <v>8</v>
      </c>
      <c r="Y26" s="82">
        <f t="shared" si="8"/>
        <v>31</v>
      </c>
      <c r="Z26" s="83">
        <f>IF(OR(X26=12,X26=1,X26=2),Y26,IFERROR(INDEX(②비작업일수!$J$8:$J$52,MATCH(W26*100+X26,②비작업일수!$N$8:$N$52,0)),IFERROR(INDEX(②비작업일수!$J$8:$J$52,MATCH(X26,②비작업일수!$D$8:$D$52,0)),8)))</f>
        <v>19.900000000000002</v>
      </c>
      <c r="AA26" s="83">
        <f t="shared" si="9"/>
        <v>11.099999999999998</v>
      </c>
      <c r="AB26" s="83">
        <f t="shared" si="20"/>
        <v>160.69999999999999</v>
      </c>
      <c r="AC26" s="83">
        <f t="shared" si="10"/>
        <v>31</v>
      </c>
      <c r="AD26" s="83">
        <f t="shared" si="11"/>
        <v>19.899999999999999</v>
      </c>
    </row>
    <row r="27" spans="2:30" ht="15" customHeight="1">
      <c r="B27" s="81">
        <v>13</v>
      </c>
      <c r="C27" s="82">
        <f t="shared" si="12"/>
        <v>2027</v>
      </c>
      <c r="D27" s="82">
        <f t="shared" si="13"/>
        <v>12</v>
      </c>
      <c r="E27" s="221">
        <f t="shared" si="0"/>
        <v>31</v>
      </c>
      <c r="F27" s="293">
        <f>IF(OR(D27=12,D27=1,D27=2),E27,IFERROR(INDEX(②비작업일수!$J$8:$J$52,MATCH(C27*100+D27,②비작업일수!$N$8:$N$52,0)),IFERROR(INDEX(②비작업일수!$J$8:$J$52,MATCH(D27,②비작업일수!$D$8:$D$52,0)),8)))</f>
        <v>31</v>
      </c>
      <c r="G27" s="293">
        <f t="shared" si="1"/>
        <v>0</v>
      </c>
      <c r="H27" s="293">
        <f t="shared" si="14"/>
        <v>161.70000000000002</v>
      </c>
      <c r="I27" s="293">
        <f t="shared" si="2"/>
        <v>31</v>
      </c>
      <c r="J27" s="294">
        <f t="shared" si="3"/>
        <v>31</v>
      </c>
      <c r="L27" s="81">
        <v>13</v>
      </c>
      <c r="M27" s="82">
        <f t="shared" si="15"/>
        <v>2028</v>
      </c>
      <c r="N27" s="82">
        <f t="shared" si="16"/>
        <v>6</v>
      </c>
      <c r="O27" s="221">
        <f t="shared" si="4"/>
        <v>30</v>
      </c>
      <c r="P27" s="293">
        <f>IF(OR(N27=12,N27=1,N27=2),O27,IFERROR(INDEX(②비작업일수!$J$8:$J$52,MATCH(M27*100+N27,②비작업일수!$N$8:$N$52,0)),IFERROR(INDEX(②비작업일수!$J$8:$J$52,MATCH(N27,②비작업일수!$D$8:$D$52,0)),8)))</f>
        <v>10</v>
      </c>
      <c r="Q27" s="293">
        <f t="shared" si="5"/>
        <v>20</v>
      </c>
      <c r="R27" s="293">
        <f t="shared" si="17"/>
        <v>180.7</v>
      </c>
      <c r="S27" s="293">
        <f t="shared" si="6"/>
        <v>30</v>
      </c>
      <c r="T27" s="294">
        <f t="shared" si="7"/>
        <v>10</v>
      </c>
      <c r="V27" s="81">
        <v>13</v>
      </c>
      <c r="W27" s="82">
        <f t="shared" si="18"/>
        <v>2028</v>
      </c>
      <c r="X27" s="82">
        <f t="shared" si="19"/>
        <v>9</v>
      </c>
      <c r="Y27" s="221">
        <f t="shared" si="8"/>
        <v>30</v>
      </c>
      <c r="Z27" s="293">
        <f>IF(OR(X27=12,X27=1,X27=2),Y27,IFERROR(INDEX(②비작업일수!$J$8:$J$52,MATCH(W27*100+X27,②비작업일수!$N$8:$N$52,0)),IFERROR(INDEX(②비작업일수!$J$8:$J$52,MATCH(X27,②비작업일수!$D$8:$D$52,0)),8)))</f>
        <v>8</v>
      </c>
      <c r="AA27" s="293">
        <f t="shared" si="9"/>
        <v>22</v>
      </c>
      <c r="AB27" s="293">
        <f t="shared" si="20"/>
        <v>182.7</v>
      </c>
      <c r="AC27" s="293">
        <f t="shared" si="10"/>
        <v>30</v>
      </c>
      <c r="AD27" s="294">
        <f t="shared" si="11"/>
        <v>8</v>
      </c>
    </row>
    <row r="28" spans="2:30">
      <c r="B28" s="81">
        <v>14</v>
      </c>
      <c r="C28" s="82">
        <f t="shared" si="12"/>
        <v>2028</v>
      </c>
      <c r="D28" s="82">
        <f t="shared" si="13"/>
        <v>1</v>
      </c>
      <c r="E28" s="222">
        <f t="shared" si="0"/>
        <v>31</v>
      </c>
      <c r="F28" s="297">
        <f>IF(OR(D28=12,D28=1,D28=2),E28,IFERROR(INDEX(②비작업일수!$J$8:$J$52,MATCH(C28*100+D28,②비작업일수!$N$8:$N$52,0)),IFERROR(INDEX(②비작업일수!$J$8:$J$52,MATCH(D28,②비작업일수!$D$8:$D$52,0)),8)))</f>
        <v>31</v>
      </c>
      <c r="G28" s="297">
        <f t="shared" si="1"/>
        <v>0</v>
      </c>
      <c r="H28" s="297">
        <f t="shared" si="14"/>
        <v>161.70000000000002</v>
      </c>
      <c r="I28" s="297">
        <f t="shared" si="2"/>
        <v>31</v>
      </c>
      <c r="J28" s="298">
        <f t="shared" si="3"/>
        <v>31</v>
      </c>
      <c r="L28" s="81">
        <v>14</v>
      </c>
      <c r="M28" s="82">
        <f t="shared" si="15"/>
        <v>2028</v>
      </c>
      <c r="N28" s="82">
        <f t="shared" si="16"/>
        <v>7</v>
      </c>
      <c r="O28" s="222">
        <f t="shared" si="4"/>
        <v>31</v>
      </c>
      <c r="P28" s="297">
        <f>IF(OR(N28=12,N28=1,N28=2),O28,IFERROR(INDEX(②비작업일수!$J$8:$J$52,MATCH(M28*100+N28,②비작업일수!$N$8:$N$52,0)),IFERROR(INDEX(②비작업일수!$J$8:$J$52,MATCH(N28,②비작업일수!$D$8:$D$52,0)),8)))</f>
        <v>18.3</v>
      </c>
      <c r="Q28" s="297">
        <f t="shared" si="5"/>
        <v>12.7</v>
      </c>
      <c r="R28" s="297">
        <f t="shared" si="17"/>
        <v>193.39999999999998</v>
      </c>
      <c r="S28" s="297">
        <f t="shared" si="6"/>
        <v>31</v>
      </c>
      <c r="T28" s="298">
        <f t="shared" si="7"/>
        <v>18.3</v>
      </c>
      <c r="V28" s="81">
        <v>14</v>
      </c>
      <c r="W28" s="82">
        <f t="shared" si="18"/>
        <v>2028</v>
      </c>
      <c r="X28" s="82">
        <f t="shared" si="19"/>
        <v>10</v>
      </c>
      <c r="Y28" s="222">
        <f t="shared" si="8"/>
        <v>31</v>
      </c>
      <c r="Z28" s="297">
        <f>IF(OR(X28=12,X28=1,X28=2),Y28,IFERROR(INDEX(②비작업일수!$J$8:$J$52,MATCH(W28*100+X28,②비작업일수!$N$8:$N$52,0)),IFERROR(INDEX(②비작업일수!$J$8:$J$52,MATCH(X28,②비작업일수!$D$8:$D$52,0)),8)))</f>
        <v>13.2</v>
      </c>
      <c r="AA28" s="297">
        <f t="shared" si="9"/>
        <v>17.8</v>
      </c>
      <c r="AB28" s="297">
        <f t="shared" si="20"/>
        <v>200.5</v>
      </c>
      <c r="AC28" s="297">
        <f t="shared" si="10"/>
        <v>31</v>
      </c>
      <c r="AD28" s="298">
        <f t="shared" si="11"/>
        <v>13.2</v>
      </c>
    </row>
    <row r="29" spans="2:30">
      <c r="B29" s="81">
        <v>15</v>
      </c>
      <c r="C29" s="82">
        <f t="shared" si="12"/>
        <v>2028</v>
      </c>
      <c r="D29" s="82">
        <f t="shared" si="13"/>
        <v>2</v>
      </c>
      <c r="E29" s="223">
        <f t="shared" si="0"/>
        <v>29</v>
      </c>
      <c r="F29" s="295">
        <f>IF(OR(D29=12,D29=1,D29=2),E29,IFERROR(INDEX(②비작업일수!$J$8:$J$52,MATCH(C29*100+D29,②비작업일수!$N$8:$N$52,0)),IFERROR(INDEX(②비작업일수!$J$8:$J$52,MATCH(D29,②비작업일수!$D$8:$D$52,0)),8)))</f>
        <v>29</v>
      </c>
      <c r="G29" s="295">
        <f t="shared" si="1"/>
        <v>0</v>
      </c>
      <c r="H29" s="295">
        <f t="shared" si="14"/>
        <v>161.70000000000002</v>
      </c>
      <c r="I29" s="295">
        <f t="shared" si="2"/>
        <v>29</v>
      </c>
      <c r="J29" s="296">
        <f t="shared" si="3"/>
        <v>29</v>
      </c>
      <c r="L29" s="81">
        <v>15</v>
      </c>
      <c r="M29" s="82">
        <f t="shared" si="15"/>
        <v>2028</v>
      </c>
      <c r="N29" s="82">
        <f t="shared" si="16"/>
        <v>8</v>
      </c>
      <c r="O29" s="223">
        <f t="shared" si="4"/>
        <v>31</v>
      </c>
      <c r="P29" s="295">
        <f>IF(OR(N29=12,N29=1,N29=2),O29,IFERROR(INDEX(②비작업일수!$J$8:$J$52,MATCH(M29*100+N29,②비작업일수!$N$8:$N$52,0)),IFERROR(INDEX(②비작업일수!$J$8:$J$52,MATCH(N29,②비작업일수!$D$8:$D$52,0)),8)))</f>
        <v>19.900000000000002</v>
      </c>
      <c r="Q29" s="295">
        <f t="shared" si="5"/>
        <v>11.099999999999998</v>
      </c>
      <c r="R29" s="295">
        <f t="shared" si="17"/>
        <v>204.49999999999997</v>
      </c>
      <c r="S29" s="295">
        <f t="shared" si="6"/>
        <v>31</v>
      </c>
      <c r="T29" s="296">
        <f t="shared" si="7"/>
        <v>19.899999999999999</v>
      </c>
      <c r="V29" s="81">
        <v>15</v>
      </c>
      <c r="W29" s="82">
        <f t="shared" si="18"/>
        <v>2028</v>
      </c>
      <c r="X29" s="82">
        <f t="shared" si="19"/>
        <v>11</v>
      </c>
      <c r="Y29" s="223">
        <f t="shared" si="8"/>
        <v>30</v>
      </c>
      <c r="Z29" s="295">
        <f>IF(OR(X29=12,X29=1,X29=2),Y29,IFERROR(INDEX(②비작업일수!$J$8:$J$52,MATCH(W29*100+X29,②비작업일수!$N$8:$N$52,0)),IFERROR(INDEX(②비작업일수!$J$8:$J$52,MATCH(X29,②비작업일수!$D$8:$D$52,0)),8)))</f>
        <v>9.6</v>
      </c>
      <c r="AA29" s="295">
        <f t="shared" si="9"/>
        <v>20.399999999999999</v>
      </c>
      <c r="AB29" s="295">
        <f t="shared" si="20"/>
        <v>220.9</v>
      </c>
      <c r="AC29" s="295">
        <f t="shared" si="10"/>
        <v>30</v>
      </c>
      <c r="AD29" s="296">
        <f t="shared" si="11"/>
        <v>9.6</v>
      </c>
    </row>
    <row r="30" spans="2:30">
      <c r="B30" s="81">
        <v>16</v>
      </c>
      <c r="C30" s="82">
        <f t="shared" si="12"/>
        <v>2028</v>
      </c>
      <c r="D30" s="82">
        <f t="shared" si="13"/>
        <v>3</v>
      </c>
      <c r="E30" s="82">
        <f t="shared" si="0"/>
        <v>31</v>
      </c>
      <c r="F30" s="83">
        <f>IF(OR(D30=12,D30=1,D30=2),E30,IFERROR(INDEX(②비작업일수!$J$8:$J$52,MATCH(C30*100+D30,②비작업일수!$N$8:$N$52,0)),IFERROR(INDEX(②비작업일수!$J$8:$J$52,MATCH(D30,②비작업일수!$D$8:$D$52,0)),8)))</f>
        <v>11.5</v>
      </c>
      <c r="G30" s="83">
        <f t="shared" si="1"/>
        <v>19.5</v>
      </c>
      <c r="H30" s="83">
        <f t="shared" si="14"/>
        <v>181.20000000000002</v>
      </c>
      <c r="I30" s="83">
        <f t="shared" si="2"/>
        <v>31</v>
      </c>
      <c r="J30" s="83">
        <f t="shared" si="3"/>
        <v>11.5</v>
      </c>
      <c r="L30" s="81">
        <v>16</v>
      </c>
      <c r="M30" s="82">
        <f t="shared" si="15"/>
        <v>2028</v>
      </c>
      <c r="N30" s="82">
        <f t="shared" si="16"/>
        <v>9</v>
      </c>
      <c r="O30" s="82">
        <f t="shared" si="4"/>
        <v>30</v>
      </c>
      <c r="P30" s="83">
        <f>IF(OR(N30=12,N30=1,N30=2),O30,IFERROR(INDEX(②비작업일수!$J$8:$J$52,MATCH(M30*100+N30,②비작업일수!$N$8:$N$52,0)),IFERROR(INDEX(②비작업일수!$J$8:$J$52,MATCH(N30,②비작업일수!$D$8:$D$52,0)),8)))</f>
        <v>8</v>
      </c>
      <c r="Q30" s="83">
        <f t="shared" si="5"/>
        <v>22</v>
      </c>
      <c r="R30" s="83">
        <f t="shared" si="17"/>
        <v>226.49999999999997</v>
      </c>
      <c r="S30" s="83">
        <f t="shared" si="6"/>
        <v>30</v>
      </c>
      <c r="T30" s="83">
        <f t="shared" si="7"/>
        <v>8</v>
      </c>
      <c r="V30" s="81">
        <v>16</v>
      </c>
      <c r="W30" s="82">
        <f t="shared" si="18"/>
        <v>2028</v>
      </c>
      <c r="X30" s="82">
        <f t="shared" si="19"/>
        <v>12</v>
      </c>
      <c r="Y30" s="82">
        <f t="shared" si="8"/>
        <v>31</v>
      </c>
      <c r="Z30" s="83">
        <f>IF(OR(X30=12,X30=1,X30=2),Y30,IFERROR(INDEX(②비작업일수!$J$8:$J$52,MATCH(W30*100+X30,②비작업일수!$N$8:$N$52,0)),IFERROR(INDEX(②비작업일수!$J$8:$J$52,MATCH(X30,②비작업일수!$D$8:$D$52,0)),8)))</f>
        <v>31</v>
      </c>
      <c r="AA30" s="83">
        <f t="shared" si="9"/>
        <v>0</v>
      </c>
      <c r="AB30" s="83">
        <f t="shared" si="20"/>
        <v>220.9</v>
      </c>
      <c r="AC30" s="83">
        <f t="shared" si="10"/>
        <v>31</v>
      </c>
      <c r="AD30" s="83">
        <f t="shared" si="11"/>
        <v>31</v>
      </c>
    </row>
    <row r="31" spans="2:30">
      <c r="B31" s="81">
        <v>17</v>
      </c>
      <c r="C31" s="82">
        <f t="shared" si="12"/>
        <v>2028</v>
      </c>
      <c r="D31" s="82">
        <f t="shared" si="13"/>
        <v>4</v>
      </c>
      <c r="E31" s="82">
        <f t="shared" si="0"/>
        <v>30</v>
      </c>
      <c r="F31" s="83">
        <f>IF(OR(D31=12,D31=1,D31=2),E31,IFERROR(INDEX(②비작업일수!$J$8:$J$52,MATCH(C31*100+D31,②비작업일수!$N$8:$N$52,0)),IFERROR(INDEX(②비작업일수!$J$8:$J$52,MATCH(D31,②비작업일수!$D$8:$D$52,0)),8)))</f>
        <v>11</v>
      </c>
      <c r="G31" s="83">
        <f t="shared" si="1"/>
        <v>19</v>
      </c>
      <c r="H31" s="83">
        <f t="shared" si="14"/>
        <v>200.20000000000002</v>
      </c>
      <c r="I31" s="83">
        <f t="shared" si="2"/>
        <v>30</v>
      </c>
      <c r="J31" s="83">
        <f t="shared" si="3"/>
        <v>11</v>
      </c>
      <c r="L31" s="81">
        <v>17</v>
      </c>
      <c r="M31" s="82">
        <f t="shared" si="15"/>
        <v>2028</v>
      </c>
      <c r="N31" s="82">
        <f t="shared" si="16"/>
        <v>10</v>
      </c>
      <c r="O31" s="82">
        <f t="shared" si="4"/>
        <v>31</v>
      </c>
      <c r="P31" s="83">
        <f>IF(OR(N31=12,N31=1,N31=2),O31,IFERROR(INDEX(②비작업일수!$J$8:$J$52,MATCH(M31*100+N31,②비작업일수!$N$8:$N$52,0)),IFERROR(INDEX(②비작업일수!$J$8:$J$52,MATCH(N31,②비작업일수!$D$8:$D$52,0)),8)))</f>
        <v>13.2</v>
      </c>
      <c r="Q31" s="83">
        <f t="shared" si="5"/>
        <v>17.8</v>
      </c>
      <c r="R31" s="83">
        <f t="shared" si="17"/>
        <v>244.29999999999998</v>
      </c>
      <c r="S31" s="83">
        <f t="shared" si="6"/>
        <v>31</v>
      </c>
      <c r="T31" s="83">
        <f t="shared" si="7"/>
        <v>13.2</v>
      </c>
      <c r="V31" s="81">
        <v>17</v>
      </c>
      <c r="W31" s="82">
        <f t="shared" si="18"/>
        <v>2029</v>
      </c>
      <c r="X31" s="82">
        <f t="shared" si="19"/>
        <v>1</v>
      </c>
      <c r="Y31" s="82">
        <f t="shared" si="8"/>
        <v>31</v>
      </c>
      <c r="Z31" s="83">
        <f>IF(OR(X31=12,X31=1,X31=2),Y31,IFERROR(INDEX(②비작업일수!$J$8:$J$52,MATCH(W31*100+X31,②비작업일수!$N$8:$N$52,0)),IFERROR(INDEX(②비작업일수!$J$8:$J$52,MATCH(X31,②비작업일수!$D$8:$D$52,0)),8)))</f>
        <v>31</v>
      </c>
      <c r="AA31" s="83">
        <f t="shared" si="9"/>
        <v>0</v>
      </c>
      <c r="AB31" s="83">
        <f t="shared" si="20"/>
        <v>220.9</v>
      </c>
      <c r="AC31" s="83">
        <f t="shared" si="10"/>
        <v>31</v>
      </c>
      <c r="AD31" s="83">
        <f t="shared" si="11"/>
        <v>31</v>
      </c>
    </row>
    <row r="32" spans="2:30">
      <c r="B32" s="81">
        <v>18</v>
      </c>
      <c r="C32" s="82">
        <f t="shared" si="12"/>
        <v>2028</v>
      </c>
      <c r="D32" s="82">
        <f t="shared" si="13"/>
        <v>5</v>
      </c>
      <c r="E32" s="82">
        <f t="shared" si="0"/>
        <v>31</v>
      </c>
      <c r="F32" s="83">
        <f>IF(OR(D32=12,D32=1,D32=2),E32,IFERROR(INDEX(②비작업일수!$J$8:$J$52,MATCH(C32*100+D32,②비작업일수!$N$8:$N$52,0)),IFERROR(INDEX(②비작업일수!$J$8:$J$52,MATCH(D32,②비작업일수!$D$8:$D$52,0)),8)))</f>
        <v>11.9</v>
      </c>
      <c r="G32" s="83">
        <f t="shared" si="1"/>
        <v>19.100000000000001</v>
      </c>
      <c r="H32" s="83">
        <f t="shared" si="14"/>
        <v>219.3</v>
      </c>
      <c r="I32" s="83">
        <f t="shared" si="2"/>
        <v>31</v>
      </c>
      <c r="J32" s="83">
        <f t="shared" si="3"/>
        <v>11.9</v>
      </c>
      <c r="L32" s="81">
        <v>18</v>
      </c>
      <c r="M32" s="82">
        <f t="shared" si="15"/>
        <v>2028</v>
      </c>
      <c r="N32" s="82">
        <f t="shared" si="16"/>
        <v>11</v>
      </c>
      <c r="O32" s="82">
        <f t="shared" si="4"/>
        <v>30</v>
      </c>
      <c r="P32" s="83">
        <f>IF(OR(N32=12,N32=1,N32=2),O32,IFERROR(INDEX(②비작업일수!$J$8:$J$52,MATCH(M32*100+N32,②비작업일수!$N$8:$N$52,0)),IFERROR(INDEX(②비작업일수!$J$8:$J$52,MATCH(N32,②비작업일수!$D$8:$D$52,0)),8)))</f>
        <v>9.6</v>
      </c>
      <c r="Q32" s="83">
        <f t="shared" si="5"/>
        <v>20.399999999999999</v>
      </c>
      <c r="R32" s="83">
        <f t="shared" si="17"/>
        <v>264.7</v>
      </c>
      <c r="S32" s="83">
        <f t="shared" si="6"/>
        <v>30</v>
      </c>
      <c r="T32" s="83">
        <f t="shared" si="7"/>
        <v>9.6</v>
      </c>
      <c r="V32" s="81">
        <v>18</v>
      </c>
      <c r="W32" s="82">
        <f t="shared" si="18"/>
        <v>2029</v>
      </c>
      <c r="X32" s="82">
        <f t="shared" si="19"/>
        <v>2</v>
      </c>
      <c r="Y32" s="82">
        <f t="shared" si="8"/>
        <v>28</v>
      </c>
      <c r="Z32" s="83">
        <f>IF(OR(X32=12,X32=1,X32=2),Y32,IFERROR(INDEX(②비작업일수!$J$8:$J$52,MATCH(W32*100+X32,②비작업일수!$N$8:$N$52,0)),IFERROR(INDEX(②비작업일수!$J$8:$J$52,MATCH(X32,②비작업일수!$D$8:$D$52,0)),8)))</f>
        <v>28</v>
      </c>
      <c r="AA32" s="83">
        <f t="shared" si="9"/>
        <v>0</v>
      </c>
      <c r="AB32" s="83">
        <f t="shared" si="20"/>
        <v>220.9</v>
      </c>
      <c r="AC32" s="83">
        <f t="shared" si="10"/>
        <v>28</v>
      </c>
      <c r="AD32" s="83">
        <f t="shared" si="11"/>
        <v>28</v>
      </c>
    </row>
    <row r="33" spans="2:30">
      <c r="B33" s="81">
        <v>19</v>
      </c>
      <c r="C33" s="82">
        <f t="shared" si="12"/>
        <v>2028</v>
      </c>
      <c r="D33" s="82">
        <f t="shared" si="13"/>
        <v>6</v>
      </c>
      <c r="E33" s="82">
        <f t="shared" si="0"/>
        <v>30</v>
      </c>
      <c r="F33" s="83">
        <f>IF(OR(D33=12,D33=1,D33=2),E33,IFERROR(INDEX(②비작업일수!$J$8:$J$52,MATCH(C33*100+D33,②비작업일수!$N$8:$N$52,0)),IFERROR(INDEX(②비작업일수!$J$8:$J$52,MATCH(D33,②비작업일수!$D$8:$D$52,0)),8)))</f>
        <v>10</v>
      </c>
      <c r="G33" s="83">
        <f t="shared" si="1"/>
        <v>20</v>
      </c>
      <c r="H33" s="83">
        <f t="shared" si="14"/>
        <v>239.3</v>
      </c>
      <c r="I33" s="83">
        <f t="shared" si="2"/>
        <v>30</v>
      </c>
      <c r="J33" s="83">
        <f t="shared" si="3"/>
        <v>10</v>
      </c>
      <c r="L33" s="81">
        <v>19</v>
      </c>
      <c r="M33" s="82">
        <f t="shared" si="15"/>
        <v>2028</v>
      </c>
      <c r="N33" s="82">
        <f t="shared" si="16"/>
        <v>12</v>
      </c>
      <c r="O33" s="82">
        <f t="shared" si="4"/>
        <v>31</v>
      </c>
      <c r="P33" s="83">
        <f>IF(OR(N33=12,N33=1,N33=2),O33,IFERROR(INDEX(②비작업일수!$J$8:$J$52,MATCH(M33*100+N33,②비작업일수!$N$8:$N$52,0)),IFERROR(INDEX(②비작업일수!$J$8:$J$52,MATCH(N33,②비작업일수!$D$8:$D$52,0)),8)))</f>
        <v>31</v>
      </c>
      <c r="Q33" s="83">
        <f t="shared" si="5"/>
        <v>0</v>
      </c>
      <c r="R33" s="83">
        <f t="shared" si="17"/>
        <v>264.7</v>
      </c>
      <c r="S33" s="83">
        <f t="shared" si="6"/>
        <v>31</v>
      </c>
      <c r="T33" s="83">
        <f t="shared" si="7"/>
        <v>31</v>
      </c>
      <c r="V33" s="81">
        <v>19</v>
      </c>
      <c r="W33" s="82">
        <f t="shared" si="18"/>
        <v>2029</v>
      </c>
      <c r="X33" s="82">
        <f t="shared" si="19"/>
        <v>3</v>
      </c>
      <c r="Y33" s="82">
        <f t="shared" si="8"/>
        <v>31</v>
      </c>
      <c r="Z33" s="83">
        <f>IF(OR(X33=12,X33=1,X33=2),Y33,IFERROR(INDEX(②비작업일수!$J$8:$J$52,MATCH(W33*100+X33,②비작업일수!$N$8:$N$52,0)),IFERROR(INDEX(②비작업일수!$J$8:$J$52,MATCH(X33,②비작업일수!$D$8:$D$52,0)),8)))</f>
        <v>11.5</v>
      </c>
      <c r="AA33" s="83">
        <f t="shared" si="9"/>
        <v>19.5</v>
      </c>
      <c r="AB33" s="83">
        <f t="shared" si="20"/>
        <v>240.4</v>
      </c>
      <c r="AC33" s="83">
        <f t="shared" si="10"/>
        <v>31</v>
      </c>
      <c r="AD33" s="83">
        <f t="shared" si="11"/>
        <v>11.5</v>
      </c>
    </row>
    <row r="34" spans="2:30">
      <c r="B34" s="81">
        <v>20</v>
      </c>
      <c r="C34" s="82">
        <f t="shared" si="12"/>
        <v>2028</v>
      </c>
      <c r="D34" s="82">
        <f t="shared" si="13"/>
        <v>7</v>
      </c>
      <c r="E34" s="82">
        <f t="shared" si="0"/>
        <v>31</v>
      </c>
      <c r="F34" s="83">
        <f>IF(OR(D34=12,D34=1,D34=2),E34,IFERROR(INDEX(②비작업일수!$J$8:$J$52,MATCH(C34*100+D34,②비작업일수!$N$8:$N$52,0)),IFERROR(INDEX(②비작업일수!$J$8:$J$52,MATCH(D34,②비작업일수!$D$8:$D$52,0)),8)))</f>
        <v>18.3</v>
      </c>
      <c r="G34" s="83">
        <f t="shared" si="1"/>
        <v>12.7</v>
      </c>
      <c r="H34" s="83">
        <f t="shared" si="14"/>
        <v>252</v>
      </c>
      <c r="I34" s="83">
        <f t="shared" si="2"/>
        <v>31</v>
      </c>
      <c r="J34" s="83">
        <f t="shared" si="3"/>
        <v>18.3</v>
      </c>
      <c r="L34" s="81">
        <v>20</v>
      </c>
      <c r="M34" s="82">
        <f t="shared" si="15"/>
        <v>2029</v>
      </c>
      <c r="N34" s="82">
        <f t="shared" si="16"/>
        <v>1</v>
      </c>
      <c r="O34" s="82">
        <f t="shared" si="4"/>
        <v>31</v>
      </c>
      <c r="P34" s="83">
        <f>IF(OR(N34=12,N34=1,N34=2),O34,IFERROR(INDEX(②비작업일수!$J$8:$J$52,MATCH(M34*100+N34,②비작업일수!$N$8:$N$52,0)),IFERROR(INDEX(②비작업일수!$J$8:$J$52,MATCH(N34,②비작업일수!$D$8:$D$52,0)),8)))</f>
        <v>31</v>
      </c>
      <c r="Q34" s="83">
        <f t="shared" si="5"/>
        <v>0</v>
      </c>
      <c r="R34" s="83">
        <f t="shared" si="17"/>
        <v>264.7</v>
      </c>
      <c r="S34" s="83">
        <f t="shared" si="6"/>
        <v>31</v>
      </c>
      <c r="T34" s="83">
        <f t="shared" si="7"/>
        <v>31</v>
      </c>
      <c r="V34" s="81">
        <v>20</v>
      </c>
      <c r="W34" s="82">
        <f t="shared" si="18"/>
        <v>2029</v>
      </c>
      <c r="X34" s="82">
        <f t="shared" si="19"/>
        <v>4</v>
      </c>
      <c r="Y34" s="82">
        <f t="shared" si="8"/>
        <v>30</v>
      </c>
      <c r="Z34" s="83">
        <f>IF(OR(X34=12,X34=1,X34=2),Y34,IFERROR(INDEX(②비작업일수!$J$8:$J$52,MATCH(W34*100+X34,②비작업일수!$N$8:$N$52,0)),IFERROR(INDEX(②비작업일수!$J$8:$J$52,MATCH(X34,②비작업일수!$D$8:$D$52,0)),8)))</f>
        <v>11</v>
      </c>
      <c r="AA34" s="83">
        <f t="shared" si="9"/>
        <v>19</v>
      </c>
      <c r="AB34" s="83">
        <f t="shared" si="20"/>
        <v>259.39999999999998</v>
      </c>
      <c r="AC34" s="83">
        <f t="shared" si="10"/>
        <v>30</v>
      </c>
      <c r="AD34" s="83">
        <f t="shared" si="11"/>
        <v>11</v>
      </c>
    </row>
    <row r="35" spans="2:30">
      <c r="B35" s="81">
        <v>21</v>
      </c>
      <c r="C35" s="82">
        <f t="shared" si="12"/>
        <v>2028</v>
      </c>
      <c r="D35" s="82">
        <f t="shared" si="13"/>
        <v>8</v>
      </c>
      <c r="E35" s="82">
        <f t="shared" si="0"/>
        <v>31</v>
      </c>
      <c r="F35" s="83">
        <f>IF(OR(D35=12,D35=1,D35=2),E35,IFERROR(INDEX(②비작업일수!$J$8:$J$52,MATCH(C35*100+D35,②비작업일수!$N$8:$N$52,0)),IFERROR(INDEX(②비작업일수!$J$8:$J$52,MATCH(D35,②비작업일수!$D$8:$D$52,0)),8)))</f>
        <v>19.900000000000002</v>
      </c>
      <c r="G35" s="83">
        <f t="shared" si="1"/>
        <v>11.099999999999998</v>
      </c>
      <c r="H35" s="83">
        <f t="shared" si="14"/>
        <v>263.10000000000002</v>
      </c>
      <c r="I35" s="83">
        <f t="shared" si="2"/>
        <v>31</v>
      </c>
      <c r="J35" s="83">
        <f t="shared" si="3"/>
        <v>19.899999999999999</v>
      </c>
      <c r="L35" s="81">
        <v>21</v>
      </c>
      <c r="M35" s="82">
        <f t="shared" si="15"/>
        <v>2029</v>
      </c>
      <c r="N35" s="82">
        <f t="shared" si="16"/>
        <v>2</v>
      </c>
      <c r="O35" s="82">
        <f t="shared" si="4"/>
        <v>28</v>
      </c>
      <c r="P35" s="83">
        <f>IF(OR(N35=12,N35=1,N35=2),O35,IFERROR(INDEX(②비작업일수!$J$8:$J$52,MATCH(M35*100+N35,②비작업일수!$N$8:$N$52,0)),IFERROR(INDEX(②비작업일수!$J$8:$J$52,MATCH(N35,②비작업일수!$D$8:$D$52,0)),8)))</f>
        <v>28</v>
      </c>
      <c r="Q35" s="83">
        <f t="shared" si="5"/>
        <v>0</v>
      </c>
      <c r="R35" s="83">
        <f t="shared" si="17"/>
        <v>264.7</v>
      </c>
      <c r="S35" s="83">
        <f t="shared" si="6"/>
        <v>28</v>
      </c>
      <c r="T35" s="83">
        <f t="shared" si="7"/>
        <v>28</v>
      </c>
      <c r="V35" s="81">
        <v>21</v>
      </c>
      <c r="W35" s="82">
        <f t="shared" si="18"/>
        <v>2029</v>
      </c>
      <c r="X35" s="82">
        <f t="shared" si="19"/>
        <v>5</v>
      </c>
      <c r="Y35" s="82">
        <f t="shared" si="8"/>
        <v>31</v>
      </c>
      <c r="Z35" s="83">
        <f>IF(OR(X35=12,X35=1,X35=2),Y35,IFERROR(INDEX(②비작업일수!$J$8:$J$52,MATCH(W35*100+X35,②비작업일수!$N$8:$N$52,0)),IFERROR(INDEX(②비작업일수!$J$8:$J$52,MATCH(X35,②비작업일수!$D$8:$D$52,0)),8)))</f>
        <v>11.9</v>
      </c>
      <c r="AA35" s="83">
        <f t="shared" si="9"/>
        <v>19.100000000000001</v>
      </c>
      <c r="AB35" s="83">
        <f t="shared" si="20"/>
        <v>278.5</v>
      </c>
      <c r="AC35" s="83">
        <f t="shared" si="10"/>
        <v>31</v>
      </c>
      <c r="AD35" s="83">
        <f t="shared" si="11"/>
        <v>11.9</v>
      </c>
    </row>
    <row r="36" spans="2:30">
      <c r="B36" s="81">
        <v>22</v>
      </c>
      <c r="C36" s="82">
        <f t="shared" si="12"/>
        <v>2028</v>
      </c>
      <c r="D36" s="82">
        <f t="shared" si="13"/>
        <v>9</v>
      </c>
      <c r="E36" s="82">
        <f t="shared" si="0"/>
        <v>30</v>
      </c>
      <c r="F36" s="83">
        <f>IF(OR(D36=12,D36=1,D36=2),E36,IFERROR(INDEX(②비작업일수!$J$8:$J$52,MATCH(C36*100+D36,②비작업일수!$N$8:$N$52,0)),IFERROR(INDEX(②비작업일수!$J$8:$J$52,MATCH(D36,②비작업일수!$D$8:$D$52,0)),8)))</f>
        <v>8</v>
      </c>
      <c r="G36" s="83">
        <f t="shared" si="1"/>
        <v>22</v>
      </c>
      <c r="H36" s="83">
        <f t="shared" si="14"/>
        <v>285.10000000000002</v>
      </c>
      <c r="I36" s="83">
        <f t="shared" si="2"/>
        <v>30</v>
      </c>
      <c r="J36" s="83">
        <f t="shared" si="3"/>
        <v>8</v>
      </c>
      <c r="L36" s="81">
        <v>22</v>
      </c>
      <c r="M36" s="82">
        <f t="shared" si="15"/>
        <v>2029</v>
      </c>
      <c r="N36" s="82">
        <f t="shared" si="16"/>
        <v>3</v>
      </c>
      <c r="O36" s="82">
        <f t="shared" si="4"/>
        <v>31</v>
      </c>
      <c r="P36" s="83">
        <f>IF(OR(N36=12,N36=1,N36=2),O36,IFERROR(INDEX(②비작업일수!$J$8:$J$52,MATCH(M36*100+N36,②비작업일수!$N$8:$N$52,0)),IFERROR(INDEX(②비작업일수!$J$8:$J$52,MATCH(N36,②비작업일수!$D$8:$D$52,0)),8)))</f>
        <v>11.5</v>
      </c>
      <c r="Q36" s="83">
        <f t="shared" si="5"/>
        <v>19.5</v>
      </c>
      <c r="R36" s="83">
        <f t="shared" si="17"/>
        <v>284.2</v>
      </c>
      <c r="S36" s="83">
        <f t="shared" si="6"/>
        <v>31</v>
      </c>
      <c r="T36" s="83">
        <f t="shared" si="7"/>
        <v>11.5</v>
      </c>
      <c r="V36" s="81">
        <v>22</v>
      </c>
      <c r="W36" s="82">
        <f t="shared" si="18"/>
        <v>2029</v>
      </c>
      <c r="X36" s="82">
        <f t="shared" si="19"/>
        <v>6</v>
      </c>
      <c r="Y36" s="82">
        <f t="shared" si="8"/>
        <v>30</v>
      </c>
      <c r="Z36" s="83">
        <f>IF(OR(X36=12,X36=1,X36=2),Y36,IFERROR(INDEX(②비작업일수!$J$8:$J$52,MATCH(W36*100+X36,②비작업일수!$N$8:$N$52,0)),IFERROR(INDEX(②비작업일수!$J$8:$J$52,MATCH(X36,②비작업일수!$D$8:$D$52,0)),8)))</f>
        <v>10</v>
      </c>
      <c r="AA36" s="83">
        <f t="shared" si="9"/>
        <v>20</v>
      </c>
      <c r="AB36" s="83">
        <f t="shared" si="20"/>
        <v>298.5</v>
      </c>
      <c r="AC36" s="83">
        <f t="shared" si="10"/>
        <v>30</v>
      </c>
      <c r="AD36" s="83">
        <f t="shared" si="11"/>
        <v>10</v>
      </c>
    </row>
    <row r="37" spans="2:30">
      <c r="B37" s="81">
        <v>23</v>
      </c>
      <c r="C37" s="82">
        <f t="shared" si="12"/>
        <v>2028</v>
      </c>
      <c r="D37" s="82">
        <f t="shared" si="13"/>
        <v>10</v>
      </c>
      <c r="E37" s="82">
        <f t="shared" si="0"/>
        <v>31</v>
      </c>
      <c r="F37" s="83">
        <f>IF(OR(D37=12,D37=1,D37=2),E37,IFERROR(INDEX(②비작업일수!$J$8:$J$52,MATCH(C37*100+D37,②비작업일수!$N$8:$N$52,0)),IFERROR(INDEX(②비작업일수!$J$8:$J$52,MATCH(D37,②비작업일수!$D$8:$D$52,0)),8)))</f>
        <v>13.2</v>
      </c>
      <c r="G37" s="83">
        <f t="shared" si="1"/>
        <v>17.8</v>
      </c>
      <c r="H37" s="83">
        <f t="shared" si="14"/>
        <v>302.90000000000003</v>
      </c>
      <c r="I37" s="83">
        <f t="shared" si="2"/>
        <v>31</v>
      </c>
      <c r="J37" s="83">
        <f t="shared" si="3"/>
        <v>13.2</v>
      </c>
      <c r="L37" s="81">
        <v>23</v>
      </c>
      <c r="M37" s="82">
        <f t="shared" si="15"/>
        <v>2029</v>
      </c>
      <c r="N37" s="82">
        <f t="shared" si="16"/>
        <v>4</v>
      </c>
      <c r="O37" s="82">
        <f t="shared" si="4"/>
        <v>30</v>
      </c>
      <c r="P37" s="83">
        <f>IF(OR(N37=12,N37=1,N37=2),O37,IFERROR(INDEX(②비작업일수!$J$8:$J$52,MATCH(M37*100+N37,②비작업일수!$N$8:$N$52,0)),IFERROR(INDEX(②비작업일수!$J$8:$J$52,MATCH(N37,②비작업일수!$D$8:$D$52,0)),8)))</f>
        <v>11</v>
      </c>
      <c r="Q37" s="83">
        <f t="shared" si="5"/>
        <v>19</v>
      </c>
      <c r="R37" s="83">
        <f t="shared" si="17"/>
        <v>303.2</v>
      </c>
      <c r="S37" s="83">
        <f t="shared" si="6"/>
        <v>30</v>
      </c>
      <c r="T37" s="83">
        <f t="shared" si="7"/>
        <v>11</v>
      </c>
      <c r="V37" s="81">
        <v>23</v>
      </c>
      <c r="W37" s="82">
        <f t="shared" si="18"/>
        <v>2029</v>
      </c>
      <c r="X37" s="82">
        <f t="shared" si="19"/>
        <v>7</v>
      </c>
      <c r="Y37" s="82">
        <f t="shared" si="8"/>
        <v>31</v>
      </c>
      <c r="Z37" s="83">
        <f>IF(OR(X37=12,X37=1,X37=2),Y37,IFERROR(INDEX(②비작업일수!$J$8:$J$52,MATCH(W37*100+X37,②비작업일수!$N$8:$N$52,0)),IFERROR(INDEX(②비작업일수!$J$8:$J$52,MATCH(X37,②비작업일수!$D$8:$D$52,0)),8)))</f>
        <v>18.3</v>
      </c>
      <c r="AA37" s="83">
        <f t="shared" si="9"/>
        <v>12.7</v>
      </c>
      <c r="AB37" s="83">
        <f t="shared" si="20"/>
        <v>311.2</v>
      </c>
      <c r="AC37" s="83">
        <f t="shared" si="10"/>
        <v>31</v>
      </c>
      <c r="AD37" s="83">
        <f t="shared" si="11"/>
        <v>18.3</v>
      </c>
    </row>
    <row r="38" spans="2:30">
      <c r="B38" s="81">
        <v>24</v>
      </c>
      <c r="C38" s="82">
        <f t="shared" si="12"/>
        <v>2028</v>
      </c>
      <c r="D38" s="82">
        <f t="shared" si="13"/>
        <v>11</v>
      </c>
      <c r="E38" s="82">
        <f t="shared" si="0"/>
        <v>30</v>
      </c>
      <c r="F38" s="83">
        <f>IF(OR(D38=12,D38=1,D38=2),E38,IFERROR(INDEX(②비작업일수!$J$8:$J$52,MATCH(C38*100+D38,②비작업일수!$N$8:$N$52,0)),IFERROR(INDEX(②비작업일수!$J$8:$J$52,MATCH(D38,②비작업일수!$D$8:$D$52,0)),8)))</f>
        <v>9.6</v>
      </c>
      <c r="G38" s="83">
        <f t="shared" si="1"/>
        <v>20.399999999999999</v>
      </c>
      <c r="H38" s="83">
        <f t="shared" si="14"/>
        <v>323.3</v>
      </c>
      <c r="I38" s="83">
        <f t="shared" si="2"/>
        <v>30</v>
      </c>
      <c r="J38" s="83">
        <f t="shared" si="3"/>
        <v>9.6</v>
      </c>
      <c r="L38" s="81">
        <v>24</v>
      </c>
      <c r="M38" s="82">
        <f t="shared" si="15"/>
        <v>2029</v>
      </c>
      <c r="N38" s="82">
        <f t="shared" si="16"/>
        <v>5</v>
      </c>
      <c r="O38" s="82">
        <f t="shared" si="4"/>
        <v>31</v>
      </c>
      <c r="P38" s="83">
        <f>IF(OR(N38=12,N38=1,N38=2),O38,IFERROR(INDEX(②비작업일수!$J$8:$J$52,MATCH(M38*100+N38,②비작업일수!$N$8:$N$52,0)),IFERROR(INDEX(②비작업일수!$J$8:$J$52,MATCH(N38,②비작업일수!$D$8:$D$52,0)),8)))</f>
        <v>11.9</v>
      </c>
      <c r="Q38" s="83">
        <f t="shared" si="5"/>
        <v>19.100000000000001</v>
      </c>
      <c r="R38" s="83">
        <f t="shared" si="17"/>
        <v>322.3</v>
      </c>
      <c r="S38" s="83">
        <f t="shared" si="6"/>
        <v>31</v>
      </c>
      <c r="T38" s="83">
        <f t="shared" si="7"/>
        <v>11.9</v>
      </c>
      <c r="V38" s="81">
        <v>24</v>
      </c>
      <c r="W38" s="82">
        <f t="shared" si="18"/>
        <v>2029</v>
      </c>
      <c r="X38" s="82">
        <f t="shared" si="19"/>
        <v>8</v>
      </c>
      <c r="Y38" s="82">
        <f t="shared" si="8"/>
        <v>31</v>
      </c>
      <c r="Z38" s="83">
        <f>IF(OR(X38=12,X38=1,X38=2),Y38,IFERROR(INDEX(②비작업일수!$J$8:$J$52,MATCH(W38*100+X38,②비작업일수!$N$8:$N$52,0)),IFERROR(INDEX(②비작업일수!$J$8:$J$52,MATCH(X38,②비작업일수!$D$8:$D$52,0)),8)))</f>
        <v>19.900000000000002</v>
      </c>
      <c r="AA38" s="83">
        <f t="shared" si="9"/>
        <v>11.099999999999998</v>
      </c>
      <c r="AB38" s="83">
        <f t="shared" si="20"/>
        <v>322.3</v>
      </c>
      <c r="AC38" s="83">
        <f t="shared" si="10"/>
        <v>31</v>
      </c>
      <c r="AD38" s="83">
        <f t="shared" si="11"/>
        <v>19.899999999999999</v>
      </c>
    </row>
    <row r="39" spans="2:30" ht="15" customHeight="1">
      <c r="B39" s="81">
        <v>25</v>
      </c>
      <c r="C39" s="82">
        <f t="shared" si="12"/>
        <v>2028</v>
      </c>
      <c r="D39" s="82">
        <f t="shared" si="13"/>
        <v>12</v>
      </c>
      <c r="E39" s="221">
        <f t="shared" si="0"/>
        <v>31</v>
      </c>
      <c r="F39" s="293">
        <f>IF(OR(D39=12,D39=1,D39=2),E39,IFERROR(INDEX(②비작업일수!$J$8:$J$52,MATCH(C39*100+D39,②비작업일수!$N$8:$N$52,0)),IFERROR(INDEX(②비작업일수!$J$8:$J$52,MATCH(D39,②비작업일수!$D$8:$D$52,0)),8)))</f>
        <v>31</v>
      </c>
      <c r="G39" s="293">
        <f t="shared" si="1"/>
        <v>0</v>
      </c>
      <c r="H39" s="293">
        <f t="shared" si="14"/>
        <v>323.3</v>
      </c>
      <c r="I39" s="293">
        <f t="shared" si="2"/>
        <v>7.0999999999985448</v>
      </c>
      <c r="J39" s="294">
        <f t="shared" si="3"/>
        <v>7.1</v>
      </c>
      <c r="L39" s="81">
        <v>25</v>
      </c>
      <c r="M39" s="82">
        <f t="shared" si="15"/>
        <v>2029</v>
      </c>
      <c r="N39" s="82">
        <f t="shared" si="16"/>
        <v>6</v>
      </c>
      <c r="O39" s="221">
        <f t="shared" si="4"/>
        <v>30</v>
      </c>
      <c r="P39" s="293">
        <f>IF(OR(N39=12,N39=1,N39=2),O39,IFERROR(INDEX(②비작업일수!$J$8:$J$52,MATCH(M39*100+N39,②비작업일수!$N$8:$N$52,0)),IFERROR(INDEX(②비작업일수!$J$8:$J$52,MATCH(N39,②비작업일수!$D$8:$D$52,0)),8)))</f>
        <v>10</v>
      </c>
      <c r="Q39" s="293">
        <f t="shared" si="5"/>
        <v>20</v>
      </c>
      <c r="R39" s="293">
        <f t="shared" si="17"/>
        <v>342.3</v>
      </c>
      <c r="S39" s="293">
        <f t="shared" si="6"/>
        <v>30</v>
      </c>
      <c r="T39" s="294">
        <f t="shared" si="7"/>
        <v>10</v>
      </c>
      <c r="V39" s="81">
        <v>25</v>
      </c>
      <c r="W39" s="82">
        <f t="shared" si="18"/>
        <v>2029</v>
      </c>
      <c r="X39" s="82">
        <f t="shared" si="19"/>
        <v>9</v>
      </c>
      <c r="Y39" s="221">
        <f t="shared" si="8"/>
        <v>30</v>
      </c>
      <c r="Z39" s="293">
        <f>IF(OR(X39=12,X39=1,X39=2),Y39,IFERROR(INDEX(②비작업일수!$J$8:$J$52,MATCH(W39*100+X39,②비작업일수!$N$8:$N$52,0)),IFERROR(INDEX(②비작업일수!$J$8:$J$52,MATCH(X39,②비작업일수!$D$8:$D$52,0)),8)))</f>
        <v>11.899999999999999</v>
      </c>
      <c r="AA39" s="293">
        <f t="shared" si="9"/>
        <v>18.100000000000001</v>
      </c>
      <c r="AB39" s="293">
        <f t="shared" si="20"/>
        <v>340.40000000000003</v>
      </c>
      <c r="AC39" s="293">
        <f t="shared" si="10"/>
        <v>30</v>
      </c>
      <c r="AD39" s="294">
        <f t="shared" si="11"/>
        <v>11.9</v>
      </c>
    </row>
    <row r="40" spans="2:30">
      <c r="B40" s="81">
        <v>26</v>
      </c>
      <c r="C40" s="82">
        <f t="shared" si="12"/>
        <v>2029</v>
      </c>
      <c r="D40" s="82">
        <f t="shared" si="13"/>
        <v>1</v>
      </c>
      <c r="E40" s="222">
        <f t="shared" si="0"/>
        <v>31</v>
      </c>
      <c r="F40" s="297">
        <f>IF(OR(D40=12,D40=1,D40=2),E40,IFERROR(INDEX(②비작업일수!$J$8:$J$52,MATCH(C40*100+D40,②비작업일수!$N$8:$N$52,0)),IFERROR(INDEX(②비작업일수!$J$8:$J$52,MATCH(D40,②비작업일수!$D$8:$D$52,0)),8)))</f>
        <v>31</v>
      </c>
      <c r="G40" s="297">
        <f t="shared" si="1"/>
        <v>0</v>
      </c>
      <c r="H40" s="297">
        <f t="shared" si="14"/>
        <v>323.3</v>
      </c>
      <c r="I40" s="297">
        <f t="shared" si="2"/>
        <v>0</v>
      </c>
      <c r="J40" s="298">
        <f t="shared" si="3"/>
        <v>0</v>
      </c>
      <c r="L40" s="81">
        <v>26</v>
      </c>
      <c r="M40" s="82">
        <f t="shared" si="15"/>
        <v>2029</v>
      </c>
      <c r="N40" s="82">
        <f t="shared" si="16"/>
        <v>7</v>
      </c>
      <c r="O40" s="222">
        <f t="shared" si="4"/>
        <v>31</v>
      </c>
      <c r="P40" s="297">
        <f>IF(OR(N40=12,N40=1,N40=2),O40,IFERROR(INDEX(②비작업일수!$J$8:$J$52,MATCH(M40*100+N40,②비작업일수!$N$8:$N$52,0)),IFERROR(INDEX(②비작업일수!$J$8:$J$52,MATCH(N40,②비작업일수!$D$8:$D$52,0)),8)))</f>
        <v>18.3</v>
      </c>
      <c r="Q40" s="297">
        <f t="shared" si="5"/>
        <v>12.7</v>
      </c>
      <c r="R40" s="297">
        <f t="shared" si="17"/>
        <v>355</v>
      </c>
      <c r="S40" s="297">
        <f t="shared" si="6"/>
        <v>31</v>
      </c>
      <c r="T40" s="298">
        <f t="shared" si="7"/>
        <v>18.3</v>
      </c>
      <c r="V40" s="81">
        <v>26</v>
      </c>
      <c r="W40" s="82">
        <f t="shared" si="18"/>
        <v>2029</v>
      </c>
      <c r="X40" s="82">
        <f t="shared" si="19"/>
        <v>10</v>
      </c>
      <c r="Y40" s="222">
        <f t="shared" si="8"/>
        <v>31</v>
      </c>
      <c r="Z40" s="297">
        <f>IF(OR(X40=12,X40=1,X40=2),Y40,IFERROR(INDEX(②비작업일수!$J$8:$J$52,MATCH(W40*100+X40,②비작업일수!$N$8:$N$52,0)),IFERROR(INDEX(②비작업일수!$J$8:$J$52,MATCH(X40,②비작업일수!$D$8:$D$52,0)),8)))</f>
        <v>9.1999999999999993</v>
      </c>
      <c r="AA40" s="297">
        <f t="shared" si="9"/>
        <v>21.8</v>
      </c>
      <c r="AB40" s="297">
        <f t="shared" si="20"/>
        <v>362.20000000000005</v>
      </c>
      <c r="AC40" s="297">
        <f t="shared" si="10"/>
        <v>31</v>
      </c>
      <c r="AD40" s="298">
        <f t="shared" si="11"/>
        <v>9.1999999999999993</v>
      </c>
    </row>
    <row r="41" spans="2:30">
      <c r="B41" s="81">
        <v>27</v>
      </c>
      <c r="C41" s="82">
        <f t="shared" si="12"/>
        <v>2029</v>
      </c>
      <c r="D41" s="82">
        <f t="shared" si="13"/>
        <v>2</v>
      </c>
      <c r="E41" s="223">
        <f t="shared" si="0"/>
        <v>28</v>
      </c>
      <c r="F41" s="295">
        <f>IF(OR(D41=12,D41=1,D41=2),E41,IFERROR(INDEX(②비작업일수!$J$8:$J$52,MATCH(C41*100+D41,②비작업일수!$N$8:$N$52,0)),IFERROR(INDEX(②비작업일수!$J$8:$J$52,MATCH(D41,②비작업일수!$D$8:$D$52,0)),8)))</f>
        <v>28</v>
      </c>
      <c r="G41" s="295">
        <f t="shared" si="1"/>
        <v>0</v>
      </c>
      <c r="H41" s="295">
        <f t="shared" si="14"/>
        <v>323.3</v>
      </c>
      <c r="I41" s="295">
        <f t="shared" si="2"/>
        <v>0</v>
      </c>
      <c r="J41" s="296">
        <f t="shared" si="3"/>
        <v>0</v>
      </c>
      <c r="L41" s="81">
        <v>27</v>
      </c>
      <c r="M41" s="82">
        <f t="shared" si="15"/>
        <v>2029</v>
      </c>
      <c r="N41" s="82">
        <f t="shared" si="16"/>
        <v>8</v>
      </c>
      <c r="O41" s="223">
        <f t="shared" si="4"/>
        <v>31</v>
      </c>
      <c r="P41" s="295">
        <f>IF(OR(N41=12,N41=1,N41=2),O41,IFERROR(INDEX(②비작업일수!$J$8:$J$52,MATCH(M41*100+N41,②비작업일수!$N$8:$N$52,0)),IFERROR(INDEX(②비작업일수!$J$8:$J$52,MATCH(N41,②비작업일수!$D$8:$D$52,0)),8)))</f>
        <v>19.900000000000002</v>
      </c>
      <c r="Q41" s="295">
        <f t="shared" si="5"/>
        <v>11.099999999999998</v>
      </c>
      <c r="R41" s="295">
        <f t="shared" si="17"/>
        <v>366.1</v>
      </c>
      <c r="S41" s="295">
        <f t="shared" si="6"/>
        <v>31</v>
      </c>
      <c r="T41" s="296">
        <f t="shared" si="7"/>
        <v>19.899999999999999</v>
      </c>
      <c r="V41" s="81">
        <v>27</v>
      </c>
      <c r="W41" s="82">
        <f t="shared" si="18"/>
        <v>2029</v>
      </c>
      <c r="X41" s="82">
        <f t="shared" si="19"/>
        <v>11</v>
      </c>
      <c r="Y41" s="223">
        <f t="shared" si="8"/>
        <v>30</v>
      </c>
      <c r="Z41" s="295">
        <f>IF(OR(X41=12,X41=1,X41=2),Y41,IFERROR(INDEX(②비작업일수!$J$8:$J$52,MATCH(W41*100+X41,②비작업일수!$N$8:$N$52,0)),IFERROR(INDEX(②비작업일수!$J$8:$J$52,MATCH(X41,②비작업일수!$D$8:$D$52,0)),8)))</f>
        <v>9.6</v>
      </c>
      <c r="AA41" s="295">
        <f t="shared" si="9"/>
        <v>20.399999999999999</v>
      </c>
      <c r="AB41" s="295">
        <f t="shared" si="20"/>
        <v>382.6</v>
      </c>
      <c r="AC41" s="295">
        <f t="shared" si="10"/>
        <v>30</v>
      </c>
      <c r="AD41" s="296">
        <f t="shared" si="11"/>
        <v>9.6</v>
      </c>
    </row>
    <row r="42" spans="2:30">
      <c r="B42" s="81">
        <v>28</v>
      </c>
      <c r="C42" s="82">
        <f t="shared" si="12"/>
        <v>2029</v>
      </c>
      <c r="D42" s="82">
        <f t="shared" si="13"/>
        <v>3</v>
      </c>
      <c r="E42" s="82">
        <f t="shared" si="0"/>
        <v>31</v>
      </c>
      <c r="F42" s="83">
        <f>IF(OR(D42=12,D42=1,D42=2),E42,IFERROR(INDEX(②비작업일수!$J$8:$J$52,MATCH(C42*100+D42,②비작업일수!$N$8:$N$52,0)),IFERROR(INDEX(②비작업일수!$J$8:$J$52,MATCH(D42,②비작업일수!$D$8:$D$52,0)),8)))</f>
        <v>11.5</v>
      </c>
      <c r="G42" s="83">
        <f t="shared" si="1"/>
        <v>19.5</v>
      </c>
      <c r="H42" s="83">
        <f t="shared" si="14"/>
        <v>342.8</v>
      </c>
      <c r="I42" s="83">
        <f t="shared" si="2"/>
        <v>0</v>
      </c>
      <c r="J42" s="83">
        <f t="shared" si="3"/>
        <v>0</v>
      </c>
      <c r="L42" s="81">
        <v>28</v>
      </c>
      <c r="M42" s="82">
        <f t="shared" si="15"/>
        <v>2029</v>
      </c>
      <c r="N42" s="82">
        <f t="shared" si="16"/>
        <v>9</v>
      </c>
      <c r="O42" s="82">
        <f t="shared" si="4"/>
        <v>30</v>
      </c>
      <c r="P42" s="83">
        <f>IF(OR(N42=12,N42=1,N42=2),O42,IFERROR(INDEX(②비작업일수!$J$8:$J$52,MATCH(M42*100+N42,②비작업일수!$N$8:$N$52,0)),IFERROR(INDEX(②비작업일수!$J$8:$J$52,MATCH(N42,②비작업일수!$D$8:$D$52,0)),8)))</f>
        <v>11.899999999999999</v>
      </c>
      <c r="Q42" s="83">
        <f t="shared" si="5"/>
        <v>18.100000000000001</v>
      </c>
      <c r="R42" s="83">
        <f t="shared" si="17"/>
        <v>384.20000000000005</v>
      </c>
      <c r="S42" s="83">
        <f t="shared" si="6"/>
        <v>30</v>
      </c>
      <c r="T42" s="83">
        <f t="shared" si="7"/>
        <v>11.9</v>
      </c>
      <c r="V42" s="81">
        <v>28</v>
      </c>
      <c r="W42" s="82">
        <f t="shared" si="18"/>
        <v>2029</v>
      </c>
      <c r="X42" s="82">
        <f t="shared" si="19"/>
        <v>12</v>
      </c>
      <c r="Y42" s="82">
        <f t="shared" si="8"/>
        <v>31</v>
      </c>
      <c r="Z42" s="83">
        <f>IF(OR(X42=12,X42=1,X42=2),Y42,IFERROR(INDEX(②비작업일수!$J$8:$J$52,MATCH(W42*100+X42,②비작업일수!$N$8:$N$52,0)),IFERROR(INDEX(②비작업일수!$J$8:$J$52,MATCH(X42,②비작업일수!$D$8:$D$52,0)),8)))</f>
        <v>31</v>
      </c>
      <c r="AA42" s="83">
        <f t="shared" si="9"/>
        <v>0</v>
      </c>
      <c r="AB42" s="83">
        <f t="shared" si="20"/>
        <v>382.6</v>
      </c>
      <c r="AC42" s="83">
        <f t="shared" si="10"/>
        <v>31</v>
      </c>
      <c r="AD42" s="83">
        <f t="shared" si="11"/>
        <v>31</v>
      </c>
    </row>
    <row r="43" spans="2:30">
      <c r="B43" s="81">
        <v>29</v>
      </c>
      <c r="C43" s="82">
        <f t="shared" si="12"/>
        <v>2029</v>
      </c>
      <c r="D43" s="82">
        <f t="shared" si="13"/>
        <v>4</v>
      </c>
      <c r="E43" s="82">
        <f t="shared" si="0"/>
        <v>30</v>
      </c>
      <c r="F43" s="83">
        <f>IF(OR(D43=12,D43=1,D43=2),E43,IFERROR(INDEX(②비작업일수!$J$8:$J$52,MATCH(C43*100+D43,②비작업일수!$N$8:$N$52,0)),IFERROR(INDEX(②비작업일수!$J$8:$J$52,MATCH(D43,②비작업일수!$D$8:$D$52,0)),8)))</f>
        <v>11</v>
      </c>
      <c r="G43" s="83">
        <f t="shared" si="1"/>
        <v>19</v>
      </c>
      <c r="H43" s="83">
        <f t="shared" si="14"/>
        <v>361.8</v>
      </c>
      <c r="I43" s="83">
        <f t="shared" si="2"/>
        <v>0</v>
      </c>
      <c r="J43" s="83">
        <f t="shared" si="3"/>
        <v>0</v>
      </c>
      <c r="L43" s="81">
        <v>29</v>
      </c>
      <c r="M43" s="82">
        <f t="shared" si="15"/>
        <v>2029</v>
      </c>
      <c r="N43" s="82">
        <f t="shared" si="16"/>
        <v>10</v>
      </c>
      <c r="O43" s="82">
        <f t="shared" si="4"/>
        <v>31</v>
      </c>
      <c r="P43" s="83">
        <f>IF(OR(N43=12,N43=1,N43=2),O43,IFERROR(INDEX(②비작업일수!$J$8:$J$52,MATCH(M43*100+N43,②비작업일수!$N$8:$N$52,0)),IFERROR(INDEX(②비작업일수!$J$8:$J$52,MATCH(N43,②비작업일수!$D$8:$D$52,0)),8)))</f>
        <v>9.1999999999999993</v>
      </c>
      <c r="Q43" s="83">
        <f t="shared" si="5"/>
        <v>21.8</v>
      </c>
      <c r="R43" s="83">
        <f t="shared" si="17"/>
        <v>406.00000000000006</v>
      </c>
      <c r="S43" s="83">
        <f t="shared" si="6"/>
        <v>31</v>
      </c>
      <c r="T43" s="83">
        <f t="shared" si="7"/>
        <v>9.1999999999999993</v>
      </c>
      <c r="V43" s="81">
        <v>29</v>
      </c>
      <c r="W43" s="82">
        <f t="shared" si="18"/>
        <v>2030</v>
      </c>
      <c r="X43" s="82">
        <f t="shared" si="19"/>
        <v>1</v>
      </c>
      <c r="Y43" s="82">
        <f t="shared" si="8"/>
        <v>31</v>
      </c>
      <c r="Z43" s="83">
        <f>IF(OR(X43=12,X43=1,X43=2),Y43,IFERROR(INDEX(②비작업일수!$J$8:$J$52,MATCH(W43*100+X43,②비작업일수!$N$8:$N$52,0)),IFERROR(INDEX(②비작업일수!$J$8:$J$52,MATCH(X43,②비작업일수!$D$8:$D$52,0)),8)))</f>
        <v>31</v>
      </c>
      <c r="AA43" s="83">
        <f t="shared" si="9"/>
        <v>0</v>
      </c>
      <c r="AB43" s="83">
        <f t="shared" si="20"/>
        <v>382.6</v>
      </c>
      <c r="AC43" s="83">
        <f t="shared" si="10"/>
        <v>31</v>
      </c>
      <c r="AD43" s="83">
        <f t="shared" si="11"/>
        <v>31</v>
      </c>
    </row>
    <row r="44" spans="2:30">
      <c r="B44" s="81">
        <v>30</v>
      </c>
      <c r="C44" s="82">
        <f t="shared" si="12"/>
        <v>2029</v>
      </c>
      <c r="D44" s="82">
        <f t="shared" si="13"/>
        <v>5</v>
      </c>
      <c r="E44" s="82">
        <f t="shared" si="0"/>
        <v>31</v>
      </c>
      <c r="F44" s="83">
        <f>IF(OR(D44=12,D44=1,D44=2),E44,IFERROR(INDEX(②비작업일수!$J$8:$J$52,MATCH(C44*100+D44,②비작업일수!$N$8:$N$52,0)),IFERROR(INDEX(②비작업일수!$J$8:$J$52,MATCH(D44,②비작업일수!$D$8:$D$52,0)),8)))</f>
        <v>11.9</v>
      </c>
      <c r="G44" s="83">
        <f t="shared" si="1"/>
        <v>19.100000000000001</v>
      </c>
      <c r="H44" s="83">
        <f t="shared" si="14"/>
        <v>380.90000000000003</v>
      </c>
      <c r="I44" s="83">
        <f t="shared" si="2"/>
        <v>0</v>
      </c>
      <c r="J44" s="83">
        <f t="shared" si="3"/>
        <v>0</v>
      </c>
      <c r="L44" s="81">
        <v>30</v>
      </c>
      <c r="M44" s="82">
        <f t="shared" si="15"/>
        <v>2029</v>
      </c>
      <c r="N44" s="82">
        <f t="shared" si="16"/>
        <v>11</v>
      </c>
      <c r="O44" s="82">
        <f t="shared" si="4"/>
        <v>30</v>
      </c>
      <c r="P44" s="83">
        <f>IF(OR(N44=12,N44=1,N44=2),O44,IFERROR(INDEX(②비작업일수!$J$8:$J$52,MATCH(M44*100+N44,②비작업일수!$N$8:$N$52,0)),IFERROR(INDEX(②비작업일수!$J$8:$J$52,MATCH(N44,②비작업일수!$D$8:$D$52,0)),8)))</f>
        <v>9.6</v>
      </c>
      <c r="Q44" s="83">
        <f t="shared" si="5"/>
        <v>20.399999999999999</v>
      </c>
      <c r="R44" s="83">
        <f t="shared" si="17"/>
        <v>426.40000000000003</v>
      </c>
      <c r="S44" s="83">
        <f t="shared" si="6"/>
        <v>30</v>
      </c>
      <c r="T44" s="83">
        <f t="shared" si="7"/>
        <v>9.6</v>
      </c>
      <c r="V44" s="81">
        <v>30</v>
      </c>
      <c r="W44" s="82">
        <f t="shared" si="18"/>
        <v>2030</v>
      </c>
      <c r="X44" s="82">
        <f t="shared" si="19"/>
        <v>2</v>
      </c>
      <c r="Y44" s="82">
        <f t="shared" si="8"/>
        <v>28</v>
      </c>
      <c r="Z44" s="83">
        <f>IF(OR(X44=12,X44=1,X44=2),Y44,IFERROR(INDEX(②비작업일수!$J$8:$J$52,MATCH(W44*100+X44,②비작업일수!$N$8:$N$52,0)),IFERROR(INDEX(②비작업일수!$J$8:$J$52,MATCH(X44,②비작업일수!$D$8:$D$52,0)),8)))</f>
        <v>28</v>
      </c>
      <c r="AA44" s="83">
        <f t="shared" si="9"/>
        <v>0</v>
      </c>
      <c r="AB44" s="83">
        <f t="shared" si="20"/>
        <v>382.6</v>
      </c>
      <c r="AC44" s="83">
        <f t="shared" si="10"/>
        <v>28</v>
      </c>
      <c r="AD44" s="83">
        <f t="shared" si="11"/>
        <v>28</v>
      </c>
    </row>
    <row r="45" spans="2:30">
      <c r="B45" s="81">
        <v>31</v>
      </c>
      <c r="C45" s="82">
        <f t="shared" si="12"/>
        <v>2029</v>
      </c>
      <c r="D45" s="82">
        <f t="shared" si="13"/>
        <v>6</v>
      </c>
      <c r="E45" s="82">
        <f t="shared" si="0"/>
        <v>30</v>
      </c>
      <c r="F45" s="83">
        <f>IF(OR(D45=12,D45=1,D45=2),E45,IFERROR(INDEX(②비작업일수!$J$8:$J$52,MATCH(C45*100+D45,②비작업일수!$N$8:$N$52,0)),IFERROR(INDEX(②비작업일수!$J$8:$J$52,MATCH(D45,②비작업일수!$D$8:$D$52,0)),8)))</f>
        <v>10</v>
      </c>
      <c r="G45" s="83">
        <f t="shared" si="1"/>
        <v>20</v>
      </c>
      <c r="H45" s="83">
        <f t="shared" si="14"/>
        <v>400.90000000000003</v>
      </c>
      <c r="I45" s="83">
        <f t="shared" si="2"/>
        <v>0</v>
      </c>
      <c r="J45" s="83">
        <f t="shared" si="3"/>
        <v>0</v>
      </c>
      <c r="L45" s="81">
        <v>31</v>
      </c>
      <c r="M45" s="82">
        <f t="shared" si="15"/>
        <v>2029</v>
      </c>
      <c r="N45" s="82">
        <f t="shared" si="16"/>
        <v>12</v>
      </c>
      <c r="O45" s="82">
        <f t="shared" si="4"/>
        <v>31</v>
      </c>
      <c r="P45" s="83">
        <f>IF(OR(N45=12,N45=1,N45=2),O45,IFERROR(INDEX(②비작업일수!$J$8:$J$52,MATCH(M45*100+N45,②비작업일수!$N$8:$N$52,0)),IFERROR(INDEX(②비작업일수!$J$8:$J$52,MATCH(N45,②비작업일수!$D$8:$D$52,0)),8)))</f>
        <v>31</v>
      </c>
      <c r="Q45" s="83">
        <f t="shared" si="5"/>
        <v>0</v>
      </c>
      <c r="R45" s="83">
        <f t="shared" si="17"/>
        <v>426.40000000000003</v>
      </c>
      <c r="S45" s="83">
        <f t="shared" si="6"/>
        <v>31</v>
      </c>
      <c r="T45" s="83">
        <f t="shared" si="7"/>
        <v>31</v>
      </c>
      <c r="V45" s="81">
        <v>31</v>
      </c>
      <c r="W45" s="82">
        <f t="shared" si="18"/>
        <v>2030</v>
      </c>
      <c r="X45" s="82">
        <f t="shared" si="19"/>
        <v>3</v>
      </c>
      <c r="Y45" s="82">
        <f t="shared" si="8"/>
        <v>31</v>
      </c>
      <c r="Z45" s="83">
        <f>IF(OR(X45=12,X45=1,X45=2),Y45,IFERROR(INDEX(②비작업일수!$J$8:$J$52,MATCH(W45*100+X45,②비작업일수!$N$8:$N$52,0)),IFERROR(INDEX(②비작업일수!$J$8:$J$52,MATCH(X45,②비작업일수!$D$8:$D$52,0)),8)))</f>
        <v>12.5</v>
      </c>
      <c r="AA45" s="83">
        <f t="shared" si="9"/>
        <v>18.5</v>
      </c>
      <c r="AB45" s="83">
        <f t="shared" si="20"/>
        <v>401.1</v>
      </c>
      <c r="AC45" s="83">
        <f t="shared" si="10"/>
        <v>31</v>
      </c>
      <c r="AD45" s="83">
        <f t="shared" si="11"/>
        <v>12.5</v>
      </c>
    </row>
    <row r="46" spans="2:30">
      <c r="B46" s="81">
        <v>32</v>
      </c>
      <c r="C46" s="82">
        <f t="shared" si="12"/>
        <v>2029</v>
      </c>
      <c r="D46" s="82">
        <f t="shared" si="13"/>
        <v>7</v>
      </c>
      <c r="E46" s="82">
        <f t="shared" si="0"/>
        <v>31</v>
      </c>
      <c r="F46" s="83">
        <f>IF(OR(D46=12,D46=1,D46=2),E46,IFERROR(INDEX(②비작업일수!$J$8:$J$52,MATCH(C46*100+D46,②비작업일수!$N$8:$N$52,0)),IFERROR(INDEX(②비작업일수!$J$8:$J$52,MATCH(D46,②비작업일수!$D$8:$D$52,0)),8)))</f>
        <v>18.3</v>
      </c>
      <c r="G46" s="83">
        <f t="shared" si="1"/>
        <v>12.7</v>
      </c>
      <c r="H46" s="83">
        <f t="shared" si="14"/>
        <v>413.6</v>
      </c>
      <c r="I46" s="83">
        <f t="shared" si="2"/>
        <v>0</v>
      </c>
      <c r="J46" s="83">
        <f t="shared" si="3"/>
        <v>0</v>
      </c>
      <c r="L46" s="81">
        <v>32</v>
      </c>
      <c r="M46" s="82">
        <f t="shared" si="15"/>
        <v>2030</v>
      </c>
      <c r="N46" s="82">
        <f t="shared" si="16"/>
        <v>1</v>
      </c>
      <c r="O46" s="82">
        <f t="shared" si="4"/>
        <v>31</v>
      </c>
      <c r="P46" s="83">
        <f>IF(OR(N46=12,N46=1,N46=2),O46,IFERROR(INDEX(②비작업일수!$J$8:$J$52,MATCH(M46*100+N46,②비작업일수!$N$8:$N$52,0)),IFERROR(INDEX(②비작업일수!$J$8:$J$52,MATCH(N46,②비작업일수!$D$8:$D$52,0)),8)))</f>
        <v>31</v>
      </c>
      <c r="Q46" s="83">
        <f t="shared" si="5"/>
        <v>0</v>
      </c>
      <c r="R46" s="83">
        <f t="shared" si="17"/>
        <v>426.40000000000003</v>
      </c>
      <c r="S46" s="83">
        <f t="shared" si="6"/>
        <v>31</v>
      </c>
      <c r="T46" s="83">
        <f t="shared" si="7"/>
        <v>31</v>
      </c>
      <c r="V46" s="81">
        <v>32</v>
      </c>
      <c r="W46" s="82">
        <f t="shared" si="18"/>
        <v>2030</v>
      </c>
      <c r="X46" s="82">
        <f t="shared" si="19"/>
        <v>4</v>
      </c>
      <c r="Y46" s="82">
        <f t="shared" si="8"/>
        <v>30</v>
      </c>
      <c r="Z46" s="83">
        <f>IF(OR(X46=12,X46=1,X46=2),Y46,IFERROR(INDEX(②비작업일수!$J$8:$J$52,MATCH(W46*100+X46,②비작업일수!$N$8:$N$52,0)),IFERROR(INDEX(②비작업일수!$J$8:$J$52,MATCH(X46,②비작업일수!$D$8:$D$52,0)),8)))</f>
        <v>10</v>
      </c>
      <c r="AA46" s="83">
        <f t="shared" si="9"/>
        <v>20</v>
      </c>
      <c r="AB46" s="83">
        <f t="shared" si="20"/>
        <v>421.1</v>
      </c>
      <c r="AC46" s="83">
        <f t="shared" si="10"/>
        <v>30</v>
      </c>
      <c r="AD46" s="83">
        <f t="shared" si="11"/>
        <v>10</v>
      </c>
    </row>
    <row r="47" spans="2:30">
      <c r="B47" s="81">
        <v>33</v>
      </c>
      <c r="C47" s="82">
        <f t="shared" si="12"/>
        <v>2029</v>
      </c>
      <c r="D47" s="82">
        <f t="shared" si="13"/>
        <v>8</v>
      </c>
      <c r="E47" s="82">
        <f t="shared" si="0"/>
        <v>31</v>
      </c>
      <c r="F47" s="83">
        <f>IF(OR(D47=12,D47=1,D47=2),E47,IFERROR(INDEX(②비작업일수!$J$8:$J$52,MATCH(C47*100+D47,②비작업일수!$N$8:$N$52,0)),IFERROR(INDEX(②비작업일수!$J$8:$J$52,MATCH(D47,②비작업일수!$D$8:$D$52,0)),8)))</f>
        <v>19.900000000000002</v>
      </c>
      <c r="G47" s="83">
        <f t="shared" si="1"/>
        <v>11.099999999999998</v>
      </c>
      <c r="H47" s="83">
        <f t="shared" si="14"/>
        <v>424.70000000000005</v>
      </c>
      <c r="I47" s="83">
        <f t="shared" si="2"/>
        <v>0</v>
      </c>
      <c r="J47" s="83">
        <f t="shared" si="3"/>
        <v>0</v>
      </c>
      <c r="L47" s="81">
        <v>33</v>
      </c>
      <c r="M47" s="82">
        <f t="shared" si="15"/>
        <v>2030</v>
      </c>
      <c r="N47" s="82">
        <f t="shared" si="16"/>
        <v>2</v>
      </c>
      <c r="O47" s="82">
        <f t="shared" si="4"/>
        <v>28</v>
      </c>
      <c r="P47" s="83">
        <f>IF(OR(N47=12,N47=1,N47=2),O47,IFERROR(INDEX(②비작업일수!$J$8:$J$52,MATCH(M47*100+N47,②비작업일수!$N$8:$N$52,0)),IFERROR(INDEX(②비작업일수!$J$8:$J$52,MATCH(N47,②비작업일수!$D$8:$D$52,0)),8)))</f>
        <v>28</v>
      </c>
      <c r="Q47" s="83">
        <f t="shared" si="5"/>
        <v>0</v>
      </c>
      <c r="R47" s="83">
        <f t="shared" si="17"/>
        <v>426.40000000000003</v>
      </c>
      <c r="S47" s="83">
        <f t="shared" si="6"/>
        <v>28</v>
      </c>
      <c r="T47" s="83">
        <f t="shared" si="7"/>
        <v>28</v>
      </c>
      <c r="V47" s="81">
        <v>33</v>
      </c>
      <c r="W47" s="82">
        <f t="shared" si="18"/>
        <v>2030</v>
      </c>
      <c r="X47" s="82">
        <f t="shared" si="19"/>
        <v>5</v>
      </c>
      <c r="Y47" s="82">
        <f t="shared" si="8"/>
        <v>31</v>
      </c>
      <c r="Z47" s="83">
        <f>IF(OR(X47=12,X47=1,X47=2),Y47,IFERROR(INDEX(②비작업일수!$J$8:$J$52,MATCH(W47*100+X47,②비작업일수!$N$8:$N$52,0)),IFERROR(INDEX(②비작업일수!$J$8:$J$52,MATCH(X47,②비작업일수!$D$8:$D$52,0)),8)))</f>
        <v>11.9</v>
      </c>
      <c r="AA47" s="83">
        <f t="shared" si="9"/>
        <v>19.100000000000001</v>
      </c>
      <c r="AB47" s="83">
        <f t="shared" si="20"/>
        <v>440.20000000000005</v>
      </c>
      <c r="AC47" s="83">
        <f t="shared" si="10"/>
        <v>31</v>
      </c>
      <c r="AD47" s="83">
        <f t="shared" si="11"/>
        <v>11.9</v>
      </c>
    </row>
    <row r="48" spans="2:30">
      <c r="B48" s="81">
        <v>34</v>
      </c>
      <c r="C48" s="82">
        <f t="shared" si="12"/>
        <v>2029</v>
      </c>
      <c r="D48" s="82">
        <f t="shared" si="13"/>
        <v>9</v>
      </c>
      <c r="E48" s="82">
        <f t="shared" si="0"/>
        <v>30</v>
      </c>
      <c r="F48" s="83">
        <f>IF(OR(D48=12,D48=1,D48=2),E48,IFERROR(INDEX(②비작업일수!$J$8:$J$52,MATCH(C48*100+D48,②비작업일수!$N$8:$N$52,0)),IFERROR(INDEX(②비작업일수!$J$8:$J$52,MATCH(D48,②비작업일수!$D$8:$D$52,0)),8)))</f>
        <v>11.899999999999999</v>
      </c>
      <c r="G48" s="83">
        <f t="shared" si="1"/>
        <v>18.100000000000001</v>
      </c>
      <c r="H48" s="83">
        <f t="shared" si="14"/>
        <v>442.80000000000007</v>
      </c>
      <c r="I48" s="83">
        <f t="shared" si="2"/>
        <v>0</v>
      </c>
      <c r="J48" s="83">
        <f t="shared" si="3"/>
        <v>0</v>
      </c>
      <c r="L48" s="81">
        <v>34</v>
      </c>
      <c r="M48" s="82">
        <f t="shared" si="15"/>
        <v>2030</v>
      </c>
      <c r="N48" s="82">
        <f t="shared" si="16"/>
        <v>3</v>
      </c>
      <c r="O48" s="82">
        <f t="shared" si="4"/>
        <v>31</v>
      </c>
      <c r="P48" s="83">
        <f>IF(OR(N48=12,N48=1,N48=2),O48,IFERROR(INDEX(②비작업일수!$J$8:$J$52,MATCH(M48*100+N48,②비작업일수!$N$8:$N$52,0)),IFERROR(INDEX(②비작업일수!$J$8:$J$52,MATCH(N48,②비작업일수!$D$8:$D$52,0)),8)))</f>
        <v>12.5</v>
      </c>
      <c r="Q48" s="83">
        <f t="shared" si="5"/>
        <v>18.5</v>
      </c>
      <c r="R48" s="83">
        <f t="shared" si="17"/>
        <v>444.90000000000003</v>
      </c>
      <c r="S48" s="83">
        <f t="shared" si="6"/>
        <v>31</v>
      </c>
      <c r="T48" s="83">
        <f t="shared" si="7"/>
        <v>12.5</v>
      </c>
      <c r="V48" s="81">
        <v>34</v>
      </c>
      <c r="W48" s="82">
        <f t="shared" si="18"/>
        <v>2030</v>
      </c>
      <c r="X48" s="82">
        <f t="shared" si="19"/>
        <v>6</v>
      </c>
      <c r="Y48" s="82">
        <f t="shared" si="8"/>
        <v>30</v>
      </c>
      <c r="Z48" s="83">
        <f>IF(OR(X48=12,X48=1,X48=2),Y48,IFERROR(INDEX(②비작업일수!$J$8:$J$52,MATCH(W48*100+X48,②비작업일수!$N$8:$N$52,0)),IFERROR(INDEX(②비작업일수!$J$8:$J$52,MATCH(X48,②비작업일수!$D$8:$D$52,0)),8)))</f>
        <v>11</v>
      </c>
      <c r="AA48" s="83">
        <f t="shared" si="9"/>
        <v>19</v>
      </c>
      <c r="AB48" s="83">
        <f t="shared" si="20"/>
        <v>459.20000000000005</v>
      </c>
      <c r="AC48" s="83">
        <f t="shared" si="10"/>
        <v>30</v>
      </c>
      <c r="AD48" s="83">
        <f t="shared" si="11"/>
        <v>11</v>
      </c>
    </row>
    <row r="49" spans="2:30">
      <c r="B49" s="81">
        <v>35</v>
      </c>
      <c r="C49" s="82">
        <f t="shared" si="12"/>
        <v>2029</v>
      </c>
      <c r="D49" s="82">
        <f t="shared" si="13"/>
        <v>10</v>
      </c>
      <c r="E49" s="82">
        <f t="shared" si="0"/>
        <v>31</v>
      </c>
      <c r="F49" s="83">
        <f>IF(OR(D49=12,D49=1,D49=2),E49,IFERROR(INDEX(②비작업일수!$J$8:$J$52,MATCH(C49*100+D49,②비작업일수!$N$8:$N$52,0)),IFERROR(INDEX(②비작업일수!$J$8:$J$52,MATCH(D49,②비작업일수!$D$8:$D$52,0)),8)))</f>
        <v>9.1999999999999993</v>
      </c>
      <c r="G49" s="83">
        <f t="shared" si="1"/>
        <v>21.8</v>
      </c>
      <c r="H49" s="83">
        <f t="shared" si="14"/>
        <v>464.60000000000008</v>
      </c>
      <c r="I49" s="83">
        <f t="shared" si="2"/>
        <v>0</v>
      </c>
      <c r="J49" s="83">
        <f t="shared" si="3"/>
        <v>0</v>
      </c>
      <c r="L49" s="81">
        <v>35</v>
      </c>
      <c r="M49" s="82">
        <f t="shared" si="15"/>
        <v>2030</v>
      </c>
      <c r="N49" s="82">
        <f t="shared" si="16"/>
        <v>4</v>
      </c>
      <c r="O49" s="82">
        <f t="shared" si="4"/>
        <v>30</v>
      </c>
      <c r="P49" s="83">
        <f>IF(OR(N49=12,N49=1,N49=2),O49,IFERROR(INDEX(②비작업일수!$J$8:$J$52,MATCH(M49*100+N49,②비작업일수!$N$8:$N$52,0)),IFERROR(INDEX(②비작업일수!$J$8:$J$52,MATCH(N49,②비작업일수!$D$8:$D$52,0)),8)))</f>
        <v>10</v>
      </c>
      <c r="Q49" s="83">
        <f t="shared" si="5"/>
        <v>20</v>
      </c>
      <c r="R49" s="83">
        <f t="shared" si="17"/>
        <v>464.90000000000003</v>
      </c>
      <c r="S49" s="83">
        <f t="shared" si="6"/>
        <v>30</v>
      </c>
      <c r="T49" s="83">
        <f t="shared" si="7"/>
        <v>10</v>
      </c>
      <c r="V49" s="81">
        <v>35</v>
      </c>
      <c r="W49" s="82">
        <f t="shared" si="18"/>
        <v>2030</v>
      </c>
      <c r="X49" s="82">
        <f t="shared" si="19"/>
        <v>7</v>
      </c>
      <c r="Y49" s="82">
        <f t="shared" si="8"/>
        <v>31</v>
      </c>
      <c r="Z49" s="83">
        <f>IF(OR(X49=12,X49=1,X49=2),Y49,IFERROR(INDEX(②비작업일수!$J$8:$J$52,MATCH(W49*100+X49,②비작업일수!$N$8:$N$52,0)),IFERROR(INDEX(②비작업일수!$J$8:$J$52,MATCH(X49,②비작업일수!$D$8:$D$52,0)),8)))</f>
        <v>18.3</v>
      </c>
      <c r="AA49" s="83">
        <f t="shared" si="9"/>
        <v>12.7</v>
      </c>
      <c r="AB49" s="83">
        <f t="shared" si="20"/>
        <v>471.90000000000003</v>
      </c>
      <c r="AC49" s="83">
        <f t="shared" si="10"/>
        <v>31</v>
      </c>
      <c r="AD49" s="83">
        <f t="shared" si="11"/>
        <v>18.3</v>
      </c>
    </row>
    <row r="50" spans="2:30">
      <c r="B50" s="81">
        <v>36</v>
      </c>
      <c r="C50" s="82">
        <f t="shared" si="12"/>
        <v>2029</v>
      </c>
      <c r="D50" s="82">
        <f t="shared" si="13"/>
        <v>11</v>
      </c>
      <c r="E50" s="82">
        <f t="shared" si="0"/>
        <v>30</v>
      </c>
      <c r="F50" s="83">
        <f>IF(OR(D50=12,D50=1,D50=2),E50,IFERROR(INDEX(②비작업일수!$J$8:$J$52,MATCH(C50*100+D50,②비작업일수!$N$8:$N$52,0)),IFERROR(INDEX(②비작업일수!$J$8:$J$52,MATCH(D50,②비작업일수!$D$8:$D$52,0)),8)))</f>
        <v>9.6</v>
      </c>
      <c r="G50" s="83">
        <f t="shared" si="1"/>
        <v>20.399999999999999</v>
      </c>
      <c r="H50" s="83">
        <f t="shared" si="14"/>
        <v>485.00000000000006</v>
      </c>
      <c r="I50" s="83">
        <f t="shared" si="2"/>
        <v>0</v>
      </c>
      <c r="J50" s="83">
        <f t="shared" si="3"/>
        <v>0</v>
      </c>
      <c r="L50" s="81">
        <v>36</v>
      </c>
      <c r="M50" s="82">
        <f t="shared" si="15"/>
        <v>2030</v>
      </c>
      <c r="N50" s="82">
        <f t="shared" si="16"/>
        <v>5</v>
      </c>
      <c r="O50" s="82">
        <f t="shared" si="4"/>
        <v>31</v>
      </c>
      <c r="P50" s="83">
        <f>IF(OR(N50=12,N50=1,N50=2),O50,IFERROR(INDEX(②비작업일수!$J$8:$J$52,MATCH(M50*100+N50,②비작업일수!$N$8:$N$52,0)),IFERROR(INDEX(②비작업일수!$J$8:$J$52,MATCH(N50,②비작업일수!$D$8:$D$52,0)),8)))</f>
        <v>11.9</v>
      </c>
      <c r="Q50" s="83">
        <f t="shared" si="5"/>
        <v>19.100000000000001</v>
      </c>
      <c r="R50" s="83">
        <f t="shared" si="17"/>
        <v>484.00000000000006</v>
      </c>
      <c r="S50" s="83">
        <f t="shared" si="6"/>
        <v>25</v>
      </c>
      <c r="T50" s="83">
        <f t="shared" si="7"/>
        <v>9.6</v>
      </c>
      <c r="V50" s="81">
        <v>36</v>
      </c>
      <c r="W50" s="82">
        <f t="shared" si="18"/>
        <v>2030</v>
      </c>
      <c r="X50" s="82">
        <f t="shared" si="19"/>
        <v>8</v>
      </c>
      <c r="Y50" s="82">
        <f t="shared" si="8"/>
        <v>31</v>
      </c>
      <c r="Z50" s="83">
        <f>IF(OR(X50=12,X50=1,X50=2),Y50,IFERROR(INDEX(②비작업일수!$J$8:$J$52,MATCH(W50*100+X50,②비작업일수!$N$8:$N$52,0)),IFERROR(INDEX(②비작업일수!$J$8:$J$52,MATCH(X50,②비작업일수!$D$8:$D$52,0)),8)))</f>
        <v>19.900000000000002</v>
      </c>
      <c r="AA50" s="83">
        <f t="shared" si="9"/>
        <v>11.099999999999998</v>
      </c>
      <c r="AB50" s="83">
        <f t="shared" si="20"/>
        <v>483.00000000000006</v>
      </c>
      <c r="AC50" s="83">
        <f t="shared" si="10"/>
        <v>31</v>
      </c>
      <c r="AD50" s="83">
        <f t="shared" si="11"/>
        <v>19.899999999999999</v>
      </c>
    </row>
    <row r="51" spans="2:30" ht="15" customHeight="1">
      <c r="B51" s="81">
        <v>37</v>
      </c>
      <c r="C51" s="82">
        <f t="shared" si="12"/>
        <v>2029</v>
      </c>
      <c r="D51" s="82">
        <f t="shared" si="13"/>
        <v>12</v>
      </c>
      <c r="E51" s="221">
        <f t="shared" si="0"/>
        <v>31</v>
      </c>
      <c r="F51" s="293">
        <f>IF(OR(D51=12,D51=1,D51=2),E51,IFERROR(INDEX(②비작업일수!$J$8:$J$52,MATCH(C51*100+D51,②비작업일수!$N$8:$N$52,0)),IFERROR(INDEX(②비작업일수!$J$8:$J$52,MATCH(D51,②비작업일수!$D$8:$D$52,0)),8)))</f>
        <v>31</v>
      </c>
      <c r="G51" s="293">
        <f t="shared" si="1"/>
        <v>0</v>
      </c>
      <c r="H51" s="293">
        <f t="shared" si="14"/>
        <v>485.00000000000006</v>
      </c>
      <c r="I51" s="293">
        <f t="shared" si="2"/>
        <v>0</v>
      </c>
      <c r="J51" s="294">
        <f t="shared" si="3"/>
        <v>0</v>
      </c>
      <c r="L51" s="81">
        <v>37</v>
      </c>
      <c r="M51" s="82">
        <f t="shared" si="15"/>
        <v>2030</v>
      </c>
      <c r="N51" s="82">
        <f t="shared" si="16"/>
        <v>6</v>
      </c>
      <c r="O51" s="221">
        <f t="shared" si="4"/>
        <v>30</v>
      </c>
      <c r="P51" s="293">
        <f>IF(OR(N51=12,N51=1,N51=2),O51,IFERROR(INDEX(②비작업일수!$J$8:$J$52,MATCH(M51*100+N51,②비작업일수!$N$8:$N$52,0)),IFERROR(INDEX(②비작업일수!$J$8:$J$52,MATCH(N51,②비작업일수!$D$8:$D$52,0)),8)))</f>
        <v>11</v>
      </c>
      <c r="Q51" s="293">
        <f t="shared" si="5"/>
        <v>19</v>
      </c>
      <c r="R51" s="293">
        <f t="shared" si="17"/>
        <v>503.00000000000006</v>
      </c>
      <c r="S51" s="293">
        <f t="shared" si="6"/>
        <v>0</v>
      </c>
      <c r="T51" s="294">
        <f t="shared" si="7"/>
        <v>0</v>
      </c>
      <c r="V51" s="81">
        <v>37</v>
      </c>
      <c r="W51" s="82">
        <f t="shared" si="18"/>
        <v>2030</v>
      </c>
      <c r="X51" s="82">
        <f t="shared" si="19"/>
        <v>9</v>
      </c>
      <c r="Y51" s="221">
        <f t="shared" si="8"/>
        <v>30</v>
      </c>
      <c r="Z51" s="293">
        <f>IF(OR(X51=12,X51=1,X51=2),Y51,IFERROR(INDEX(②비작업일수!$J$8:$J$52,MATCH(W51*100+X51,②비작업일수!$N$8:$N$52,0)),IFERROR(INDEX(②비작업일수!$J$8:$J$52,MATCH(X51,②비작업일수!$D$8:$D$52,0)),8)))</f>
        <v>10.899999999999999</v>
      </c>
      <c r="AA51" s="293">
        <f t="shared" si="9"/>
        <v>19.100000000000001</v>
      </c>
      <c r="AB51" s="293">
        <f t="shared" si="20"/>
        <v>502.10000000000008</v>
      </c>
      <c r="AC51" s="293">
        <f t="shared" si="10"/>
        <v>30</v>
      </c>
      <c r="AD51" s="294">
        <f t="shared" si="11"/>
        <v>10.9</v>
      </c>
    </row>
    <row r="52" spans="2:30">
      <c r="B52" s="81">
        <v>38</v>
      </c>
      <c r="C52" s="82">
        <f t="shared" si="12"/>
        <v>2030</v>
      </c>
      <c r="D52" s="82">
        <f t="shared" si="13"/>
        <v>1</v>
      </c>
      <c r="E52" s="222">
        <f t="shared" si="0"/>
        <v>31</v>
      </c>
      <c r="F52" s="297">
        <f>IF(OR(D52=12,D52=1,D52=2),E52,IFERROR(INDEX(②비작업일수!$J$8:$J$52,MATCH(C52*100+D52,②비작업일수!$N$8:$N$52,0)),IFERROR(INDEX(②비작업일수!$J$8:$J$52,MATCH(D52,②비작업일수!$D$8:$D$52,0)),8)))</f>
        <v>31</v>
      </c>
      <c r="G52" s="297">
        <f t="shared" si="1"/>
        <v>0</v>
      </c>
      <c r="H52" s="297">
        <f t="shared" si="14"/>
        <v>485.00000000000006</v>
      </c>
      <c r="I52" s="297">
        <f t="shared" si="2"/>
        <v>0</v>
      </c>
      <c r="J52" s="298">
        <f t="shared" si="3"/>
        <v>0</v>
      </c>
      <c r="L52" s="81">
        <v>38</v>
      </c>
      <c r="M52" s="82">
        <f t="shared" si="15"/>
        <v>2030</v>
      </c>
      <c r="N52" s="82">
        <f t="shared" si="16"/>
        <v>7</v>
      </c>
      <c r="O52" s="222">
        <f t="shared" si="4"/>
        <v>31</v>
      </c>
      <c r="P52" s="297">
        <f>IF(OR(N52=12,N52=1,N52=2),O52,IFERROR(INDEX(②비작업일수!$J$8:$J$52,MATCH(M52*100+N52,②비작업일수!$N$8:$N$52,0)),IFERROR(INDEX(②비작업일수!$J$8:$J$52,MATCH(N52,②비작업일수!$D$8:$D$52,0)),8)))</f>
        <v>18.3</v>
      </c>
      <c r="Q52" s="297">
        <f t="shared" si="5"/>
        <v>12.7</v>
      </c>
      <c r="R52" s="297">
        <f t="shared" si="17"/>
        <v>515.70000000000005</v>
      </c>
      <c r="S52" s="297">
        <f t="shared" si="6"/>
        <v>0</v>
      </c>
      <c r="T52" s="298">
        <f t="shared" si="7"/>
        <v>0</v>
      </c>
      <c r="V52" s="81">
        <v>38</v>
      </c>
      <c r="W52" s="82">
        <f t="shared" si="18"/>
        <v>2030</v>
      </c>
      <c r="X52" s="82">
        <f t="shared" si="19"/>
        <v>10</v>
      </c>
      <c r="Y52" s="222">
        <f t="shared" si="8"/>
        <v>31</v>
      </c>
      <c r="Z52" s="297">
        <f>IF(OR(X52=12,X52=1,X52=2),Y52,IFERROR(INDEX(②비작업일수!$J$8:$J$52,MATCH(W52*100+X52,②비작업일수!$N$8:$N$52,0)),IFERROR(INDEX(②비작업일수!$J$8:$J$52,MATCH(X52,②비작업일수!$D$8:$D$52,0)),8)))</f>
        <v>11.2</v>
      </c>
      <c r="AA52" s="297">
        <f t="shared" si="9"/>
        <v>19.8</v>
      </c>
      <c r="AB52" s="297">
        <f t="shared" si="20"/>
        <v>521.90000000000009</v>
      </c>
      <c r="AC52" s="297">
        <f t="shared" si="10"/>
        <v>25.19999999999709</v>
      </c>
      <c r="AD52" s="298">
        <f t="shared" si="11"/>
        <v>9.1</v>
      </c>
    </row>
    <row r="53" spans="2:30">
      <c r="B53" s="81">
        <v>39</v>
      </c>
      <c r="C53" s="82">
        <f t="shared" si="12"/>
        <v>2030</v>
      </c>
      <c r="D53" s="82">
        <f t="shared" si="13"/>
        <v>2</v>
      </c>
      <c r="E53" s="223">
        <f t="shared" si="0"/>
        <v>28</v>
      </c>
      <c r="F53" s="295">
        <f>IF(OR(D53=12,D53=1,D53=2),E53,IFERROR(INDEX(②비작업일수!$J$8:$J$52,MATCH(C53*100+D53,②비작업일수!$N$8:$N$52,0)),IFERROR(INDEX(②비작업일수!$J$8:$J$52,MATCH(D53,②비작업일수!$D$8:$D$52,0)),8)))</f>
        <v>28</v>
      </c>
      <c r="G53" s="295">
        <f t="shared" si="1"/>
        <v>0</v>
      </c>
      <c r="H53" s="295">
        <f t="shared" si="14"/>
        <v>485.00000000000006</v>
      </c>
      <c r="I53" s="295">
        <f t="shared" si="2"/>
        <v>0</v>
      </c>
      <c r="J53" s="296">
        <f t="shared" si="3"/>
        <v>0</v>
      </c>
      <c r="L53" s="81">
        <v>39</v>
      </c>
      <c r="M53" s="82">
        <f t="shared" si="15"/>
        <v>2030</v>
      </c>
      <c r="N53" s="82">
        <f t="shared" si="16"/>
        <v>8</v>
      </c>
      <c r="O53" s="223">
        <f t="shared" si="4"/>
        <v>31</v>
      </c>
      <c r="P53" s="295">
        <f>IF(OR(N53=12,N53=1,N53=2),O53,IFERROR(INDEX(②비작업일수!$J$8:$J$52,MATCH(M53*100+N53,②비작업일수!$N$8:$N$52,0)),IFERROR(INDEX(②비작업일수!$J$8:$J$52,MATCH(N53,②비작업일수!$D$8:$D$52,0)),8)))</f>
        <v>19.900000000000002</v>
      </c>
      <c r="Q53" s="295">
        <f t="shared" si="5"/>
        <v>11.099999999999998</v>
      </c>
      <c r="R53" s="295">
        <f t="shared" si="17"/>
        <v>526.80000000000007</v>
      </c>
      <c r="S53" s="295">
        <f t="shared" si="6"/>
        <v>0</v>
      </c>
      <c r="T53" s="296">
        <f t="shared" si="7"/>
        <v>0</v>
      </c>
      <c r="V53" s="81">
        <v>39</v>
      </c>
      <c r="W53" s="82">
        <f t="shared" si="18"/>
        <v>2030</v>
      </c>
      <c r="X53" s="82">
        <f t="shared" si="19"/>
        <v>11</v>
      </c>
      <c r="Y53" s="223">
        <f t="shared" si="8"/>
        <v>30</v>
      </c>
      <c r="Z53" s="295">
        <f>IF(OR(X53=12,X53=1,X53=2),Y53,IFERROR(INDEX(②비작업일수!$J$8:$J$52,MATCH(W53*100+X53,②비작업일수!$N$8:$N$52,0)),IFERROR(INDEX(②비작업일수!$J$8:$J$52,MATCH(X53,②비작업일수!$D$8:$D$52,0)),8)))</f>
        <v>9.6</v>
      </c>
      <c r="AA53" s="295">
        <f t="shared" si="9"/>
        <v>20.399999999999999</v>
      </c>
      <c r="AB53" s="295">
        <f t="shared" si="20"/>
        <v>542.30000000000007</v>
      </c>
      <c r="AC53" s="295">
        <f t="shared" si="10"/>
        <v>0</v>
      </c>
      <c r="AD53" s="296">
        <f t="shared" si="11"/>
        <v>0</v>
      </c>
    </row>
    <row r="54" spans="2:30">
      <c r="B54" s="81">
        <v>40</v>
      </c>
      <c r="C54" s="82">
        <f t="shared" si="12"/>
        <v>2030</v>
      </c>
      <c r="D54" s="82">
        <f t="shared" si="13"/>
        <v>3</v>
      </c>
      <c r="E54" s="82">
        <f t="shared" si="0"/>
        <v>31</v>
      </c>
      <c r="F54" s="83">
        <f>IF(OR(D54=12,D54=1,D54=2),E54,IFERROR(INDEX(②비작업일수!$J$8:$J$52,MATCH(C54*100+D54,②비작업일수!$N$8:$N$52,0)),IFERROR(INDEX(②비작업일수!$J$8:$J$52,MATCH(D54,②비작업일수!$D$8:$D$52,0)),8)))</f>
        <v>12.5</v>
      </c>
      <c r="G54" s="83">
        <f t="shared" si="1"/>
        <v>18.5</v>
      </c>
      <c r="H54" s="83">
        <f t="shared" si="14"/>
        <v>503.50000000000006</v>
      </c>
      <c r="I54" s="83">
        <f t="shared" si="2"/>
        <v>0</v>
      </c>
      <c r="J54" s="83">
        <f t="shared" si="3"/>
        <v>0</v>
      </c>
      <c r="L54" s="81">
        <v>40</v>
      </c>
      <c r="M54" s="82">
        <f t="shared" si="15"/>
        <v>2030</v>
      </c>
      <c r="N54" s="82">
        <f t="shared" si="16"/>
        <v>9</v>
      </c>
      <c r="O54" s="82">
        <f t="shared" si="4"/>
        <v>30</v>
      </c>
      <c r="P54" s="83">
        <f>IF(OR(N54=12,N54=1,N54=2),O54,IFERROR(INDEX(②비작업일수!$J$8:$J$52,MATCH(M54*100+N54,②비작업일수!$N$8:$N$52,0)),IFERROR(INDEX(②비작업일수!$J$8:$J$52,MATCH(N54,②비작업일수!$D$8:$D$52,0)),8)))</f>
        <v>10.899999999999999</v>
      </c>
      <c r="Q54" s="83">
        <f t="shared" si="5"/>
        <v>19.100000000000001</v>
      </c>
      <c r="R54" s="83">
        <f t="shared" si="17"/>
        <v>545.90000000000009</v>
      </c>
      <c r="S54" s="83">
        <f t="shared" si="6"/>
        <v>0</v>
      </c>
      <c r="T54" s="83">
        <f t="shared" si="7"/>
        <v>0</v>
      </c>
      <c r="V54" s="81">
        <v>40</v>
      </c>
      <c r="W54" s="82">
        <f t="shared" si="18"/>
        <v>2030</v>
      </c>
      <c r="X54" s="82">
        <f t="shared" si="19"/>
        <v>12</v>
      </c>
      <c r="Y54" s="82">
        <f t="shared" si="8"/>
        <v>31</v>
      </c>
      <c r="Z54" s="83">
        <f>IF(OR(X54=12,X54=1,X54=2),Y54,IFERROR(INDEX(②비작업일수!$J$8:$J$52,MATCH(W54*100+X54,②비작업일수!$N$8:$N$52,0)),IFERROR(INDEX(②비작업일수!$J$8:$J$52,MATCH(X54,②비작업일수!$D$8:$D$52,0)),8)))</f>
        <v>31</v>
      </c>
      <c r="AA54" s="83">
        <f t="shared" si="9"/>
        <v>0</v>
      </c>
      <c r="AB54" s="83">
        <f t="shared" si="20"/>
        <v>542.30000000000007</v>
      </c>
      <c r="AC54" s="83">
        <f t="shared" si="10"/>
        <v>0</v>
      </c>
      <c r="AD54" s="83">
        <f t="shared" si="11"/>
        <v>0</v>
      </c>
    </row>
    <row r="55" spans="2:30">
      <c r="B55" s="81">
        <v>41</v>
      </c>
      <c r="C55" s="82">
        <f t="shared" si="12"/>
        <v>2030</v>
      </c>
      <c r="D55" s="82">
        <f t="shared" si="13"/>
        <v>4</v>
      </c>
      <c r="E55" s="82">
        <f t="shared" si="0"/>
        <v>30</v>
      </c>
      <c r="F55" s="83">
        <f>IF(OR(D55=12,D55=1,D55=2),E55,IFERROR(INDEX(②비작업일수!$J$8:$J$52,MATCH(C55*100+D55,②비작업일수!$N$8:$N$52,0)),IFERROR(INDEX(②비작업일수!$J$8:$J$52,MATCH(D55,②비작업일수!$D$8:$D$52,0)),8)))</f>
        <v>10</v>
      </c>
      <c r="G55" s="83">
        <f t="shared" si="1"/>
        <v>20</v>
      </c>
      <c r="H55" s="83">
        <f t="shared" si="14"/>
        <v>523.5</v>
      </c>
      <c r="I55" s="83">
        <f t="shared" si="2"/>
        <v>0</v>
      </c>
      <c r="J55" s="83">
        <f t="shared" si="3"/>
        <v>0</v>
      </c>
      <c r="L55" s="81">
        <v>41</v>
      </c>
      <c r="M55" s="82">
        <f t="shared" si="15"/>
        <v>2030</v>
      </c>
      <c r="N55" s="82">
        <f t="shared" si="16"/>
        <v>10</v>
      </c>
      <c r="O55" s="82">
        <f t="shared" si="4"/>
        <v>31</v>
      </c>
      <c r="P55" s="83">
        <f>IF(OR(N55=12,N55=1,N55=2),O55,IFERROR(INDEX(②비작업일수!$J$8:$J$52,MATCH(M55*100+N55,②비작업일수!$N$8:$N$52,0)),IFERROR(INDEX(②비작업일수!$J$8:$J$52,MATCH(N55,②비작업일수!$D$8:$D$52,0)),8)))</f>
        <v>11.2</v>
      </c>
      <c r="Q55" s="83">
        <f t="shared" si="5"/>
        <v>19.8</v>
      </c>
      <c r="R55" s="83">
        <f t="shared" si="17"/>
        <v>565.70000000000005</v>
      </c>
      <c r="S55" s="83">
        <f t="shared" si="6"/>
        <v>0</v>
      </c>
      <c r="T55" s="83">
        <f t="shared" si="7"/>
        <v>0</v>
      </c>
      <c r="V55" s="81">
        <v>41</v>
      </c>
      <c r="W55" s="82">
        <f t="shared" si="18"/>
        <v>2031</v>
      </c>
      <c r="X55" s="82">
        <f t="shared" si="19"/>
        <v>1</v>
      </c>
      <c r="Y55" s="82">
        <f t="shared" si="8"/>
        <v>31</v>
      </c>
      <c r="Z55" s="83">
        <f>IF(OR(X55=12,X55=1,X55=2),Y55,IFERROR(INDEX(②비작업일수!$J$8:$J$52,MATCH(W55*100+X55,②비작업일수!$N$8:$N$52,0)),IFERROR(INDEX(②비작업일수!$J$8:$J$52,MATCH(X55,②비작업일수!$D$8:$D$52,0)),8)))</f>
        <v>31</v>
      </c>
      <c r="AA55" s="83">
        <f t="shared" si="9"/>
        <v>0</v>
      </c>
      <c r="AB55" s="83">
        <f t="shared" si="20"/>
        <v>542.30000000000007</v>
      </c>
      <c r="AC55" s="83">
        <f t="shared" si="10"/>
        <v>0</v>
      </c>
      <c r="AD55" s="83">
        <f t="shared" si="11"/>
        <v>0</v>
      </c>
    </row>
    <row r="56" spans="2:30">
      <c r="B56" s="81">
        <v>42</v>
      </c>
      <c r="C56" s="82">
        <f t="shared" si="12"/>
        <v>2030</v>
      </c>
      <c r="D56" s="82">
        <f t="shared" si="13"/>
        <v>5</v>
      </c>
      <c r="E56" s="82">
        <f t="shared" si="0"/>
        <v>31</v>
      </c>
      <c r="F56" s="83">
        <f>IF(OR(D56=12,D56=1,D56=2),E56,IFERROR(INDEX(②비작업일수!$J$8:$J$52,MATCH(C56*100+D56,②비작업일수!$N$8:$N$52,0)),IFERROR(INDEX(②비작업일수!$J$8:$J$52,MATCH(D56,②비작업일수!$D$8:$D$52,0)),8)))</f>
        <v>11.9</v>
      </c>
      <c r="G56" s="83">
        <f t="shared" si="1"/>
        <v>19.100000000000001</v>
      </c>
      <c r="H56" s="83">
        <f t="shared" si="14"/>
        <v>542.6</v>
      </c>
      <c r="I56" s="83">
        <f t="shared" si="2"/>
        <v>0</v>
      </c>
      <c r="J56" s="83">
        <f t="shared" si="3"/>
        <v>0</v>
      </c>
      <c r="L56" s="81">
        <v>42</v>
      </c>
      <c r="M56" s="82">
        <f t="shared" si="15"/>
        <v>2030</v>
      </c>
      <c r="N56" s="82">
        <f t="shared" si="16"/>
        <v>11</v>
      </c>
      <c r="O56" s="82">
        <f t="shared" si="4"/>
        <v>30</v>
      </c>
      <c r="P56" s="83">
        <f>IF(OR(N56=12,N56=1,N56=2),O56,IFERROR(INDEX(②비작업일수!$J$8:$J$52,MATCH(M56*100+N56,②비작업일수!$N$8:$N$52,0)),IFERROR(INDEX(②비작업일수!$J$8:$J$52,MATCH(N56,②비작업일수!$D$8:$D$52,0)),8)))</f>
        <v>9.6</v>
      </c>
      <c r="Q56" s="83">
        <f t="shared" si="5"/>
        <v>20.399999999999999</v>
      </c>
      <c r="R56" s="83">
        <f t="shared" si="17"/>
        <v>586.1</v>
      </c>
      <c r="S56" s="83">
        <f t="shared" si="6"/>
        <v>0</v>
      </c>
      <c r="T56" s="83">
        <f t="shared" si="7"/>
        <v>0</v>
      </c>
      <c r="V56" s="81">
        <v>42</v>
      </c>
      <c r="W56" s="82">
        <f t="shared" si="18"/>
        <v>2031</v>
      </c>
      <c r="X56" s="82">
        <f t="shared" si="19"/>
        <v>2</v>
      </c>
      <c r="Y56" s="82">
        <f t="shared" si="8"/>
        <v>28</v>
      </c>
      <c r="Z56" s="83">
        <f>IF(OR(X56=12,X56=1,X56=2),Y56,IFERROR(INDEX(②비작업일수!$J$8:$J$52,MATCH(W56*100+X56,②비작업일수!$N$8:$N$52,0)),IFERROR(INDEX(②비작업일수!$J$8:$J$52,MATCH(X56,②비작업일수!$D$8:$D$52,0)),8)))</f>
        <v>28</v>
      </c>
      <c r="AA56" s="83">
        <f t="shared" si="9"/>
        <v>0</v>
      </c>
      <c r="AB56" s="83">
        <f t="shared" si="20"/>
        <v>542.30000000000007</v>
      </c>
      <c r="AC56" s="83">
        <f t="shared" si="10"/>
        <v>0</v>
      </c>
      <c r="AD56" s="83">
        <f t="shared" si="11"/>
        <v>0</v>
      </c>
    </row>
    <row r="57" spans="2:30">
      <c r="B57" s="81">
        <v>43</v>
      </c>
      <c r="C57" s="82">
        <f t="shared" si="12"/>
        <v>2030</v>
      </c>
      <c r="D57" s="82">
        <f t="shared" si="13"/>
        <v>6</v>
      </c>
      <c r="E57" s="82">
        <f t="shared" si="0"/>
        <v>30</v>
      </c>
      <c r="F57" s="83">
        <f>IF(OR(D57=12,D57=1,D57=2),E57,IFERROR(INDEX(②비작업일수!$J$8:$J$52,MATCH(C57*100+D57,②비작업일수!$N$8:$N$52,0)),IFERROR(INDEX(②비작업일수!$J$8:$J$52,MATCH(D57,②비작업일수!$D$8:$D$52,0)),8)))</f>
        <v>11</v>
      </c>
      <c r="G57" s="83">
        <f t="shared" si="1"/>
        <v>19</v>
      </c>
      <c r="H57" s="83">
        <f t="shared" si="14"/>
        <v>561.6</v>
      </c>
      <c r="I57" s="83">
        <f t="shared" si="2"/>
        <v>0</v>
      </c>
      <c r="J57" s="83">
        <f t="shared" si="3"/>
        <v>0</v>
      </c>
      <c r="L57" s="81">
        <v>43</v>
      </c>
      <c r="M57" s="82">
        <f t="shared" si="15"/>
        <v>2030</v>
      </c>
      <c r="N57" s="82">
        <f t="shared" si="16"/>
        <v>12</v>
      </c>
      <c r="O57" s="82">
        <f t="shared" si="4"/>
        <v>31</v>
      </c>
      <c r="P57" s="83">
        <f>IF(OR(N57=12,N57=1,N57=2),O57,IFERROR(INDEX(②비작업일수!$J$8:$J$52,MATCH(M57*100+N57,②비작업일수!$N$8:$N$52,0)),IFERROR(INDEX(②비작업일수!$J$8:$J$52,MATCH(N57,②비작업일수!$D$8:$D$52,0)),8)))</f>
        <v>31</v>
      </c>
      <c r="Q57" s="83">
        <f t="shared" si="5"/>
        <v>0</v>
      </c>
      <c r="R57" s="83">
        <f t="shared" si="17"/>
        <v>586.1</v>
      </c>
      <c r="S57" s="83">
        <f t="shared" si="6"/>
        <v>0</v>
      </c>
      <c r="T57" s="83">
        <f t="shared" si="7"/>
        <v>0</v>
      </c>
      <c r="V57" s="81">
        <v>43</v>
      </c>
      <c r="W57" s="82">
        <f t="shared" si="18"/>
        <v>2031</v>
      </c>
      <c r="X57" s="82">
        <f t="shared" si="19"/>
        <v>3</v>
      </c>
      <c r="Y57" s="82">
        <f t="shared" si="8"/>
        <v>31</v>
      </c>
      <c r="Z57" s="83">
        <f>IF(OR(X57=12,X57=1,X57=2),Y57,IFERROR(INDEX(②비작업일수!$J$8:$J$52,MATCH(W57*100+X57,②비작업일수!$N$8:$N$52,0)),IFERROR(INDEX(②비작업일수!$J$8:$J$52,MATCH(X57,②비작업일수!$D$8:$D$52,0)),8)))</f>
        <v>11.5</v>
      </c>
      <c r="AA57" s="83">
        <f t="shared" si="9"/>
        <v>19.5</v>
      </c>
      <c r="AB57" s="83">
        <f t="shared" si="20"/>
        <v>561.80000000000007</v>
      </c>
      <c r="AC57" s="83">
        <f t="shared" si="10"/>
        <v>0</v>
      </c>
      <c r="AD57" s="83">
        <f t="shared" si="11"/>
        <v>0</v>
      </c>
    </row>
    <row r="58" spans="2:30">
      <c r="B58" s="81">
        <v>44</v>
      </c>
      <c r="C58" s="82">
        <f t="shared" si="12"/>
        <v>2030</v>
      </c>
      <c r="D58" s="82">
        <f t="shared" si="13"/>
        <v>7</v>
      </c>
      <c r="E58" s="82">
        <f t="shared" si="0"/>
        <v>31</v>
      </c>
      <c r="F58" s="83">
        <f>IF(OR(D58=12,D58=1,D58=2),E58,IFERROR(INDEX(②비작업일수!$J$8:$J$52,MATCH(C58*100+D58,②비작업일수!$N$8:$N$52,0)),IFERROR(INDEX(②비작업일수!$J$8:$J$52,MATCH(D58,②비작업일수!$D$8:$D$52,0)),8)))</f>
        <v>18.3</v>
      </c>
      <c r="G58" s="83">
        <f t="shared" si="1"/>
        <v>12.7</v>
      </c>
      <c r="H58" s="83">
        <f t="shared" si="14"/>
        <v>574.30000000000007</v>
      </c>
      <c r="I58" s="83">
        <f t="shared" si="2"/>
        <v>0</v>
      </c>
      <c r="J58" s="83">
        <f t="shared" si="3"/>
        <v>0</v>
      </c>
      <c r="L58" s="81">
        <v>44</v>
      </c>
      <c r="M58" s="82">
        <f t="shared" si="15"/>
        <v>2031</v>
      </c>
      <c r="N58" s="82">
        <f t="shared" si="16"/>
        <v>1</v>
      </c>
      <c r="O58" s="82">
        <f t="shared" si="4"/>
        <v>31</v>
      </c>
      <c r="P58" s="83">
        <f>IF(OR(N58=12,N58=1,N58=2),O58,IFERROR(INDEX(②비작업일수!$J$8:$J$52,MATCH(M58*100+N58,②비작업일수!$N$8:$N$52,0)),IFERROR(INDEX(②비작업일수!$J$8:$J$52,MATCH(N58,②비작업일수!$D$8:$D$52,0)),8)))</f>
        <v>31</v>
      </c>
      <c r="Q58" s="83">
        <f t="shared" si="5"/>
        <v>0</v>
      </c>
      <c r="R58" s="83">
        <f t="shared" si="17"/>
        <v>586.1</v>
      </c>
      <c r="S58" s="83">
        <f t="shared" si="6"/>
        <v>0</v>
      </c>
      <c r="T58" s="83">
        <f t="shared" si="7"/>
        <v>0</v>
      </c>
      <c r="V58" s="81">
        <v>44</v>
      </c>
      <c r="W58" s="82">
        <f t="shared" si="18"/>
        <v>2031</v>
      </c>
      <c r="X58" s="82">
        <f t="shared" si="19"/>
        <v>4</v>
      </c>
      <c r="Y58" s="82">
        <f t="shared" si="8"/>
        <v>30</v>
      </c>
      <c r="Z58" s="83">
        <f>IF(OR(X58=12,X58=1,X58=2),Y58,IFERROR(INDEX(②비작업일수!$J$8:$J$52,MATCH(W58*100+X58,②비작업일수!$N$8:$N$52,0)),IFERROR(INDEX(②비작업일수!$J$8:$J$52,MATCH(X58,②비작업일수!$D$8:$D$52,0)),8)))</f>
        <v>10</v>
      </c>
      <c r="AA58" s="83">
        <f t="shared" si="9"/>
        <v>20</v>
      </c>
      <c r="AB58" s="83">
        <f t="shared" si="20"/>
        <v>581.80000000000007</v>
      </c>
      <c r="AC58" s="83">
        <f t="shared" si="10"/>
        <v>0</v>
      </c>
      <c r="AD58" s="83">
        <f t="shared" si="11"/>
        <v>0</v>
      </c>
    </row>
    <row r="59" spans="2:30">
      <c r="B59" s="81">
        <v>45</v>
      </c>
      <c r="C59" s="82">
        <f t="shared" si="12"/>
        <v>2030</v>
      </c>
      <c r="D59" s="82">
        <f t="shared" si="13"/>
        <v>8</v>
      </c>
      <c r="E59" s="82">
        <f t="shared" si="0"/>
        <v>31</v>
      </c>
      <c r="F59" s="83">
        <f>IF(OR(D59=12,D59=1,D59=2),E59,IFERROR(INDEX(②비작업일수!$J$8:$J$52,MATCH(C59*100+D59,②비작업일수!$N$8:$N$52,0)),IFERROR(INDEX(②비작업일수!$J$8:$J$52,MATCH(D59,②비작업일수!$D$8:$D$52,0)),8)))</f>
        <v>19.900000000000002</v>
      </c>
      <c r="G59" s="83">
        <f t="shared" si="1"/>
        <v>11.099999999999998</v>
      </c>
      <c r="H59" s="83">
        <f t="shared" si="14"/>
        <v>585.40000000000009</v>
      </c>
      <c r="I59" s="83">
        <f t="shared" si="2"/>
        <v>0</v>
      </c>
      <c r="J59" s="83">
        <f t="shared" si="3"/>
        <v>0</v>
      </c>
      <c r="L59" s="81">
        <v>45</v>
      </c>
      <c r="M59" s="82">
        <f t="shared" si="15"/>
        <v>2031</v>
      </c>
      <c r="N59" s="82">
        <f t="shared" si="16"/>
        <v>2</v>
      </c>
      <c r="O59" s="82">
        <f t="shared" si="4"/>
        <v>28</v>
      </c>
      <c r="P59" s="83">
        <f>IF(OR(N59=12,N59=1,N59=2),O59,IFERROR(INDEX(②비작업일수!$J$8:$J$52,MATCH(M59*100+N59,②비작업일수!$N$8:$N$52,0)),IFERROR(INDEX(②비작업일수!$J$8:$J$52,MATCH(N59,②비작업일수!$D$8:$D$52,0)),8)))</f>
        <v>28</v>
      </c>
      <c r="Q59" s="83">
        <f t="shared" si="5"/>
        <v>0</v>
      </c>
      <c r="R59" s="83">
        <f t="shared" si="17"/>
        <v>586.1</v>
      </c>
      <c r="S59" s="83">
        <f t="shared" si="6"/>
        <v>0</v>
      </c>
      <c r="T59" s="83">
        <f t="shared" si="7"/>
        <v>0</v>
      </c>
      <c r="V59" s="81">
        <v>45</v>
      </c>
      <c r="W59" s="82">
        <f t="shared" si="18"/>
        <v>2031</v>
      </c>
      <c r="X59" s="82">
        <f t="shared" si="19"/>
        <v>5</v>
      </c>
      <c r="Y59" s="82">
        <f t="shared" si="8"/>
        <v>31</v>
      </c>
      <c r="Z59" s="83">
        <f>IF(OR(X59=12,X59=1,X59=2),Y59,IFERROR(INDEX(②비작업일수!$J$8:$J$52,MATCH(W59*100+X59,②비작업일수!$N$8:$N$52,0)),IFERROR(INDEX(②비작업일수!$J$8:$J$52,MATCH(X59,②비작업일수!$D$8:$D$52,0)),8)))</f>
        <v>11.9</v>
      </c>
      <c r="AA59" s="83">
        <f t="shared" si="9"/>
        <v>19.100000000000001</v>
      </c>
      <c r="AB59" s="83">
        <f t="shared" si="20"/>
        <v>600.90000000000009</v>
      </c>
      <c r="AC59" s="83">
        <f t="shared" si="10"/>
        <v>0</v>
      </c>
      <c r="AD59" s="83">
        <f t="shared" si="11"/>
        <v>0</v>
      </c>
    </row>
    <row r="60" spans="2:30">
      <c r="B60" s="290">
        <v>46</v>
      </c>
      <c r="C60" s="291">
        <f t="shared" si="12"/>
        <v>2030</v>
      </c>
      <c r="D60" s="291">
        <f t="shared" si="13"/>
        <v>9</v>
      </c>
      <c r="E60" s="291">
        <f t="shared" si="0"/>
        <v>30</v>
      </c>
      <c r="F60" s="284">
        <f>IF(OR(D60=12,D60=1,D60=2),E60,IFERROR(INDEX(②비작업일수!$J$8:$J$52,MATCH(C60*100+D60,②비작업일수!$N$8:$N$52,0)),IFERROR(INDEX(②비작업일수!$J$8:$J$52,MATCH(D60,②비작업일수!$D$8:$D$52,0)),8)))</f>
        <v>10.899999999999999</v>
      </c>
      <c r="G60" s="292">
        <f t="shared" si="1"/>
        <v>19.100000000000001</v>
      </c>
      <c r="H60" s="284">
        <f t="shared" si="14"/>
        <v>604.50000000000011</v>
      </c>
      <c r="I60" s="292">
        <f t="shared" si="2"/>
        <v>0</v>
      </c>
      <c r="J60" s="292">
        <f t="shared" si="3"/>
        <v>0</v>
      </c>
      <c r="L60" s="290">
        <v>46</v>
      </c>
      <c r="M60" s="291">
        <f t="shared" si="15"/>
        <v>2031</v>
      </c>
      <c r="N60" s="291">
        <f t="shared" si="16"/>
        <v>3</v>
      </c>
      <c r="O60" s="291">
        <f t="shared" si="4"/>
        <v>31</v>
      </c>
      <c r="P60" s="284">
        <f>IF(OR(N60=12,N60=1,N60=2),O60,IFERROR(INDEX(②비작업일수!$J$8:$J$52,MATCH(M60*100+N60,②비작업일수!$N$8:$N$52,0)),IFERROR(INDEX(②비작업일수!$J$8:$J$52,MATCH(N60,②비작업일수!$D$8:$D$52,0)),8)))</f>
        <v>11.5</v>
      </c>
      <c r="Q60" s="292">
        <f t="shared" si="5"/>
        <v>19.5</v>
      </c>
      <c r="R60" s="284">
        <f t="shared" si="17"/>
        <v>605.6</v>
      </c>
      <c r="S60" s="292">
        <f t="shared" si="6"/>
        <v>0</v>
      </c>
      <c r="T60" s="292">
        <f t="shared" si="7"/>
        <v>0</v>
      </c>
      <c r="V60" s="290">
        <v>46</v>
      </c>
      <c r="W60" s="291">
        <f t="shared" si="18"/>
        <v>2031</v>
      </c>
      <c r="X60" s="291">
        <f t="shared" si="19"/>
        <v>6</v>
      </c>
      <c r="Y60" s="291">
        <f t="shared" si="8"/>
        <v>30</v>
      </c>
      <c r="Z60" s="284">
        <f>IF(OR(X60=12,X60=1,X60=2),Y60,IFERROR(INDEX(②비작업일수!$J$8:$J$52,MATCH(W60*100+X60,②비작업일수!$N$8:$N$52,0)),IFERROR(INDEX(②비작업일수!$J$8:$J$52,MATCH(X60,②비작업일수!$D$8:$D$52,0)),8)))</f>
        <v>9</v>
      </c>
      <c r="AA60" s="292">
        <f t="shared" si="9"/>
        <v>21</v>
      </c>
      <c r="AB60" s="284">
        <f t="shared" si="20"/>
        <v>621.90000000000009</v>
      </c>
      <c r="AC60" s="292">
        <f t="shared" si="10"/>
        <v>0</v>
      </c>
      <c r="AD60" s="292">
        <f t="shared" si="11"/>
        <v>0</v>
      </c>
    </row>
    <row r="61" spans="2:30" ht="15">
      <c r="B61" s="20" t="s">
        <v>1627</v>
      </c>
      <c r="C61" s="84"/>
      <c r="E61" s="78"/>
      <c r="F61" s="85">
        <f>COUNTIF(I15:I60,"&gt;0")</f>
        <v>25</v>
      </c>
      <c r="G61" t="s">
        <v>1628</v>
      </c>
      <c r="I61" s="292">
        <f>ROUND(SUM(I15:I60),1)</f>
        <v>738.1</v>
      </c>
      <c r="J61" s="292">
        <f>ROUND(SUM(J15:J60),1)</f>
        <v>414.8</v>
      </c>
      <c r="L61" s="20" t="s">
        <v>1627</v>
      </c>
      <c r="M61" s="84"/>
      <c r="O61" s="78"/>
      <c r="P61" s="85">
        <f>COUNTIF(S15:S60,"&gt;0")</f>
        <v>36</v>
      </c>
      <c r="Q61" t="s">
        <v>1628</v>
      </c>
      <c r="S61" s="292">
        <f>ROUND(SUM(S15:S60),1)</f>
        <v>1090</v>
      </c>
      <c r="T61" s="292">
        <f>ROUND(SUM(T15:T60),1)</f>
        <v>609.70000000000005</v>
      </c>
      <c r="V61" s="20" t="s">
        <v>1627</v>
      </c>
      <c r="W61" s="84"/>
      <c r="Y61" s="78"/>
      <c r="Z61" s="85">
        <f>COUNTIF(AC15:AC60,"&gt;0")</f>
        <v>38</v>
      </c>
      <c r="AA61" t="s">
        <v>1628</v>
      </c>
      <c r="AC61" s="292">
        <f>ROUND(SUM(AC15:AC60),1)</f>
        <v>1151.2</v>
      </c>
      <c r="AD61" s="292">
        <f>ROUND(SUM(AD15:AD60),1)</f>
        <v>633</v>
      </c>
    </row>
    <row r="62" spans="2:30">
      <c r="B62" s="23"/>
    </row>
    <row r="64" spans="2:30">
      <c r="B64" s="237" t="s">
        <v>1660</v>
      </c>
    </row>
    <row r="65" spans="2:9">
      <c r="B65" s="237" t="s">
        <v>71</v>
      </c>
      <c r="C65" s="237" t="s">
        <v>77</v>
      </c>
      <c r="D65" s="237" t="s">
        <v>78</v>
      </c>
      <c r="E65" s="237" t="s">
        <v>1661</v>
      </c>
      <c r="F65" s="237" t="s">
        <v>1662</v>
      </c>
      <c r="G65" s="237" t="s">
        <v>173</v>
      </c>
      <c r="H65" s="237" t="s">
        <v>1663</v>
      </c>
      <c r="I65" s="237" t="s">
        <v>1664</v>
      </c>
    </row>
    <row r="66" spans="2:9">
      <c r="B66">
        <v>1</v>
      </c>
      <c r="C66">
        <f t="shared" ref="C66:C97" si="21">YEAR(D66)</f>
        <v>2026</v>
      </c>
      <c r="D66" s="308">
        <f>DATE(YEAR($C$9),MONTH($C$9),1)</f>
        <v>46357</v>
      </c>
      <c r="E66">
        <f t="shared" ref="E66:E97" si="22">MONTH(D66)</f>
        <v>12</v>
      </c>
      <c r="F66" s="238">
        <f t="shared" ref="F66:F97" si="23">EOMONTH(D66,0)</f>
        <v>46387</v>
      </c>
      <c r="G66" t="str">
        <f t="shared" ref="G66:G97" si="24">IF(OR(E66=12,E66=1,E66=2),"동절기","")</f>
        <v>동절기</v>
      </c>
      <c r="H66">
        <f t="shared" ref="H66:H97" si="25">MAX(0,MIN(F66,$N$9)-MAX(D66,$C$9)+1)</f>
        <v>31</v>
      </c>
      <c r="I66">
        <f t="shared" ref="I66:I97" si="26">IF(G66="동절기",H66,0)</f>
        <v>31</v>
      </c>
    </row>
    <row r="67" spans="2:9">
      <c r="B67">
        <v>2</v>
      </c>
      <c r="C67">
        <f t="shared" si="21"/>
        <v>2027</v>
      </c>
      <c r="D67" s="308">
        <f t="shared" ref="D67:D98" si="27">EOMONTH(D66,0)+1</f>
        <v>46388</v>
      </c>
      <c r="E67">
        <f t="shared" si="22"/>
        <v>1</v>
      </c>
      <c r="F67" s="238">
        <f t="shared" si="23"/>
        <v>46418</v>
      </c>
      <c r="G67" t="str">
        <f t="shared" si="24"/>
        <v>동절기</v>
      </c>
      <c r="H67">
        <f t="shared" si="25"/>
        <v>31</v>
      </c>
      <c r="I67">
        <f t="shared" si="26"/>
        <v>31</v>
      </c>
    </row>
    <row r="68" spans="2:9">
      <c r="B68">
        <v>3</v>
      </c>
      <c r="C68">
        <f t="shared" si="21"/>
        <v>2027</v>
      </c>
      <c r="D68" s="308">
        <f t="shared" si="27"/>
        <v>46419</v>
      </c>
      <c r="E68">
        <f t="shared" si="22"/>
        <v>2</v>
      </c>
      <c r="F68" s="238">
        <f t="shared" si="23"/>
        <v>46446</v>
      </c>
      <c r="G68" t="str">
        <f t="shared" si="24"/>
        <v>동절기</v>
      </c>
      <c r="H68">
        <f t="shared" si="25"/>
        <v>28</v>
      </c>
      <c r="I68">
        <f t="shared" si="26"/>
        <v>28</v>
      </c>
    </row>
    <row r="69" spans="2:9">
      <c r="B69">
        <v>4</v>
      </c>
      <c r="C69">
        <f t="shared" si="21"/>
        <v>2027</v>
      </c>
      <c r="D69" s="308">
        <f t="shared" si="27"/>
        <v>46447</v>
      </c>
      <c r="E69">
        <f t="shared" si="22"/>
        <v>3</v>
      </c>
      <c r="F69" s="238">
        <f t="shared" si="23"/>
        <v>46477</v>
      </c>
      <c r="G69" t="str">
        <f t="shared" si="24"/>
        <v/>
      </c>
      <c r="H69">
        <f t="shared" si="25"/>
        <v>31</v>
      </c>
      <c r="I69">
        <f t="shared" si="26"/>
        <v>0</v>
      </c>
    </row>
    <row r="70" spans="2:9">
      <c r="B70">
        <v>5</v>
      </c>
      <c r="C70">
        <f t="shared" si="21"/>
        <v>2027</v>
      </c>
      <c r="D70" s="308">
        <f t="shared" si="27"/>
        <v>46478</v>
      </c>
      <c r="E70">
        <f t="shared" si="22"/>
        <v>4</v>
      </c>
      <c r="F70" s="238">
        <f t="shared" si="23"/>
        <v>46507</v>
      </c>
      <c r="G70" t="str">
        <f t="shared" si="24"/>
        <v/>
      </c>
      <c r="H70">
        <f t="shared" si="25"/>
        <v>30</v>
      </c>
      <c r="I70">
        <f t="shared" si="26"/>
        <v>0</v>
      </c>
    </row>
    <row r="71" spans="2:9">
      <c r="B71">
        <v>6</v>
      </c>
      <c r="C71">
        <f t="shared" si="21"/>
        <v>2027</v>
      </c>
      <c r="D71" s="308">
        <f t="shared" si="27"/>
        <v>46508</v>
      </c>
      <c r="E71">
        <f t="shared" si="22"/>
        <v>5</v>
      </c>
      <c r="F71" s="238">
        <f t="shared" si="23"/>
        <v>46538</v>
      </c>
      <c r="G71" t="str">
        <f t="shared" si="24"/>
        <v/>
      </c>
      <c r="H71">
        <f t="shared" si="25"/>
        <v>31</v>
      </c>
      <c r="I71">
        <f t="shared" si="26"/>
        <v>0</v>
      </c>
    </row>
    <row r="72" spans="2:9">
      <c r="B72">
        <v>7</v>
      </c>
      <c r="C72">
        <f t="shared" si="21"/>
        <v>2027</v>
      </c>
      <c r="D72" s="308">
        <f t="shared" si="27"/>
        <v>46539</v>
      </c>
      <c r="E72">
        <f t="shared" si="22"/>
        <v>6</v>
      </c>
      <c r="F72" s="238">
        <f t="shared" si="23"/>
        <v>46568</v>
      </c>
      <c r="G72" t="str">
        <f t="shared" si="24"/>
        <v/>
      </c>
      <c r="H72">
        <f t="shared" si="25"/>
        <v>30</v>
      </c>
      <c r="I72">
        <f t="shared" si="26"/>
        <v>0</v>
      </c>
    </row>
    <row r="73" spans="2:9">
      <c r="B73">
        <v>8</v>
      </c>
      <c r="C73">
        <f t="shared" si="21"/>
        <v>2027</v>
      </c>
      <c r="D73" s="308">
        <f t="shared" si="27"/>
        <v>46569</v>
      </c>
      <c r="E73">
        <f t="shared" si="22"/>
        <v>7</v>
      </c>
      <c r="F73" s="238">
        <f t="shared" si="23"/>
        <v>46599</v>
      </c>
      <c r="G73" t="str">
        <f t="shared" si="24"/>
        <v/>
      </c>
      <c r="H73">
        <f t="shared" si="25"/>
        <v>31</v>
      </c>
      <c r="I73">
        <f t="shared" si="26"/>
        <v>0</v>
      </c>
    </row>
    <row r="74" spans="2:9">
      <c r="B74">
        <v>9</v>
      </c>
      <c r="C74">
        <f t="shared" si="21"/>
        <v>2027</v>
      </c>
      <c r="D74" s="308">
        <f t="shared" si="27"/>
        <v>46600</v>
      </c>
      <c r="E74">
        <f t="shared" si="22"/>
        <v>8</v>
      </c>
      <c r="F74" s="238">
        <f t="shared" si="23"/>
        <v>46630</v>
      </c>
      <c r="G74" t="str">
        <f t="shared" si="24"/>
        <v/>
      </c>
      <c r="H74">
        <f t="shared" si="25"/>
        <v>31</v>
      </c>
      <c r="I74">
        <f t="shared" si="26"/>
        <v>0</v>
      </c>
    </row>
    <row r="75" spans="2:9">
      <c r="B75">
        <v>10</v>
      </c>
      <c r="C75">
        <f t="shared" si="21"/>
        <v>2027</v>
      </c>
      <c r="D75" s="308">
        <f t="shared" si="27"/>
        <v>46631</v>
      </c>
      <c r="E75">
        <f t="shared" si="22"/>
        <v>9</v>
      </c>
      <c r="F75" s="238">
        <f t="shared" si="23"/>
        <v>46660</v>
      </c>
      <c r="G75" t="str">
        <f t="shared" si="24"/>
        <v/>
      </c>
      <c r="H75">
        <f t="shared" si="25"/>
        <v>30</v>
      </c>
      <c r="I75">
        <f t="shared" si="26"/>
        <v>0</v>
      </c>
    </row>
    <row r="76" spans="2:9">
      <c r="B76">
        <v>11</v>
      </c>
      <c r="C76">
        <f t="shared" si="21"/>
        <v>2027</v>
      </c>
      <c r="D76" s="308">
        <f t="shared" si="27"/>
        <v>46661</v>
      </c>
      <c r="E76">
        <f t="shared" si="22"/>
        <v>10</v>
      </c>
      <c r="F76" s="238">
        <f t="shared" si="23"/>
        <v>46691</v>
      </c>
      <c r="G76" t="str">
        <f t="shared" si="24"/>
        <v/>
      </c>
      <c r="H76">
        <f t="shared" si="25"/>
        <v>31</v>
      </c>
      <c r="I76">
        <f t="shared" si="26"/>
        <v>0</v>
      </c>
    </row>
    <row r="77" spans="2:9">
      <c r="B77">
        <v>12</v>
      </c>
      <c r="C77">
        <f t="shared" si="21"/>
        <v>2027</v>
      </c>
      <c r="D77" s="308">
        <f t="shared" si="27"/>
        <v>46692</v>
      </c>
      <c r="E77">
        <f t="shared" si="22"/>
        <v>11</v>
      </c>
      <c r="F77" s="238">
        <f t="shared" si="23"/>
        <v>46721</v>
      </c>
      <c r="G77" t="str">
        <f t="shared" si="24"/>
        <v/>
      </c>
      <c r="H77">
        <f t="shared" si="25"/>
        <v>30</v>
      </c>
      <c r="I77">
        <f t="shared" si="26"/>
        <v>0</v>
      </c>
    </row>
    <row r="78" spans="2:9">
      <c r="B78">
        <v>13</v>
      </c>
      <c r="C78">
        <f t="shared" si="21"/>
        <v>2027</v>
      </c>
      <c r="D78" s="308">
        <f t="shared" si="27"/>
        <v>46722</v>
      </c>
      <c r="E78">
        <f t="shared" si="22"/>
        <v>12</v>
      </c>
      <c r="F78" s="238">
        <f t="shared" si="23"/>
        <v>46752</v>
      </c>
      <c r="G78" t="str">
        <f t="shared" si="24"/>
        <v>동절기</v>
      </c>
      <c r="H78">
        <f t="shared" si="25"/>
        <v>31</v>
      </c>
      <c r="I78">
        <f t="shared" si="26"/>
        <v>31</v>
      </c>
    </row>
    <row r="79" spans="2:9">
      <c r="B79">
        <v>14</v>
      </c>
      <c r="C79">
        <f t="shared" si="21"/>
        <v>2028</v>
      </c>
      <c r="D79" s="308">
        <f t="shared" si="27"/>
        <v>46753</v>
      </c>
      <c r="E79">
        <f t="shared" si="22"/>
        <v>1</v>
      </c>
      <c r="F79" s="238">
        <f t="shared" si="23"/>
        <v>46783</v>
      </c>
      <c r="G79" t="str">
        <f t="shared" si="24"/>
        <v>동절기</v>
      </c>
      <c r="H79">
        <f t="shared" si="25"/>
        <v>31</v>
      </c>
      <c r="I79">
        <f t="shared" si="26"/>
        <v>31</v>
      </c>
    </row>
    <row r="80" spans="2:9">
      <c r="B80">
        <v>15</v>
      </c>
      <c r="C80">
        <f t="shared" si="21"/>
        <v>2028</v>
      </c>
      <c r="D80" s="308">
        <f t="shared" si="27"/>
        <v>46784</v>
      </c>
      <c r="E80">
        <f t="shared" si="22"/>
        <v>2</v>
      </c>
      <c r="F80" s="238">
        <f t="shared" si="23"/>
        <v>46812</v>
      </c>
      <c r="G80" t="str">
        <f t="shared" si="24"/>
        <v>동절기</v>
      </c>
      <c r="H80">
        <f t="shared" si="25"/>
        <v>29</v>
      </c>
      <c r="I80">
        <f t="shared" si="26"/>
        <v>29</v>
      </c>
    </row>
    <row r="81" spans="2:9">
      <c r="B81">
        <v>16</v>
      </c>
      <c r="C81">
        <f t="shared" si="21"/>
        <v>2028</v>
      </c>
      <c r="D81" s="308">
        <f t="shared" si="27"/>
        <v>46813</v>
      </c>
      <c r="E81">
        <f t="shared" si="22"/>
        <v>3</v>
      </c>
      <c r="F81" s="238">
        <f t="shared" si="23"/>
        <v>46843</v>
      </c>
      <c r="G81" t="str">
        <f t="shared" si="24"/>
        <v/>
      </c>
      <c r="H81">
        <f t="shared" si="25"/>
        <v>31</v>
      </c>
      <c r="I81">
        <f t="shared" si="26"/>
        <v>0</v>
      </c>
    </row>
    <row r="82" spans="2:9">
      <c r="B82">
        <v>17</v>
      </c>
      <c r="C82">
        <f t="shared" si="21"/>
        <v>2028</v>
      </c>
      <c r="D82" s="308">
        <f t="shared" si="27"/>
        <v>46844</v>
      </c>
      <c r="E82">
        <f t="shared" si="22"/>
        <v>4</v>
      </c>
      <c r="F82" s="238">
        <f t="shared" si="23"/>
        <v>46873</v>
      </c>
      <c r="G82" t="str">
        <f t="shared" si="24"/>
        <v/>
      </c>
      <c r="H82">
        <f t="shared" si="25"/>
        <v>30</v>
      </c>
      <c r="I82">
        <f t="shared" si="26"/>
        <v>0</v>
      </c>
    </row>
    <row r="83" spans="2:9">
      <c r="B83">
        <v>18</v>
      </c>
      <c r="C83">
        <f t="shared" si="21"/>
        <v>2028</v>
      </c>
      <c r="D83" s="308">
        <f t="shared" si="27"/>
        <v>46874</v>
      </c>
      <c r="E83">
        <f t="shared" si="22"/>
        <v>5</v>
      </c>
      <c r="F83" s="238">
        <f t="shared" si="23"/>
        <v>46904</v>
      </c>
      <c r="G83" t="str">
        <f t="shared" si="24"/>
        <v/>
      </c>
      <c r="H83">
        <f t="shared" si="25"/>
        <v>31</v>
      </c>
      <c r="I83">
        <f t="shared" si="26"/>
        <v>0</v>
      </c>
    </row>
    <row r="84" spans="2:9">
      <c r="B84">
        <v>19</v>
      </c>
      <c r="C84">
        <f t="shared" si="21"/>
        <v>2028</v>
      </c>
      <c r="D84" s="308">
        <f t="shared" si="27"/>
        <v>46905</v>
      </c>
      <c r="E84">
        <f t="shared" si="22"/>
        <v>6</v>
      </c>
      <c r="F84" s="238">
        <f t="shared" si="23"/>
        <v>46934</v>
      </c>
      <c r="G84" t="str">
        <f t="shared" si="24"/>
        <v/>
      </c>
      <c r="H84">
        <f t="shared" si="25"/>
        <v>30</v>
      </c>
      <c r="I84">
        <f t="shared" si="26"/>
        <v>0</v>
      </c>
    </row>
    <row r="85" spans="2:9">
      <c r="B85">
        <v>20</v>
      </c>
      <c r="C85">
        <f t="shared" si="21"/>
        <v>2028</v>
      </c>
      <c r="D85" s="308">
        <f t="shared" si="27"/>
        <v>46935</v>
      </c>
      <c r="E85">
        <f t="shared" si="22"/>
        <v>7</v>
      </c>
      <c r="F85" s="238">
        <f t="shared" si="23"/>
        <v>46965</v>
      </c>
      <c r="G85" t="str">
        <f t="shared" si="24"/>
        <v/>
      </c>
      <c r="H85">
        <f t="shared" si="25"/>
        <v>31</v>
      </c>
      <c r="I85">
        <f t="shared" si="26"/>
        <v>0</v>
      </c>
    </row>
    <row r="86" spans="2:9">
      <c r="B86">
        <v>21</v>
      </c>
      <c r="C86">
        <f t="shared" si="21"/>
        <v>2028</v>
      </c>
      <c r="D86" s="308">
        <f t="shared" si="27"/>
        <v>46966</v>
      </c>
      <c r="E86">
        <f t="shared" si="22"/>
        <v>8</v>
      </c>
      <c r="F86" s="238">
        <f t="shared" si="23"/>
        <v>46996</v>
      </c>
      <c r="G86" t="str">
        <f t="shared" si="24"/>
        <v/>
      </c>
      <c r="H86">
        <f t="shared" si="25"/>
        <v>31</v>
      </c>
      <c r="I86">
        <f t="shared" si="26"/>
        <v>0</v>
      </c>
    </row>
    <row r="87" spans="2:9">
      <c r="B87">
        <v>22</v>
      </c>
      <c r="C87">
        <f t="shared" si="21"/>
        <v>2028</v>
      </c>
      <c r="D87" s="308">
        <f t="shared" si="27"/>
        <v>46997</v>
      </c>
      <c r="E87">
        <f t="shared" si="22"/>
        <v>9</v>
      </c>
      <c r="F87" s="238">
        <f t="shared" si="23"/>
        <v>47026</v>
      </c>
      <c r="G87" t="str">
        <f t="shared" si="24"/>
        <v/>
      </c>
      <c r="H87">
        <f t="shared" si="25"/>
        <v>30</v>
      </c>
      <c r="I87">
        <f t="shared" si="26"/>
        <v>0</v>
      </c>
    </row>
    <row r="88" spans="2:9">
      <c r="B88">
        <v>23</v>
      </c>
      <c r="C88">
        <f t="shared" si="21"/>
        <v>2028</v>
      </c>
      <c r="D88" s="308">
        <f t="shared" si="27"/>
        <v>47027</v>
      </c>
      <c r="E88">
        <f t="shared" si="22"/>
        <v>10</v>
      </c>
      <c r="F88" s="238">
        <f t="shared" si="23"/>
        <v>47057</v>
      </c>
      <c r="G88" t="str">
        <f t="shared" si="24"/>
        <v/>
      </c>
      <c r="H88">
        <f t="shared" si="25"/>
        <v>31</v>
      </c>
      <c r="I88">
        <f t="shared" si="26"/>
        <v>0</v>
      </c>
    </row>
    <row r="89" spans="2:9">
      <c r="B89">
        <v>24</v>
      </c>
      <c r="C89">
        <f t="shared" si="21"/>
        <v>2028</v>
      </c>
      <c r="D89" s="308">
        <f t="shared" si="27"/>
        <v>47058</v>
      </c>
      <c r="E89">
        <f t="shared" si="22"/>
        <v>11</v>
      </c>
      <c r="F89" s="238">
        <f t="shared" si="23"/>
        <v>47087</v>
      </c>
      <c r="G89" t="str">
        <f t="shared" si="24"/>
        <v/>
      </c>
      <c r="H89">
        <f t="shared" si="25"/>
        <v>30</v>
      </c>
      <c r="I89">
        <f t="shared" si="26"/>
        <v>0</v>
      </c>
    </row>
    <row r="90" spans="2:9">
      <c r="B90">
        <v>25</v>
      </c>
      <c r="C90">
        <f t="shared" si="21"/>
        <v>2028</v>
      </c>
      <c r="D90" s="308">
        <f t="shared" si="27"/>
        <v>47088</v>
      </c>
      <c r="E90">
        <f t="shared" si="22"/>
        <v>12</v>
      </c>
      <c r="F90" s="238">
        <f t="shared" si="23"/>
        <v>47118</v>
      </c>
      <c r="G90" t="str">
        <f t="shared" si="24"/>
        <v>동절기</v>
      </c>
      <c r="H90">
        <f t="shared" si="25"/>
        <v>31</v>
      </c>
      <c r="I90">
        <f t="shared" si="26"/>
        <v>31</v>
      </c>
    </row>
    <row r="91" spans="2:9">
      <c r="B91">
        <v>26</v>
      </c>
      <c r="C91">
        <f t="shared" si="21"/>
        <v>2029</v>
      </c>
      <c r="D91" s="308">
        <f t="shared" si="27"/>
        <v>47119</v>
      </c>
      <c r="E91">
        <f t="shared" si="22"/>
        <v>1</v>
      </c>
      <c r="F91" s="238">
        <f t="shared" si="23"/>
        <v>47149</v>
      </c>
      <c r="G91" t="str">
        <f t="shared" si="24"/>
        <v>동절기</v>
      </c>
      <c r="H91">
        <f t="shared" si="25"/>
        <v>31</v>
      </c>
      <c r="I91">
        <f t="shared" si="26"/>
        <v>31</v>
      </c>
    </row>
    <row r="92" spans="2:9">
      <c r="B92">
        <v>27</v>
      </c>
      <c r="C92">
        <f t="shared" si="21"/>
        <v>2029</v>
      </c>
      <c r="D92" s="308">
        <f t="shared" si="27"/>
        <v>47150</v>
      </c>
      <c r="E92">
        <f t="shared" si="22"/>
        <v>2</v>
      </c>
      <c r="F92" s="238">
        <f t="shared" si="23"/>
        <v>47177</v>
      </c>
      <c r="G92" t="str">
        <f t="shared" si="24"/>
        <v>동절기</v>
      </c>
      <c r="H92">
        <f t="shared" si="25"/>
        <v>28</v>
      </c>
      <c r="I92">
        <f t="shared" si="26"/>
        <v>28</v>
      </c>
    </row>
    <row r="93" spans="2:9">
      <c r="B93">
        <v>28</v>
      </c>
      <c r="C93">
        <f t="shared" si="21"/>
        <v>2029</v>
      </c>
      <c r="D93" s="308">
        <f t="shared" si="27"/>
        <v>47178</v>
      </c>
      <c r="E93">
        <f t="shared" si="22"/>
        <v>3</v>
      </c>
      <c r="F93" s="238">
        <f t="shared" si="23"/>
        <v>47208</v>
      </c>
      <c r="G93" t="str">
        <f t="shared" si="24"/>
        <v/>
      </c>
      <c r="H93">
        <f t="shared" si="25"/>
        <v>31</v>
      </c>
      <c r="I93">
        <f t="shared" si="26"/>
        <v>0</v>
      </c>
    </row>
    <row r="94" spans="2:9">
      <c r="B94">
        <v>29</v>
      </c>
      <c r="C94">
        <f t="shared" si="21"/>
        <v>2029</v>
      </c>
      <c r="D94" s="308">
        <f t="shared" si="27"/>
        <v>47209</v>
      </c>
      <c r="E94">
        <f t="shared" si="22"/>
        <v>4</v>
      </c>
      <c r="F94" s="238">
        <f t="shared" si="23"/>
        <v>47238</v>
      </c>
      <c r="G94" t="str">
        <f t="shared" si="24"/>
        <v/>
      </c>
      <c r="H94">
        <f t="shared" si="25"/>
        <v>30</v>
      </c>
      <c r="I94">
        <f t="shared" si="26"/>
        <v>0</v>
      </c>
    </row>
    <row r="95" spans="2:9">
      <c r="B95">
        <v>30</v>
      </c>
      <c r="C95">
        <f t="shared" si="21"/>
        <v>2029</v>
      </c>
      <c r="D95" s="308">
        <f t="shared" si="27"/>
        <v>47239</v>
      </c>
      <c r="E95">
        <f t="shared" si="22"/>
        <v>5</v>
      </c>
      <c r="F95" s="238">
        <f t="shared" si="23"/>
        <v>47269</v>
      </c>
      <c r="G95" t="str">
        <f t="shared" si="24"/>
        <v/>
      </c>
      <c r="H95">
        <f t="shared" si="25"/>
        <v>31</v>
      </c>
      <c r="I95">
        <f t="shared" si="26"/>
        <v>0</v>
      </c>
    </row>
    <row r="96" spans="2:9">
      <c r="B96">
        <v>31</v>
      </c>
      <c r="C96">
        <f t="shared" si="21"/>
        <v>2029</v>
      </c>
      <c r="D96" s="308">
        <f t="shared" si="27"/>
        <v>47270</v>
      </c>
      <c r="E96">
        <f t="shared" si="22"/>
        <v>6</v>
      </c>
      <c r="F96" s="238">
        <f t="shared" si="23"/>
        <v>47299</v>
      </c>
      <c r="G96" t="str">
        <f t="shared" si="24"/>
        <v/>
      </c>
      <c r="H96">
        <f t="shared" si="25"/>
        <v>30</v>
      </c>
      <c r="I96">
        <f t="shared" si="26"/>
        <v>0</v>
      </c>
    </row>
    <row r="97" spans="2:9">
      <c r="B97">
        <v>32</v>
      </c>
      <c r="C97">
        <f t="shared" si="21"/>
        <v>2029</v>
      </c>
      <c r="D97" s="308">
        <f t="shared" si="27"/>
        <v>47300</v>
      </c>
      <c r="E97">
        <f t="shared" si="22"/>
        <v>7</v>
      </c>
      <c r="F97" s="238">
        <f t="shared" si="23"/>
        <v>47330</v>
      </c>
      <c r="G97" t="str">
        <f t="shared" si="24"/>
        <v/>
      </c>
      <c r="H97">
        <f t="shared" si="25"/>
        <v>31</v>
      </c>
      <c r="I97">
        <f t="shared" si="26"/>
        <v>0</v>
      </c>
    </row>
    <row r="98" spans="2:9">
      <c r="B98">
        <v>33</v>
      </c>
      <c r="C98">
        <f t="shared" ref="C98:C125" si="28">YEAR(D98)</f>
        <v>2029</v>
      </c>
      <c r="D98" s="308">
        <f t="shared" si="27"/>
        <v>47331</v>
      </c>
      <c r="E98">
        <f t="shared" ref="E98:E125" si="29">MONTH(D98)</f>
        <v>8</v>
      </c>
      <c r="F98" s="238">
        <f t="shared" ref="F98:F125" si="30">EOMONTH(D98,0)</f>
        <v>47361</v>
      </c>
      <c r="G98" t="str">
        <f t="shared" ref="G98:G125" si="31">IF(OR(E98=12,E98=1,E98=2),"동절기","")</f>
        <v/>
      </c>
      <c r="H98">
        <f t="shared" ref="H98:H125" si="32">MAX(0,MIN(F98,$N$9)-MAX(D98,$C$9)+1)</f>
        <v>31</v>
      </c>
      <c r="I98">
        <f t="shared" ref="I98:I125" si="33">IF(G98="동절기",H98,0)</f>
        <v>0</v>
      </c>
    </row>
    <row r="99" spans="2:9">
      <c r="B99">
        <v>34</v>
      </c>
      <c r="C99">
        <f t="shared" si="28"/>
        <v>2029</v>
      </c>
      <c r="D99" s="308">
        <f t="shared" ref="D99:D125" si="34">EOMONTH(D98,0)+1</f>
        <v>47362</v>
      </c>
      <c r="E99">
        <f t="shared" si="29"/>
        <v>9</v>
      </c>
      <c r="F99" s="238">
        <f t="shared" si="30"/>
        <v>47391</v>
      </c>
      <c r="G99" t="str">
        <f t="shared" si="31"/>
        <v/>
      </c>
      <c r="H99">
        <f t="shared" si="32"/>
        <v>30</v>
      </c>
      <c r="I99">
        <f t="shared" si="33"/>
        <v>0</v>
      </c>
    </row>
    <row r="100" spans="2:9">
      <c r="B100">
        <v>35</v>
      </c>
      <c r="C100">
        <f t="shared" si="28"/>
        <v>2029</v>
      </c>
      <c r="D100" s="308">
        <f t="shared" si="34"/>
        <v>47392</v>
      </c>
      <c r="E100">
        <f t="shared" si="29"/>
        <v>10</v>
      </c>
      <c r="F100" s="238">
        <f t="shared" si="30"/>
        <v>47422</v>
      </c>
      <c r="G100" t="str">
        <f t="shared" si="31"/>
        <v/>
      </c>
      <c r="H100">
        <f t="shared" si="32"/>
        <v>31</v>
      </c>
      <c r="I100">
        <f t="shared" si="33"/>
        <v>0</v>
      </c>
    </row>
    <row r="101" spans="2:9">
      <c r="B101">
        <v>36</v>
      </c>
      <c r="C101">
        <f t="shared" si="28"/>
        <v>2029</v>
      </c>
      <c r="D101" s="308">
        <f t="shared" si="34"/>
        <v>47423</v>
      </c>
      <c r="E101">
        <f t="shared" si="29"/>
        <v>11</v>
      </c>
      <c r="F101" s="238">
        <f t="shared" si="30"/>
        <v>47452</v>
      </c>
      <c r="G101" t="str">
        <f t="shared" si="31"/>
        <v/>
      </c>
      <c r="H101">
        <f t="shared" si="32"/>
        <v>30</v>
      </c>
      <c r="I101">
        <f t="shared" si="33"/>
        <v>0</v>
      </c>
    </row>
    <row r="102" spans="2:9">
      <c r="B102">
        <v>37</v>
      </c>
      <c r="C102">
        <f t="shared" si="28"/>
        <v>2029</v>
      </c>
      <c r="D102" s="308">
        <f t="shared" si="34"/>
        <v>47453</v>
      </c>
      <c r="E102">
        <f t="shared" si="29"/>
        <v>12</v>
      </c>
      <c r="F102" s="238">
        <f t="shared" si="30"/>
        <v>47483</v>
      </c>
      <c r="G102" t="str">
        <f t="shared" si="31"/>
        <v>동절기</v>
      </c>
      <c r="H102">
        <f t="shared" si="32"/>
        <v>31</v>
      </c>
      <c r="I102">
        <f t="shared" si="33"/>
        <v>31</v>
      </c>
    </row>
    <row r="103" spans="2:9">
      <c r="B103">
        <v>38</v>
      </c>
      <c r="C103">
        <f t="shared" si="28"/>
        <v>2030</v>
      </c>
      <c r="D103" s="308">
        <f t="shared" si="34"/>
        <v>47484</v>
      </c>
      <c r="E103">
        <f t="shared" si="29"/>
        <v>1</v>
      </c>
      <c r="F103" s="238">
        <f t="shared" si="30"/>
        <v>47514</v>
      </c>
      <c r="G103" t="str">
        <f t="shared" si="31"/>
        <v>동절기</v>
      </c>
      <c r="H103">
        <f t="shared" si="32"/>
        <v>31</v>
      </c>
      <c r="I103">
        <f t="shared" si="33"/>
        <v>31</v>
      </c>
    </row>
    <row r="104" spans="2:9">
      <c r="B104">
        <v>39</v>
      </c>
      <c r="C104">
        <f t="shared" si="28"/>
        <v>2030</v>
      </c>
      <c r="D104" s="308">
        <f t="shared" si="34"/>
        <v>47515</v>
      </c>
      <c r="E104">
        <f t="shared" si="29"/>
        <v>2</v>
      </c>
      <c r="F104" s="238">
        <f t="shared" si="30"/>
        <v>47542</v>
      </c>
      <c r="G104" t="str">
        <f t="shared" si="31"/>
        <v>동절기</v>
      </c>
      <c r="H104">
        <f t="shared" si="32"/>
        <v>28</v>
      </c>
      <c r="I104">
        <f t="shared" si="33"/>
        <v>28</v>
      </c>
    </row>
    <row r="105" spans="2:9">
      <c r="B105">
        <v>40</v>
      </c>
      <c r="C105">
        <f t="shared" si="28"/>
        <v>2030</v>
      </c>
      <c r="D105" s="308">
        <f t="shared" si="34"/>
        <v>47543</v>
      </c>
      <c r="E105">
        <f t="shared" si="29"/>
        <v>3</v>
      </c>
      <c r="F105" s="238">
        <f t="shared" si="30"/>
        <v>47573</v>
      </c>
      <c r="G105" t="str">
        <f t="shared" si="31"/>
        <v/>
      </c>
      <c r="H105">
        <f t="shared" si="32"/>
        <v>31</v>
      </c>
      <c r="I105">
        <f t="shared" si="33"/>
        <v>0</v>
      </c>
    </row>
    <row r="106" spans="2:9">
      <c r="B106">
        <v>41</v>
      </c>
      <c r="C106">
        <f t="shared" si="28"/>
        <v>2030</v>
      </c>
      <c r="D106" s="308">
        <f t="shared" si="34"/>
        <v>47574</v>
      </c>
      <c r="E106">
        <f t="shared" si="29"/>
        <v>4</v>
      </c>
      <c r="F106" s="238">
        <f t="shared" si="30"/>
        <v>47603</v>
      </c>
      <c r="G106" t="str">
        <f t="shared" si="31"/>
        <v/>
      </c>
      <c r="H106">
        <f t="shared" si="32"/>
        <v>30</v>
      </c>
      <c r="I106">
        <f t="shared" si="33"/>
        <v>0</v>
      </c>
    </row>
    <row r="107" spans="2:9">
      <c r="B107">
        <v>42</v>
      </c>
      <c r="C107">
        <f t="shared" si="28"/>
        <v>2030</v>
      </c>
      <c r="D107" s="308">
        <f t="shared" si="34"/>
        <v>47604</v>
      </c>
      <c r="E107">
        <f t="shared" si="29"/>
        <v>5</v>
      </c>
      <c r="F107" s="238">
        <f t="shared" si="30"/>
        <v>47634</v>
      </c>
      <c r="G107" t="str">
        <f t="shared" si="31"/>
        <v/>
      </c>
      <c r="H107">
        <f t="shared" si="32"/>
        <v>31</v>
      </c>
      <c r="I107">
        <f t="shared" si="33"/>
        <v>0</v>
      </c>
    </row>
    <row r="108" spans="2:9">
      <c r="B108">
        <v>43</v>
      </c>
      <c r="C108">
        <f t="shared" si="28"/>
        <v>2030</v>
      </c>
      <c r="D108" s="308">
        <f t="shared" si="34"/>
        <v>47635</v>
      </c>
      <c r="E108">
        <f t="shared" si="29"/>
        <v>6</v>
      </c>
      <c r="F108" s="238">
        <f t="shared" si="30"/>
        <v>47664</v>
      </c>
      <c r="G108" t="str">
        <f t="shared" si="31"/>
        <v/>
      </c>
      <c r="H108">
        <f t="shared" si="32"/>
        <v>30</v>
      </c>
      <c r="I108">
        <f t="shared" si="33"/>
        <v>0</v>
      </c>
    </row>
    <row r="109" spans="2:9">
      <c r="B109">
        <v>44</v>
      </c>
      <c r="C109">
        <f t="shared" si="28"/>
        <v>2030</v>
      </c>
      <c r="D109" s="308">
        <f t="shared" si="34"/>
        <v>47665</v>
      </c>
      <c r="E109">
        <f t="shared" si="29"/>
        <v>7</v>
      </c>
      <c r="F109" s="238">
        <f t="shared" si="30"/>
        <v>47695</v>
      </c>
      <c r="G109" t="str">
        <f t="shared" si="31"/>
        <v/>
      </c>
      <c r="H109">
        <f t="shared" si="32"/>
        <v>31</v>
      </c>
      <c r="I109">
        <f t="shared" si="33"/>
        <v>0</v>
      </c>
    </row>
    <row r="110" spans="2:9">
      <c r="B110">
        <v>45</v>
      </c>
      <c r="C110">
        <f t="shared" si="28"/>
        <v>2030</v>
      </c>
      <c r="D110" s="308">
        <f t="shared" si="34"/>
        <v>47696</v>
      </c>
      <c r="E110">
        <f t="shared" si="29"/>
        <v>8</v>
      </c>
      <c r="F110" s="238">
        <f t="shared" si="30"/>
        <v>47726</v>
      </c>
      <c r="G110" t="str">
        <f t="shared" si="31"/>
        <v/>
      </c>
      <c r="H110">
        <f t="shared" si="32"/>
        <v>31</v>
      </c>
      <c r="I110">
        <f t="shared" si="33"/>
        <v>0</v>
      </c>
    </row>
    <row r="111" spans="2:9">
      <c r="B111">
        <v>46</v>
      </c>
      <c r="C111">
        <f t="shared" si="28"/>
        <v>2030</v>
      </c>
      <c r="D111" s="308">
        <f t="shared" si="34"/>
        <v>47727</v>
      </c>
      <c r="E111">
        <f t="shared" si="29"/>
        <v>9</v>
      </c>
      <c r="F111" s="238">
        <f t="shared" si="30"/>
        <v>47756</v>
      </c>
      <c r="G111" t="str">
        <f t="shared" si="31"/>
        <v/>
      </c>
      <c r="H111">
        <f t="shared" si="32"/>
        <v>30</v>
      </c>
      <c r="I111">
        <f t="shared" si="33"/>
        <v>0</v>
      </c>
    </row>
    <row r="112" spans="2:9">
      <c r="B112">
        <v>47</v>
      </c>
      <c r="C112">
        <f t="shared" si="28"/>
        <v>2030</v>
      </c>
      <c r="D112" s="308">
        <f t="shared" si="34"/>
        <v>47757</v>
      </c>
      <c r="E112">
        <f t="shared" si="29"/>
        <v>10</v>
      </c>
      <c r="F112" s="238">
        <f t="shared" si="30"/>
        <v>47787</v>
      </c>
      <c r="G112" t="str">
        <f t="shared" si="31"/>
        <v/>
      </c>
      <c r="H112">
        <f t="shared" si="32"/>
        <v>25.19999999999709</v>
      </c>
      <c r="I112">
        <f t="shared" si="33"/>
        <v>0</v>
      </c>
    </row>
    <row r="113" spans="2:9">
      <c r="B113">
        <v>48</v>
      </c>
      <c r="C113">
        <f t="shared" si="28"/>
        <v>2030</v>
      </c>
      <c r="D113" s="308">
        <f t="shared" si="34"/>
        <v>47788</v>
      </c>
      <c r="E113">
        <f t="shared" si="29"/>
        <v>11</v>
      </c>
      <c r="F113" s="238">
        <f t="shared" si="30"/>
        <v>47817</v>
      </c>
      <c r="G113" t="str">
        <f t="shared" si="31"/>
        <v/>
      </c>
      <c r="H113">
        <f t="shared" si="32"/>
        <v>0</v>
      </c>
      <c r="I113">
        <f t="shared" si="33"/>
        <v>0</v>
      </c>
    </row>
    <row r="114" spans="2:9">
      <c r="B114">
        <v>49</v>
      </c>
      <c r="C114">
        <f t="shared" si="28"/>
        <v>2030</v>
      </c>
      <c r="D114" s="308">
        <f t="shared" si="34"/>
        <v>47818</v>
      </c>
      <c r="E114">
        <f t="shared" si="29"/>
        <v>12</v>
      </c>
      <c r="F114" s="238">
        <f t="shared" si="30"/>
        <v>47848</v>
      </c>
      <c r="G114" t="str">
        <f t="shared" si="31"/>
        <v>동절기</v>
      </c>
      <c r="H114">
        <f t="shared" si="32"/>
        <v>0</v>
      </c>
      <c r="I114">
        <f t="shared" si="33"/>
        <v>0</v>
      </c>
    </row>
    <row r="115" spans="2:9">
      <c r="B115">
        <v>50</v>
      </c>
      <c r="C115">
        <f t="shared" si="28"/>
        <v>2031</v>
      </c>
      <c r="D115" s="308">
        <f t="shared" si="34"/>
        <v>47849</v>
      </c>
      <c r="E115">
        <f t="shared" si="29"/>
        <v>1</v>
      </c>
      <c r="F115" s="238">
        <f t="shared" si="30"/>
        <v>47879</v>
      </c>
      <c r="G115" t="str">
        <f t="shared" si="31"/>
        <v>동절기</v>
      </c>
      <c r="H115">
        <f t="shared" si="32"/>
        <v>0</v>
      </c>
      <c r="I115">
        <f t="shared" si="33"/>
        <v>0</v>
      </c>
    </row>
    <row r="116" spans="2:9">
      <c r="B116">
        <v>51</v>
      </c>
      <c r="C116">
        <f t="shared" si="28"/>
        <v>2031</v>
      </c>
      <c r="D116" s="308">
        <f t="shared" si="34"/>
        <v>47880</v>
      </c>
      <c r="E116">
        <f t="shared" si="29"/>
        <v>2</v>
      </c>
      <c r="F116" s="238">
        <f t="shared" si="30"/>
        <v>47907</v>
      </c>
      <c r="G116" t="str">
        <f t="shared" si="31"/>
        <v>동절기</v>
      </c>
      <c r="H116">
        <f t="shared" si="32"/>
        <v>0</v>
      </c>
      <c r="I116">
        <f t="shared" si="33"/>
        <v>0</v>
      </c>
    </row>
    <row r="117" spans="2:9">
      <c r="B117">
        <v>52</v>
      </c>
      <c r="C117">
        <f t="shared" si="28"/>
        <v>2031</v>
      </c>
      <c r="D117" s="308">
        <f t="shared" si="34"/>
        <v>47908</v>
      </c>
      <c r="E117">
        <f t="shared" si="29"/>
        <v>3</v>
      </c>
      <c r="F117" s="238">
        <f t="shared" si="30"/>
        <v>47938</v>
      </c>
      <c r="G117" t="str">
        <f t="shared" si="31"/>
        <v/>
      </c>
      <c r="H117">
        <f t="shared" si="32"/>
        <v>0</v>
      </c>
      <c r="I117">
        <f t="shared" si="33"/>
        <v>0</v>
      </c>
    </row>
    <row r="118" spans="2:9">
      <c r="B118">
        <v>53</v>
      </c>
      <c r="C118">
        <f t="shared" si="28"/>
        <v>2031</v>
      </c>
      <c r="D118" s="308">
        <f t="shared" si="34"/>
        <v>47939</v>
      </c>
      <c r="E118">
        <f t="shared" si="29"/>
        <v>4</v>
      </c>
      <c r="F118" s="238">
        <f t="shared" si="30"/>
        <v>47968</v>
      </c>
      <c r="G118" t="str">
        <f t="shared" si="31"/>
        <v/>
      </c>
      <c r="H118">
        <f t="shared" si="32"/>
        <v>0</v>
      </c>
      <c r="I118">
        <f t="shared" si="33"/>
        <v>0</v>
      </c>
    </row>
    <row r="119" spans="2:9">
      <c r="B119">
        <v>54</v>
      </c>
      <c r="C119">
        <f t="shared" si="28"/>
        <v>2031</v>
      </c>
      <c r="D119" s="308">
        <f t="shared" si="34"/>
        <v>47969</v>
      </c>
      <c r="E119">
        <f t="shared" si="29"/>
        <v>5</v>
      </c>
      <c r="F119" s="238">
        <f t="shared" si="30"/>
        <v>47999</v>
      </c>
      <c r="G119" t="str">
        <f t="shared" si="31"/>
        <v/>
      </c>
      <c r="H119">
        <f t="shared" si="32"/>
        <v>0</v>
      </c>
      <c r="I119">
        <f t="shared" si="33"/>
        <v>0</v>
      </c>
    </row>
    <row r="120" spans="2:9">
      <c r="B120">
        <v>55</v>
      </c>
      <c r="C120">
        <f t="shared" si="28"/>
        <v>2031</v>
      </c>
      <c r="D120" s="308">
        <f t="shared" si="34"/>
        <v>48000</v>
      </c>
      <c r="E120">
        <f t="shared" si="29"/>
        <v>6</v>
      </c>
      <c r="F120" s="238">
        <f t="shared" si="30"/>
        <v>48029</v>
      </c>
      <c r="G120" t="str">
        <f t="shared" si="31"/>
        <v/>
      </c>
      <c r="H120">
        <f t="shared" si="32"/>
        <v>0</v>
      </c>
      <c r="I120">
        <f t="shared" si="33"/>
        <v>0</v>
      </c>
    </row>
    <row r="121" spans="2:9">
      <c r="B121">
        <v>56</v>
      </c>
      <c r="C121">
        <f t="shared" si="28"/>
        <v>2031</v>
      </c>
      <c r="D121" s="308">
        <f t="shared" si="34"/>
        <v>48030</v>
      </c>
      <c r="E121">
        <f t="shared" si="29"/>
        <v>7</v>
      </c>
      <c r="F121" s="238">
        <f t="shared" si="30"/>
        <v>48060</v>
      </c>
      <c r="G121" t="str">
        <f t="shared" si="31"/>
        <v/>
      </c>
      <c r="H121">
        <f t="shared" si="32"/>
        <v>0</v>
      </c>
      <c r="I121">
        <f t="shared" si="33"/>
        <v>0</v>
      </c>
    </row>
    <row r="122" spans="2:9">
      <c r="B122">
        <v>57</v>
      </c>
      <c r="C122">
        <f t="shared" si="28"/>
        <v>2031</v>
      </c>
      <c r="D122" s="308">
        <f t="shared" si="34"/>
        <v>48061</v>
      </c>
      <c r="E122">
        <f t="shared" si="29"/>
        <v>8</v>
      </c>
      <c r="F122" s="238">
        <f t="shared" si="30"/>
        <v>48091</v>
      </c>
      <c r="G122" t="str">
        <f t="shared" si="31"/>
        <v/>
      </c>
      <c r="H122">
        <f t="shared" si="32"/>
        <v>0</v>
      </c>
      <c r="I122">
        <f t="shared" si="33"/>
        <v>0</v>
      </c>
    </row>
    <row r="123" spans="2:9">
      <c r="B123">
        <v>58</v>
      </c>
      <c r="C123">
        <f t="shared" si="28"/>
        <v>2031</v>
      </c>
      <c r="D123" s="308">
        <f t="shared" si="34"/>
        <v>48092</v>
      </c>
      <c r="E123">
        <f t="shared" si="29"/>
        <v>9</v>
      </c>
      <c r="F123" s="238">
        <f t="shared" si="30"/>
        <v>48121</v>
      </c>
      <c r="G123" t="str">
        <f t="shared" si="31"/>
        <v/>
      </c>
      <c r="H123">
        <f t="shared" si="32"/>
        <v>0</v>
      </c>
      <c r="I123">
        <f t="shared" si="33"/>
        <v>0</v>
      </c>
    </row>
    <row r="124" spans="2:9">
      <c r="B124">
        <v>59</v>
      </c>
      <c r="C124">
        <f t="shared" si="28"/>
        <v>2031</v>
      </c>
      <c r="D124" s="308">
        <f t="shared" si="34"/>
        <v>48122</v>
      </c>
      <c r="E124">
        <f t="shared" si="29"/>
        <v>10</v>
      </c>
      <c r="F124" s="238">
        <f t="shared" si="30"/>
        <v>48152</v>
      </c>
      <c r="G124" t="str">
        <f t="shared" si="31"/>
        <v/>
      </c>
      <c r="H124">
        <f t="shared" si="32"/>
        <v>0</v>
      </c>
      <c r="I124">
        <f t="shared" si="33"/>
        <v>0</v>
      </c>
    </row>
    <row r="125" spans="2:9">
      <c r="B125">
        <v>60</v>
      </c>
      <c r="C125">
        <f t="shared" si="28"/>
        <v>2031</v>
      </c>
      <c r="D125" s="308">
        <f t="shared" si="34"/>
        <v>48153</v>
      </c>
      <c r="E125">
        <f t="shared" si="29"/>
        <v>11</v>
      </c>
      <c r="F125" s="238">
        <f t="shared" si="30"/>
        <v>48182</v>
      </c>
      <c r="G125" t="str">
        <f t="shared" si="31"/>
        <v/>
      </c>
      <c r="H125">
        <f t="shared" si="32"/>
        <v>0</v>
      </c>
      <c r="I125">
        <f t="shared" si="33"/>
        <v>0</v>
      </c>
    </row>
    <row r="126" spans="2:9">
      <c r="B126" s="237" t="s">
        <v>1627</v>
      </c>
      <c r="C126" s="237"/>
      <c r="D126" s="237"/>
      <c r="E126" s="237"/>
      <c r="F126" s="237"/>
      <c r="G126" s="237"/>
      <c r="H126" s="237">
        <f>SUM(H66:H125)</f>
        <v>1425.1999999999971</v>
      </c>
      <c r="I126" s="237">
        <f>SUM(I66:I125)</f>
        <v>361</v>
      </c>
    </row>
  </sheetData>
  <mergeCells count="4">
    <mergeCell ref="W10:AE10"/>
    <mergeCell ref="W11:AE11"/>
    <mergeCell ref="W12:AE12"/>
    <mergeCell ref="W13:AE13"/>
  </mergeCells>
  <phoneticPr fontId="84" type="noConversion"/>
  <printOptions horizontalCentered="1"/>
  <pageMargins left="0.31496111111111108" right="0.31496111111111108" top="0.47244166666666665" bottom="0.47244166666666665" header="0.19685069444444445" footer="0.19685069444444445"/>
  <pageSetup paperSize="9" orientation="landscape" r:id="rId1"/>
  <headerFooter>
    <oddHeader>&amp;C&amp;"맑은 고딕,굵게"&amp;11연천군 신서공공하수처리시설 증설 외 2개사업 — 적정 공사기간 산정</oddHeader>
    <oddFooter>&amp;L&amp;"맑은 고딕"&amp;8⑥공사기간종합  (동절기 미반영 기준)&amp;R&amp;"맑은 고딕"&amp;8&amp;P /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5B6"/>
  </sheetPr>
  <dimension ref="A1:L22"/>
  <sheetViews>
    <sheetView view="pageBreakPreview" zoomScale="60" zoomScaleNormal="100" workbookViewId="0">
      <selection activeCell="F14" sqref="F14"/>
    </sheetView>
  </sheetViews>
  <sheetFormatPr defaultColWidth="8.69140625" defaultRowHeight="14.6"/>
  <cols>
    <col min="1" max="1" width="3" customWidth="1"/>
    <col min="2" max="2" width="20.61328125" customWidth="1"/>
    <col min="3" max="3" width="17.921875" customWidth="1"/>
    <col min="4" max="6" width="14.69140625" customWidth="1"/>
    <col min="7" max="7" width="16.53515625" customWidth="1"/>
    <col min="8" max="8" width="14" customWidth="1"/>
    <col min="9" max="9" width="10.07421875" customWidth="1"/>
    <col min="10" max="10" width="14.3046875" customWidth="1"/>
  </cols>
  <sheetData>
    <row r="1" spans="1:12" ht="25.5" customHeight="1">
      <c r="A1" s="225" t="s">
        <v>1631</v>
      </c>
      <c r="B1" s="214"/>
      <c r="C1" s="214"/>
      <c r="D1" s="214"/>
      <c r="E1" s="214"/>
      <c r="F1" s="214"/>
    </row>
    <row r="2" spans="1:12" ht="20.05" customHeight="1">
      <c r="B2" s="536" t="s">
        <v>1632</v>
      </c>
      <c r="C2" s="536"/>
      <c r="D2" s="536"/>
      <c r="E2" s="536"/>
      <c r="F2" s="536"/>
      <c r="G2" s="536"/>
      <c r="H2" s="536"/>
      <c r="I2" s="536"/>
    </row>
    <row r="4" spans="1:12" ht="17.600000000000001">
      <c r="B4" s="13" t="s">
        <v>1633</v>
      </c>
    </row>
    <row r="5" spans="1:12" ht="52" customHeight="1">
      <c r="B5" s="93" t="s">
        <v>1500</v>
      </c>
      <c r="C5" s="549" t="s">
        <v>1749</v>
      </c>
      <c r="D5" s="547" t="s">
        <v>440</v>
      </c>
      <c r="E5" s="547" t="s">
        <v>1634</v>
      </c>
      <c r="F5" s="550" t="s">
        <v>441</v>
      </c>
      <c r="G5" s="550" t="s">
        <v>1635</v>
      </c>
      <c r="H5" s="550" t="s">
        <v>1636</v>
      </c>
      <c r="I5" s="550" t="s">
        <v>69</v>
      </c>
      <c r="J5" s="237" t="s">
        <v>1665</v>
      </c>
      <c r="K5" s="299" t="s">
        <v>1642</v>
      </c>
    </row>
    <row r="6" spans="1:12">
      <c r="B6" t="s">
        <v>1502</v>
      </c>
      <c r="C6" s="284">
        <f>⑥공사기간종합!$E$6+⑥공사기간종합!$F$6+①공사개요!$C$14+①공사개요!$C$15</f>
        <v>556.09999999999854</v>
      </c>
      <c r="D6" t="s">
        <v>809</v>
      </c>
      <c r="E6" s="284">
        <f>IF(COUNT($C$14:$F$14)&lt;4,"",-68.55+18.192*$F$14+12.079*$E$14-5.25*LN($D$14)+167.632*LN($C$14))</f>
        <v>567.51967194192287</v>
      </c>
      <c r="F6" s="284"/>
      <c r="G6" s="284">
        <f>IF(D6="실적평균",IF(F6="","",F6+①공사개요!$C$14+①공사개요!$C$15),IF(E6="","",E6+①공사개요!$C$14+①공사개요!$C$15))</f>
        <v>657.51967194192287</v>
      </c>
      <c r="H6" s="304">
        <f>IFERROR(IF(G6="","",(C6-G6)/G6),"")</f>
        <v>-0.15424583669472702</v>
      </c>
      <c r="I6" t="str">
        <f>IF(G6="","B값 입력필요",IF(ABS(H6)&lt;=0.2,"적정","재검토 필요"))</f>
        <v>적정</v>
      </c>
      <c r="J6" s="304">
        <f>⑥공사기간종합!$H$6/⑥공사기간종합!$L$6</f>
        <v>0.71277604660615035</v>
      </c>
      <c r="K6" s="304">
        <f>②비작업일수!$L$53</f>
        <v>0.54193624309197175</v>
      </c>
      <c r="L6" t="s">
        <v>1666</v>
      </c>
    </row>
    <row r="7" spans="1:12" ht="17.600000000000001">
      <c r="B7" s="13" t="s">
        <v>1503</v>
      </c>
      <c r="C7" s="284">
        <f>⑥공사기간종합!$E$7+⑥공사기간종합!$F$7+①공사개요!$C$14+①공사개요!$C$15</f>
        <v>909</v>
      </c>
      <c r="D7" t="s">
        <v>809</v>
      </c>
      <c r="E7" s="284">
        <f>IF(COUNT($C$15:$F$15)&lt;4,"",-68.55+18.192*$F$15+12.079*$E$15-5.25*LN($D$15)+167.632*LN($C$15))</f>
        <v>729.03396803968394</v>
      </c>
      <c r="F7" s="284"/>
      <c r="G7" s="284">
        <f>IF(D7="실적평균",IF(F7="","",F7+①공사개요!$C$14+①공사개요!$C$15),IF(E7="","",E7+①공사개요!$C$14+①공사개요!$C$15))</f>
        <v>819.03396803968394</v>
      </c>
      <c r="H7" s="304">
        <f>IFERROR(IF(G7="","",(C7-G7)/G7),"")</f>
        <v>0.10984407908703124</v>
      </c>
      <c r="I7" t="str">
        <f>IF(G7="","B값 입력필요",IF(ABS(H7)&lt;=0.2,"적정","재검토 필요"))</f>
        <v>적정</v>
      </c>
      <c r="J7" s="304">
        <f>⑥공사기간종합!$H$7/⑥공사기간종합!$L$7</f>
        <v>0.75137614678899078</v>
      </c>
      <c r="K7" s="304">
        <f>②비작업일수!$L$53</f>
        <v>0.54193624309197175</v>
      </c>
    </row>
    <row r="8" spans="1:12">
      <c r="B8" s="15" t="s">
        <v>1504</v>
      </c>
      <c r="C8" s="301">
        <f>⑥공사기간종합!$E$8+⑥공사기간종합!$F$8+①공사개요!$C$14+①공사개요!$C$15</f>
        <v>940.19999999999709</v>
      </c>
      <c r="D8" t="s">
        <v>1743</v>
      </c>
      <c r="E8" s="303">
        <f>IF(COUNT($C$16:$D$16)&lt;2,"",(-452.433+98.364*LN($D$16)+0.083*$C$16*100)/1.7)</f>
        <v>905.97560462878891</v>
      </c>
      <c r="F8" s="284"/>
      <c r="G8" s="284">
        <f>IF(D8="실적평균",IF(F8="","",F8+①공사개요!$C$14+①공사개요!$C$15),IF(E8="","",E8+①공사개요!$C$14+①공사개요!$C$15))</f>
        <v>995.97560462878891</v>
      </c>
      <c r="H8" s="304">
        <f>IFERROR(IF(G8="","",(C8-G8)/G8),"")</f>
        <v>-5.6000974692126129E-2</v>
      </c>
      <c r="I8" t="str">
        <f>IF(G8="","B값 입력필요",IF(ABS(H8)&lt;=0.2,"적정","재검토 필요"))</f>
        <v>적정</v>
      </c>
      <c r="J8" s="304">
        <f>⑥공사기간종합!$H$8/⑥공사기간종합!$L$8</f>
        <v>0.76459346768589243</v>
      </c>
      <c r="K8" s="304">
        <f>②비작업일수!$L$53</f>
        <v>0.54193624309197175</v>
      </c>
    </row>
    <row r="9" spans="1:12" ht="15">
      <c r="B9" s="15" t="s">
        <v>1626</v>
      </c>
      <c r="C9" s="302">
        <f>⑥공사기간종합!$H$9</f>
        <v>1064.1999999999971</v>
      </c>
      <c r="D9" s="285" t="s">
        <v>1750</v>
      </c>
      <c r="E9" s="300"/>
      <c r="F9" s="237"/>
      <c r="G9" s="237"/>
      <c r="H9" s="237"/>
      <c r="I9" s="237"/>
      <c r="J9" s="305">
        <f>⑥공사기간종합!$H$9/⑥공사기간종합!$L$9</f>
        <v>0.74670221723266861</v>
      </c>
      <c r="K9" s="305"/>
    </row>
    <row r="10" spans="1:12" ht="15">
      <c r="B10" s="15"/>
      <c r="C10" s="87"/>
      <c r="D10" s="17"/>
      <c r="E10" s="86"/>
    </row>
    <row r="11" spans="1:12" ht="15">
      <c r="B11" s="456" t="s">
        <v>1744</v>
      </c>
      <c r="C11" s="16"/>
      <c r="D11" s="17"/>
      <c r="E11" s="88"/>
    </row>
    <row r="12" spans="1:12" ht="31" customHeight="1">
      <c r="B12" s="540" t="s">
        <v>1745</v>
      </c>
      <c r="C12" s="541"/>
      <c r="D12" s="541"/>
      <c r="E12" s="541"/>
      <c r="F12" s="541"/>
      <c r="G12" s="541"/>
      <c r="H12" s="541"/>
      <c r="I12" s="541"/>
      <c r="J12" s="552"/>
      <c r="K12" s="552"/>
      <c r="L12" s="552"/>
    </row>
    <row r="13" spans="1:12" ht="30" customHeight="1">
      <c r="B13" s="299" t="s">
        <v>1500</v>
      </c>
      <c r="C13" s="299" t="s">
        <v>1637</v>
      </c>
      <c r="D13" s="299" t="s">
        <v>1638</v>
      </c>
      <c r="E13" s="299" t="s">
        <v>1639</v>
      </c>
      <c r="F13" s="299" t="s">
        <v>1640</v>
      </c>
    </row>
    <row r="14" spans="1:12" ht="17.600000000000001">
      <c r="B14" s="14" t="s">
        <v>1502</v>
      </c>
      <c r="C14" s="455">
        <v>42.01</v>
      </c>
      <c r="D14" s="306">
        <v>52.5</v>
      </c>
      <c r="E14" s="306">
        <v>1</v>
      </c>
      <c r="F14" s="306">
        <v>1</v>
      </c>
      <c r="G14" s="551" t="s">
        <v>1641</v>
      </c>
    </row>
    <row r="15" spans="1:12" ht="16.3">
      <c r="B15" s="15" t="s">
        <v>1503</v>
      </c>
      <c r="C15" s="455">
        <v>120</v>
      </c>
      <c r="D15" s="306">
        <v>820</v>
      </c>
      <c r="E15" s="307">
        <v>1</v>
      </c>
      <c r="F15" s="306">
        <v>1</v>
      </c>
    </row>
    <row r="16" spans="1:12" ht="16.3">
      <c r="B16" s="89" t="s">
        <v>1504</v>
      </c>
      <c r="C16" s="455">
        <v>133.19999999999999</v>
      </c>
      <c r="D16" s="306">
        <v>8249</v>
      </c>
      <c r="E16" s="460">
        <v>0</v>
      </c>
      <c r="F16" s="461">
        <v>0</v>
      </c>
      <c r="G16" s="424" t="s">
        <v>1746</v>
      </c>
    </row>
    <row r="17" spans="2:12">
      <c r="B17" s="90"/>
    </row>
    <row r="18" spans="2:12" ht="44.05" customHeight="1">
      <c r="B18" s="539" t="s">
        <v>1789</v>
      </c>
      <c r="C18" s="539"/>
      <c r="D18" s="539"/>
      <c r="E18" s="539"/>
      <c r="F18" s="539"/>
      <c r="G18" s="539"/>
      <c r="H18" s="539"/>
      <c r="I18" s="539"/>
      <c r="J18" s="553"/>
      <c r="K18" s="553"/>
      <c r="L18" s="553"/>
    </row>
    <row r="19" spans="2:12" ht="31" customHeight="1">
      <c r="B19" s="539" t="s">
        <v>1747</v>
      </c>
      <c r="C19" s="539"/>
      <c r="D19" s="539"/>
      <c r="E19" s="539"/>
      <c r="F19" s="539"/>
      <c r="G19" s="539"/>
      <c r="H19" s="539"/>
      <c r="I19" s="539"/>
      <c r="J19" s="553"/>
      <c r="K19" s="553"/>
      <c r="L19" s="553"/>
    </row>
    <row r="20" spans="2:12" ht="31" customHeight="1">
      <c r="B20" s="539" t="s">
        <v>1790</v>
      </c>
      <c r="C20" s="539"/>
      <c r="D20" s="539"/>
      <c r="E20" s="539"/>
      <c r="F20" s="539"/>
      <c r="G20" s="539"/>
      <c r="H20" s="539"/>
      <c r="I20" s="539"/>
      <c r="J20" s="553"/>
      <c r="K20" s="553"/>
      <c r="L20" s="553"/>
    </row>
    <row r="21" spans="2:12" ht="31" customHeight="1">
      <c r="B21" s="542" t="s">
        <v>1748</v>
      </c>
      <c r="C21" s="542"/>
      <c r="D21" s="542"/>
      <c r="E21" s="542"/>
      <c r="F21" s="542"/>
      <c r="G21" s="542"/>
      <c r="H21" s="542"/>
      <c r="I21" s="542"/>
      <c r="J21" s="554"/>
      <c r="K21" s="554"/>
      <c r="L21" s="554"/>
    </row>
    <row r="22" spans="2:12" ht="31" customHeight="1">
      <c r="B22" s="539" t="s">
        <v>1791</v>
      </c>
      <c r="C22" s="539"/>
      <c r="D22" s="539"/>
      <c r="E22" s="539"/>
      <c r="F22" s="539"/>
      <c r="G22" s="539"/>
      <c r="H22" s="539"/>
      <c r="I22" s="539"/>
      <c r="J22" s="553"/>
      <c r="K22" s="553"/>
      <c r="L22" s="553"/>
    </row>
  </sheetData>
  <mergeCells count="7">
    <mergeCell ref="B21:I21"/>
    <mergeCell ref="B22:I22"/>
    <mergeCell ref="B2:I2"/>
    <mergeCell ref="B12:I12"/>
    <mergeCell ref="B18:I18"/>
    <mergeCell ref="B19:I19"/>
    <mergeCell ref="B20:I20"/>
  </mergeCells>
  <phoneticPr fontId="84" type="noConversion"/>
  <dataValidations count="1">
    <dataValidation type="list" sqref="C8" xr:uid="{00000000-0002-0000-0800-000000000000}">
      <formula1>"부록5 산정공식,실적평균"</formula1>
      <formula2>0</formula2>
    </dataValidation>
  </dataValidations>
  <printOptions horizontalCentered="1"/>
  <pageMargins left="0.31496111111111108" right="0.31496111111111108" top="0.47244166666666665" bottom="0.47244166666666665" header="0.19685069444444445" footer="0.19685069444444445"/>
  <pageSetup paperSize="9" scale="95" orientation="landscape" r:id="rId1"/>
  <headerFooter>
    <oddHeader>&amp;C&amp;"맑은 고딕,굵게"&amp;11연천군 신서공공하수처리시설 증설 외 2개사업 — 적정 공사기간 산정</oddHeader>
    <oddFooter>&amp;L&amp;"맑은 고딕"&amp;8⑦적정성검토  (동절기 미반영 기준)&amp;R&amp;"맑은 고딕"&amp;8&amp;P / &amp;N</oddFoot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CFFF-BCA8-4028-B0BD-6CC5D7DDBF79}">
  <sheetPr>
    <tabColor rgb="FFC55A11"/>
  </sheetPr>
  <dimension ref="A1:J24"/>
  <sheetViews>
    <sheetView view="pageBreakPreview" topLeftCell="C1" zoomScale="60" zoomScaleNormal="100" workbookViewId="0">
      <pane ySplit="11" topLeftCell="A12" activePane="bottomLeft" state="frozen"/>
      <selection pane="bottomLeft" activeCell="F14" sqref="F14"/>
    </sheetView>
  </sheetViews>
  <sheetFormatPr defaultRowHeight="14.6"/>
  <cols>
    <col min="1" max="1" width="3.3828125" customWidth="1"/>
    <col min="2" max="2" width="35" customWidth="1"/>
    <col min="3" max="3" width="21.53515625" customWidth="1"/>
    <col min="4" max="5" width="18.84375" customWidth="1"/>
    <col min="6" max="6" width="21.53515625" customWidth="1"/>
    <col min="7" max="7" width="12.15234375" customWidth="1"/>
    <col min="8" max="9" width="18.84375" customWidth="1"/>
  </cols>
  <sheetData>
    <row r="1" spans="1:10" ht="26.05" customHeight="1">
      <c r="A1" s="509" t="s">
        <v>1794</v>
      </c>
      <c r="B1" s="508"/>
      <c r="C1" s="508"/>
      <c r="D1" s="508"/>
      <c r="E1" s="508"/>
      <c r="F1" s="508"/>
      <c r="G1" s="508"/>
      <c r="H1" s="508"/>
      <c r="I1" s="508"/>
      <c r="J1" s="508"/>
    </row>
    <row r="3" spans="1:10" ht="31" customHeight="1">
      <c r="B3" s="539" t="s">
        <v>1795</v>
      </c>
      <c r="C3" s="539"/>
      <c r="D3" s="539"/>
      <c r="E3" s="539"/>
      <c r="F3" s="539"/>
      <c r="G3" s="539"/>
      <c r="H3" s="539"/>
      <c r="I3" s="539"/>
      <c r="J3" s="539"/>
    </row>
    <row r="5" spans="1:10" ht="15.9">
      <c r="B5" s="389" t="s">
        <v>1796</v>
      </c>
    </row>
    <row r="6" spans="1:10" ht="31" customHeight="1">
      <c r="B6" s="539" t="s">
        <v>1814</v>
      </c>
      <c r="C6" s="539"/>
      <c r="D6" s="539"/>
      <c r="E6" s="539"/>
      <c r="F6" s="539"/>
      <c r="G6" s="539"/>
      <c r="H6" s="539"/>
      <c r="I6" s="539"/>
      <c r="J6" s="539"/>
    </row>
    <row r="7" spans="1:10" ht="31" customHeight="1">
      <c r="B7" s="539" t="s">
        <v>1815</v>
      </c>
      <c r="C7" s="539"/>
      <c r="D7" s="539"/>
      <c r="E7" s="539"/>
      <c r="F7" s="539"/>
      <c r="G7" s="539"/>
      <c r="H7" s="539"/>
      <c r="I7" s="539"/>
      <c r="J7" s="539"/>
    </row>
    <row r="8" spans="1:10" ht="18" customHeight="1">
      <c r="B8" s="539" t="s">
        <v>1816</v>
      </c>
      <c r="C8" s="539"/>
      <c r="D8" s="539"/>
      <c r="E8" s="539"/>
      <c r="F8" s="539"/>
      <c r="G8" s="539"/>
      <c r="H8" s="539"/>
      <c r="I8" s="539"/>
      <c r="J8" s="539"/>
    </row>
    <row r="10" spans="1:10" ht="15.9">
      <c r="B10" s="389" t="s">
        <v>1797</v>
      </c>
    </row>
    <row r="11" spans="1:10" ht="29.15">
      <c r="B11" s="516" t="s">
        <v>1798</v>
      </c>
      <c r="C11" s="516" t="s">
        <v>1799</v>
      </c>
      <c r="D11" s="516" t="s">
        <v>1800</v>
      </c>
      <c r="E11" s="516" t="s">
        <v>1801</v>
      </c>
      <c r="F11" s="516" t="s">
        <v>1802</v>
      </c>
      <c r="G11" s="516" t="s">
        <v>62</v>
      </c>
      <c r="H11" s="516" t="s">
        <v>1786</v>
      </c>
      <c r="I11" s="516" t="s">
        <v>1787</v>
      </c>
    </row>
    <row r="12" spans="1:10">
      <c r="B12" s="510" t="s">
        <v>1803</v>
      </c>
      <c r="C12" s="511">
        <f>⑥공사기간종합!$H$6</f>
        <v>526.09999999999854</v>
      </c>
      <c r="D12" s="512">
        <f>⑥공사기간종합!$K$6</f>
        <v>2.3333333333333335</v>
      </c>
      <c r="E12" s="513">
        <f>⑥공사기간종합!$J$6</f>
        <v>212</v>
      </c>
      <c r="F12" s="511">
        <f>⑥공사기간종합!$L$6</f>
        <v>738.09999999999854</v>
      </c>
      <c r="G12" s="514">
        <f>$F12/365*12</f>
        <v>24.266301369862965</v>
      </c>
      <c r="H12" s="515">
        <f>⑥공사기간종합!$S$6</f>
        <v>46357</v>
      </c>
      <c r="I12" s="515">
        <f>⑥공사기간종합!$T$6</f>
        <v>47094.1</v>
      </c>
    </row>
    <row r="13" spans="1:10">
      <c r="B13" s="510" t="s">
        <v>1804</v>
      </c>
      <c r="C13" s="511">
        <f>⑥공사기간종합!$H$7</f>
        <v>819</v>
      </c>
      <c r="D13" s="512">
        <f>⑥공사기간종합!$K$7</f>
        <v>3</v>
      </c>
      <c r="E13" s="513">
        <f>⑥공사기간종합!$J$7</f>
        <v>271</v>
      </c>
      <c r="F13" s="511">
        <f>⑥공사기간종합!$L$7</f>
        <v>1090</v>
      </c>
      <c r="G13" s="514">
        <f>$F13/365*12</f>
        <v>35.835616438356162</v>
      </c>
      <c r="H13" s="515">
        <f>⑥공사기간종합!$S$7</f>
        <v>46539</v>
      </c>
      <c r="I13" s="515">
        <f>⑥공사기간종합!$T$7</f>
        <v>47628</v>
      </c>
    </row>
    <row r="14" spans="1:10">
      <c r="B14" s="510" t="s">
        <v>1805</v>
      </c>
      <c r="C14" s="511">
        <f>⑥공사기간종합!$H$8</f>
        <v>880.19999999999709</v>
      </c>
      <c r="D14" s="512">
        <f>⑥공사기간종합!$K$8</f>
        <v>3</v>
      </c>
      <c r="E14" s="513">
        <f>⑥공사기간종합!$J$8</f>
        <v>271</v>
      </c>
      <c r="F14" s="511">
        <f>⑥공사기간종합!$L$8</f>
        <v>1151.1999999999971</v>
      </c>
      <c r="G14" s="514">
        <f>$F14/365*12</f>
        <v>37.847671232876621</v>
      </c>
      <c r="H14" s="515">
        <f>⑥공사기간종합!$S$8</f>
        <v>46631</v>
      </c>
      <c r="I14" s="515">
        <f>⑥공사기간종합!$T$8</f>
        <v>47781.2</v>
      </c>
    </row>
    <row r="15" spans="1:10">
      <c r="B15" s="517" t="s">
        <v>1806</v>
      </c>
      <c r="C15" s="518">
        <f>⑥공사기간종합!$H$9</f>
        <v>1064.1999999999971</v>
      </c>
      <c r="D15" s="519">
        <f>⑥공사기간종합!$K$9</f>
        <v>4</v>
      </c>
      <c r="E15" s="520">
        <f>⑥공사기간종합!$J$9</f>
        <v>361</v>
      </c>
      <c r="F15" s="518">
        <f>⑥공사기간종합!$L$9</f>
        <v>1425.1999999999971</v>
      </c>
      <c r="G15" s="521">
        <f>$F15/365*12</f>
        <v>46.855890410958807</v>
      </c>
      <c r="H15" s="522">
        <f>⑥공사기간종합!$S$9</f>
        <v>46357</v>
      </c>
      <c r="I15" s="522">
        <f>⑥공사기간종합!$T$9</f>
        <v>47781.2</v>
      </c>
    </row>
    <row r="16" spans="1:10" ht="18" customHeight="1">
      <c r="B16" s="539" t="s">
        <v>1807</v>
      </c>
      <c r="C16" s="539"/>
      <c r="D16" s="539"/>
      <c r="E16" s="539"/>
      <c r="F16" s="539"/>
      <c r="G16" s="539"/>
      <c r="H16" s="539"/>
      <c r="I16" s="539"/>
      <c r="J16" s="539"/>
    </row>
    <row r="17" spans="2:10" ht="31" customHeight="1">
      <c r="B17" s="539" t="s">
        <v>1820</v>
      </c>
      <c r="C17" s="539"/>
      <c r="D17" s="539"/>
      <c r="E17" s="539"/>
      <c r="F17" s="539"/>
      <c r="G17" s="539"/>
      <c r="H17" s="539"/>
      <c r="I17" s="539"/>
      <c r="J17" s="539"/>
    </row>
    <row r="18" spans="2:10" ht="18" customHeight="1">
      <c r="B18" s="539" t="s">
        <v>1808</v>
      </c>
      <c r="C18" s="539"/>
      <c r="D18" s="539"/>
      <c r="E18" s="539"/>
      <c r="F18" s="539"/>
      <c r="G18" s="539"/>
      <c r="H18" s="539"/>
      <c r="I18" s="539"/>
      <c r="J18" s="539"/>
    </row>
    <row r="20" spans="2:10" ht="15.9">
      <c r="B20" s="389" t="s">
        <v>1809</v>
      </c>
    </row>
    <row r="21" spans="2:10" ht="31" customHeight="1">
      <c r="B21" s="539" t="s">
        <v>1810</v>
      </c>
      <c r="C21" s="539"/>
      <c r="D21" s="539"/>
      <c r="E21" s="539"/>
      <c r="F21" s="539"/>
      <c r="G21" s="539"/>
      <c r="H21" s="539"/>
      <c r="I21" s="539"/>
      <c r="J21" s="539"/>
    </row>
    <row r="22" spans="2:10" ht="31" customHeight="1">
      <c r="B22" s="539" t="s">
        <v>1817</v>
      </c>
      <c r="C22" s="539"/>
      <c r="D22" s="539"/>
      <c r="E22" s="539"/>
      <c r="F22" s="539"/>
      <c r="G22" s="539"/>
      <c r="H22" s="539"/>
      <c r="I22" s="539"/>
      <c r="J22" s="539"/>
    </row>
    <row r="23" spans="2:10" ht="18" customHeight="1">
      <c r="B23" s="539" t="s">
        <v>1818</v>
      </c>
      <c r="C23" s="539"/>
      <c r="D23" s="539"/>
      <c r="E23" s="539"/>
      <c r="F23" s="539"/>
      <c r="G23" s="539"/>
      <c r="H23" s="539"/>
      <c r="I23" s="539"/>
      <c r="J23" s="539"/>
    </row>
    <row r="24" spans="2:10" ht="18" customHeight="1">
      <c r="B24" s="539" t="s">
        <v>1819</v>
      </c>
      <c r="C24" s="539"/>
      <c r="D24" s="539"/>
      <c r="E24" s="539"/>
      <c r="F24" s="539"/>
      <c r="G24" s="539"/>
      <c r="H24" s="539"/>
      <c r="I24" s="539"/>
      <c r="J24" s="539"/>
    </row>
  </sheetData>
  <mergeCells count="12">
    <mergeCell ref="B17:J17"/>
    <mergeCell ref="B18:J18"/>
    <mergeCell ref="B21:J21"/>
    <mergeCell ref="B22:J22"/>
    <mergeCell ref="B23:J23"/>
    <mergeCell ref="B24:J24"/>
    <mergeCell ref="A1:J1"/>
    <mergeCell ref="B3:J3"/>
    <mergeCell ref="B6:J6"/>
    <mergeCell ref="B7:J7"/>
    <mergeCell ref="B8:J8"/>
    <mergeCell ref="B16:J16"/>
  </mergeCells>
  <phoneticPr fontId="84" type="noConversion"/>
  <printOptions horizontalCentered="1"/>
  <pageMargins left="0.31496111111111108" right="0.31496111111111108" top="0.47244166666666665" bottom="0.47244166666666665" header="0.19685069444444445" footer="0.19685069444444445"/>
  <pageSetup paperSize="9" scale="80" orientation="landscape" horizontalDpi="300" verticalDpi="300" r:id="rId1"/>
  <headerFooter>
    <oddHeader>&amp;C&amp;"맑은 고딕,굵게"&amp;11연천군 신서공공하수처리시설 증설 외 2개사업 — 적정 공사기간 산정</oddHeader>
    <oddFooter>&amp;L&amp;"맑은 고딕"&amp;8추가검토(동절기 반영)  (동절기 미반영 기준)&amp;R&amp;"맑은 고딕"&amp;8&amp;P /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6A6A6"/>
  </sheetPr>
  <dimension ref="A1:O44"/>
  <sheetViews>
    <sheetView view="pageBreakPreview" topLeftCell="A25" zoomScale="60" zoomScaleNormal="100" workbookViewId="0">
      <selection activeCell="C32" sqref="C32:G32"/>
    </sheetView>
  </sheetViews>
  <sheetFormatPr defaultColWidth="8.69140625" defaultRowHeight="14.6"/>
  <cols>
    <col min="1" max="1" width="3" customWidth="1"/>
    <col min="2" max="15" width="15.69140625" customWidth="1"/>
  </cols>
  <sheetData>
    <row r="1" spans="1:15" ht="25.5" customHeight="1">
      <c r="A1" s="477" t="s">
        <v>442</v>
      </c>
      <c r="B1" s="477"/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</row>
    <row r="3" spans="1:15" ht="17.600000000000001">
      <c r="B3" s="2" t="s">
        <v>443</v>
      </c>
    </row>
    <row r="4" spans="1:15" ht="15">
      <c r="B4" s="27" t="s">
        <v>444</v>
      </c>
      <c r="C4" s="26" t="s">
        <v>445</v>
      </c>
      <c r="D4" s="26" t="s">
        <v>446</v>
      </c>
      <c r="E4" s="26" t="s">
        <v>447</v>
      </c>
      <c r="F4" s="26" t="s">
        <v>448</v>
      </c>
      <c r="G4" s="26" t="s">
        <v>449</v>
      </c>
      <c r="H4" s="26" t="s">
        <v>450</v>
      </c>
      <c r="I4" s="26" t="s">
        <v>451</v>
      </c>
      <c r="J4" s="26" t="s">
        <v>452</v>
      </c>
      <c r="K4" s="26" t="s">
        <v>453</v>
      </c>
      <c r="L4" s="26" t="s">
        <v>454</v>
      </c>
      <c r="M4" s="26" t="s">
        <v>455</v>
      </c>
      <c r="N4" s="26" t="s">
        <v>456</v>
      </c>
      <c r="O4" s="27" t="s">
        <v>161</v>
      </c>
    </row>
    <row r="5" spans="1:15" ht="15">
      <c r="B5" s="91">
        <v>2026</v>
      </c>
      <c r="C5" s="63">
        <v>5</v>
      </c>
      <c r="D5" s="63">
        <v>7</v>
      </c>
      <c r="E5" s="63">
        <v>6</v>
      </c>
      <c r="F5" s="63">
        <v>4</v>
      </c>
      <c r="G5" s="63">
        <v>7</v>
      </c>
      <c r="H5" s="63">
        <v>5</v>
      </c>
      <c r="I5" s="63">
        <v>4</v>
      </c>
      <c r="J5" s="63">
        <v>7</v>
      </c>
      <c r="K5" s="63">
        <v>7</v>
      </c>
      <c r="L5" s="63">
        <v>7</v>
      </c>
      <c r="M5" s="63">
        <v>5</v>
      </c>
      <c r="N5" s="63">
        <v>5</v>
      </c>
      <c r="O5" s="92">
        <f t="shared" ref="O5:O14" si="0">SUM(C5:N5)</f>
        <v>69</v>
      </c>
    </row>
    <row r="6" spans="1:15" ht="15">
      <c r="B6" s="91">
        <v>2027</v>
      </c>
      <c r="C6" s="63">
        <v>6</v>
      </c>
      <c r="D6" s="63">
        <v>7</v>
      </c>
      <c r="E6" s="63">
        <v>5</v>
      </c>
      <c r="F6" s="63">
        <v>4</v>
      </c>
      <c r="G6" s="63">
        <v>7</v>
      </c>
      <c r="H6" s="63">
        <v>4</v>
      </c>
      <c r="I6" s="63">
        <v>4</v>
      </c>
      <c r="J6" s="63">
        <v>6</v>
      </c>
      <c r="K6" s="63">
        <v>7</v>
      </c>
      <c r="L6" s="63">
        <v>8</v>
      </c>
      <c r="M6" s="63">
        <v>4</v>
      </c>
      <c r="N6" s="63">
        <v>6</v>
      </c>
      <c r="O6" s="92">
        <f t="shared" si="0"/>
        <v>68</v>
      </c>
    </row>
    <row r="7" spans="1:15" ht="15">
      <c r="B7" s="91">
        <v>2028</v>
      </c>
      <c r="C7" s="63">
        <v>9</v>
      </c>
      <c r="D7" s="63">
        <v>4</v>
      </c>
      <c r="E7" s="63">
        <v>5</v>
      </c>
      <c r="F7" s="63">
        <v>5</v>
      </c>
      <c r="G7" s="63">
        <v>6</v>
      </c>
      <c r="H7" s="63">
        <v>5</v>
      </c>
      <c r="I7" s="63">
        <v>5</v>
      </c>
      <c r="J7" s="63">
        <v>5</v>
      </c>
      <c r="K7" s="63">
        <v>4</v>
      </c>
      <c r="L7" s="63">
        <v>10</v>
      </c>
      <c r="M7" s="63">
        <v>4</v>
      </c>
      <c r="N7" s="63">
        <v>6</v>
      </c>
      <c r="O7" s="92">
        <f t="shared" si="0"/>
        <v>68</v>
      </c>
    </row>
    <row r="8" spans="1:15" ht="15">
      <c r="B8" s="91">
        <v>2029</v>
      </c>
      <c r="C8" s="63">
        <v>5</v>
      </c>
      <c r="D8" s="63">
        <v>7</v>
      </c>
      <c r="E8" s="63">
        <v>5</v>
      </c>
      <c r="F8" s="63">
        <v>5</v>
      </c>
      <c r="G8" s="63">
        <v>7</v>
      </c>
      <c r="H8" s="63">
        <v>5</v>
      </c>
      <c r="I8" s="63">
        <v>5</v>
      </c>
      <c r="J8" s="63">
        <v>5</v>
      </c>
      <c r="K8" s="63">
        <v>8</v>
      </c>
      <c r="L8" s="63">
        <v>6</v>
      </c>
      <c r="M8" s="63">
        <v>4</v>
      </c>
      <c r="N8" s="63">
        <v>6</v>
      </c>
      <c r="O8" s="92">
        <f t="shared" si="0"/>
        <v>68</v>
      </c>
    </row>
    <row r="9" spans="1:15" ht="15">
      <c r="B9" s="91">
        <v>2030</v>
      </c>
      <c r="C9" s="63">
        <v>5</v>
      </c>
      <c r="D9" s="63">
        <v>7</v>
      </c>
      <c r="E9" s="63">
        <v>6</v>
      </c>
      <c r="F9" s="63">
        <v>4</v>
      </c>
      <c r="G9" s="63">
        <v>6</v>
      </c>
      <c r="H9" s="63">
        <v>6</v>
      </c>
      <c r="I9" s="63">
        <v>4</v>
      </c>
      <c r="J9" s="63">
        <v>5</v>
      </c>
      <c r="K9" s="63">
        <v>8</v>
      </c>
      <c r="L9" s="63">
        <v>6</v>
      </c>
      <c r="M9" s="63">
        <v>4</v>
      </c>
      <c r="N9" s="63">
        <v>6</v>
      </c>
      <c r="O9" s="92">
        <f t="shared" si="0"/>
        <v>67</v>
      </c>
    </row>
    <row r="10" spans="1:15" ht="15">
      <c r="B10" s="91">
        <v>2031</v>
      </c>
      <c r="C10" s="63">
        <v>8</v>
      </c>
      <c r="D10" s="63">
        <v>4</v>
      </c>
      <c r="E10" s="63">
        <v>7</v>
      </c>
      <c r="F10" s="63">
        <v>4</v>
      </c>
      <c r="G10" s="63">
        <v>6</v>
      </c>
      <c r="H10" s="63">
        <v>6</v>
      </c>
      <c r="I10" s="63">
        <v>4</v>
      </c>
      <c r="J10" s="63">
        <v>6</v>
      </c>
      <c r="K10" s="63">
        <v>5</v>
      </c>
      <c r="L10" s="63">
        <v>8</v>
      </c>
      <c r="M10" s="63">
        <v>5</v>
      </c>
      <c r="N10" s="63">
        <v>5</v>
      </c>
      <c r="O10" s="92">
        <f t="shared" si="0"/>
        <v>68</v>
      </c>
    </row>
    <row r="11" spans="1:15" ht="15">
      <c r="B11" s="91">
        <v>2032</v>
      </c>
      <c r="C11" s="63">
        <v>5</v>
      </c>
      <c r="D11" s="63">
        <v>8</v>
      </c>
      <c r="E11" s="63">
        <v>5</v>
      </c>
      <c r="F11" s="63">
        <v>4</v>
      </c>
      <c r="G11" s="63">
        <v>7</v>
      </c>
      <c r="H11" s="63">
        <v>4</v>
      </c>
      <c r="I11" s="63">
        <v>4</v>
      </c>
      <c r="J11" s="63">
        <v>6</v>
      </c>
      <c r="K11" s="63">
        <v>7</v>
      </c>
      <c r="L11" s="63">
        <v>8</v>
      </c>
      <c r="M11" s="63">
        <v>4</v>
      </c>
      <c r="N11" s="63">
        <v>6</v>
      </c>
      <c r="O11" s="92">
        <f t="shared" si="0"/>
        <v>68</v>
      </c>
    </row>
    <row r="12" spans="1:15" ht="15">
      <c r="B12" s="91">
        <v>2033</v>
      </c>
      <c r="C12" s="63">
        <v>7</v>
      </c>
      <c r="D12" s="63">
        <v>6</v>
      </c>
      <c r="E12" s="63">
        <v>5</v>
      </c>
      <c r="F12" s="63">
        <v>4</v>
      </c>
      <c r="G12" s="63">
        <v>7</v>
      </c>
      <c r="H12" s="63">
        <v>5</v>
      </c>
      <c r="I12" s="63">
        <v>5</v>
      </c>
      <c r="J12" s="63">
        <v>5</v>
      </c>
      <c r="K12" s="63">
        <v>7</v>
      </c>
      <c r="L12" s="63">
        <v>7</v>
      </c>
      <c r="M12" s="63">
        <v>4</v>
      </c>
      <c r="N12" s="63">
        <v>5</v>
      </c>
      <c r="O12" s="92">
        <f t="shared" si="0"/>
        <v>67</v>
      </c>
    </row>
    <row r="13" spans="1:15" ht="15">
      <c r="B13" s="91">
        <v>2034</v>
      </c>
      <c r="C13" s="63">
        <v>5</v>
      </c>
      <c r="D13" s="63">
        <v>7</v>
      </c>
      <c r="E13" s="63">
        <v>5</v>
      </c>
      <c r="F13" s="63">
        <v>5</v>
      </c>
      <c r="G13" s="63">
        <v>6</v>
      </c>
      <c r="H13" s="63">
        <v>5</v>
      </c>
      <c r="I13" s="63">
        <v>5</v>
      </c>
      <c r="J13" s="63">
        <v>5</v>
      </c>
      <c r="K13" s="63">
        <v>7</v>
      </c>
      <c r="L13" s="63">
        <v>7</v>
      </c>
      <c r="M13" s="63">
        <v>4</v>
      </c>
      <c r="N13" s="63">
        <v>6</v>
      </c>
      <c r="O13" s="92">
        <f t="shared" si="0"/>
        <v>67</v>
      </c>
    </row>
    <row r="14" spans="1:15" ht="15">
      <c r="B14" s="91">
        <v>2035</v>
      </c>
      <c r="C14" s="63">
        <v>5</v>
      </c>
      <c r="D14" s="63">
        <v>7</v>
      </c>
      <c r="E14" s="63">
        <v>5</v>
      </c>
      <c r="F14" s="63">
        <v>5</v>
      </c>
      <c r="G14" s="63">
        <v>7</v>
      </c>
      <c r="H14" s="63">
        <v>5</v>
      </c>
      <c r="I14" s="63">
        <v>5</v>
      </c>
      <c r="J14" s="63">
        <v>5</v>
      </c>
      <c r="K14" s="63">
        <v>8</v>
      </c>
      <c r="L14" s="63">
        <v>6</v>
      </c>
      <c r="M14" s="63">
        <v>4</v>
      </c>
      <c r="N14" s="63">
        <v>6</v>
      </c>
      <c r="O14" s="92">
        <f t="shared" si="0"/>
        <v>68</v>
      </c>
    </row>
    <row r="15" spans="1:15">
      <c r="B15" s="23" t="s">
        <v>457</v>
      </c>
    </row>
    <row r="17" spans="2:14" ht="17.600000000000001">
      <c r="B17" s="2" t="s">
        <v>458</v>
      </c>
    </row>
    <row r="18" spans="2:14" ht="15">
      <c r="B18" s="27" t="s">
        <v>459</v>
      </c>
      <c r="C18" s="27" t="s">
        <v>460</v>
      </c>
      <c r="D18" s="27" t="s">
        <v>182</v>
      </c>
      <c r="E18" s="27" t="s">
        <v>461</v>
      </c>
      <c r="F18" s="27" t="s">
        <v>462</v>
      </c>
      <c r="G18" s="27" t="s">
        <v>164</v>
      </c>
    </row>
    <row r="19" spans="2:14" ht="25" customHeight="1">
      <c r="B19" s="64" t="s">
        <v>463</v>
      </c>
      <c r="C19" s="28" t="s">
        <v>214</v>
      </c>
      <c r="D19" s="28" t="s">
        <v>464</v>
      </c>
      <c r="E19" s="63" t="s">
        <v>465</v>
      </c>
      <c r="F19" s="63" t="s">
        <v>466</v>
      </c>
      <c r="G19" s="63" t="s">
        <v>467</v>
      </c>
    </row>
    <row r="20" spans="2:14" ht="25" customHeight="1">
      <c r="B20" s="64" t="s">
        <v>468</v>
      </c>
      <c r="C20" s="63" t="s">
        <v>469</v>
      </c>
      <c r="D20" s="28" t="s">
        <v>464</v>
      </c>
      <c r="E20" s="28" t="s">
        <v>470</v>
      </c>
      <c r="F20" s="28" t="s">
        <v>471</v>
      </c>
      <c r="G20" s="63" t="s">
        <v>467</v>
      </c>
    </row>
    <row r="21" spans="2:14" ht="25" customHeight="1">
      <c r="B21" s="64" t="s">
        <v>472</v>
      </c>
      <c r="C21" s="63" t="s">
        <v>473</v>
      </c>
      <c r="D21" s="63" t="s">
        <v>474</v>
      </c>
      <c r="E21" s="28" t="s">
        <v>214</v>
      </c>
      <c r="F21" s="63" t="s">
        <v>475</v>
      </c>
      <c r="G21" s="28" t="s">
        <v>476</v>
      </c>
    </row>
    <row r="22" spans="2:14" ht="25" customHeight="1">
      <c r="B22" s="64" t="s">
        <v>477</v>
      </c>
      <c r="C22" s="28" t="s">
        <v>478</v>
      </c>
      <c r="D22" s="63" t="s">
        <v>474</v>
      </c>
      <c r="E22" s="28" t="s">
        <v>214</v>
      </c>
      <c r="F22" s="63" t="s">
        <v>475</v>
      </c>
      <c r="G22" s="28" t="s">
        <v>214</v>
      </c>
    </row>
    <row r="23" spans="2:14" ht="25" customHeight="1">
      <c r="B23" s="64" t="s">
        <v>479</v>
      </c>
      <c r="C23" s="28" t="s">
        <v>480</v>
      </c>
      <c r="D23" s="28" t="s">
        <v>214</v>
      </c>
      <c r="E23" s="28" t="s">
        <v>214</v>
      </c>
      <c r="F23" s="28" t="s">
        <v>214</v>
      </c>
      <c r="G23" s="28" t="s">
        <v>481</v>
      </c>
    </row>
    <row r="26" spans="2:14" ht="17.600000000000001">
      <c r="B26" s="2" t="s">
        <v>482</v>
      </c>
    </row>
    <row r="27" spans="2:14" ht="25" customHeight="1">
      <c r="B27" s="27" t="s">
        <v>483</v>
      </c>
      <c r="C27" s="506" t="s">
        <v>484</v>
      </c>
      <c r="D27" s="506"/>
      <c r="E27" s="506"/>
      <c r="F27" s="506"/>
      <c r="G27" s="506"/>
      <c r="H27" s="506" t="s">
        <v>485</v>
      </c>
      <c r="I27" s="506"/>
      <c r="J27" s="506"/>
      <c r="K27" s="506" t="s">
        <v>486</v>
      </c>
      <c r="L27" s="506"/>
      <c r="M27" s="506"/>
      <c r="N27" s="506"/>
    </row>
    <row r="28" spans="2:14" ht="25" customHeight="1">
      <c r="B28" s="93" t="s">
        <v>134</v>
      </c>
      <c r="C28" s="485" t="s">
        <v>487</v>
      </c>
      <c r="D28" s="485"/>
      <c r="E28" s="485"/>
      <c r="F28" s="485"/>
      <c r="G28" s="485"/>
      <c r="H28" s="485" t="s">
        <v>488</v>
      </c>
      <c r="I28" s="485"/>
      <c r="J28" s="485"/>
      <c r="K28" s="505" t="s">
        <v>489</v>
      </c>
      <c r="L28" s="505"/>
      <c r="M28" s="505"/>
      <c r="N28" s="505"/>
    </row>
    <row r="29" spans="2:14" ht="25" customHeight="1">
      <c r="B29" s="93" t="s">
        <v>490</v>
      </c>
      <c r="C29" s="485" t="s">
        <v>491</v>
      </c>
      <c r="D29" s="485"/>
      <c r="E29" s="485"/>
      <c r="F29" s="485"/>
      <c r="G29" s="485"/>
      <c r="H29" s="485" t="s">
        <v>492</v>
      </c>
      <c r="I29" s="485"/>
      <c r="J29" s="485"/>
      <c r="K29" s="505" t="s">
        <v>489</v>
      </c>
      <c r="L29" s="505"/>
      <c r="M29" s="505"/>
      <c r="N29" s="505"/>
    </row>
    <row r="30" spans="2:14" ht="25" customHeight="1">
      <c r="B30" s="93" t="s">
        <v>137</v>
      </c>
      <c r="C30" s="485" t="s">
        <v>493</v>
      </c>
      <c r="D30" s="485"/>
      <c r="E30" s="485"/>
      <c r="F30" s="485"/>
      <c r="G30" s="485"/>
      <c r="H30" s="485" t="s">
        <v>494</v>
      </c>
      <c r="I30" s="485"/>
      <c r="J30" s="485"/>
      <c r="K30" s="505" t="s">
        <v>495</v>
      </c>
      <c r="L30" s="505"/>
      <c r="M30" s="505"/>
      <c r="N30" s="505"/>
    </row>
    <row r="31" spans="2:14" ht="25" customHeight="1">
      <c r="B31" s="93" t="s">
        <v>138</v>
      </c>
      <c r="C31" s="485" t="s">
        <v>496</v>
      </c>
      <c r="D31" s="485"/>
      <c r="E31" s="485"/>
      <c r="F31" s="485"/>
      <c r="G31" s="485"/>
      <c r="H31" s="485" t="s">
        <v>497</v>
      </c>
      <c r="I31" s="485"/>
      <c r="J31" s="485"/>
      <c r="K31" s="505" t="s">
        <v>498</v>
      </c>
      <c r="L31" s="505"/>
      <c r="M31" s="505"/>
      <c r="N31" s="505"/>
    </row>
    <row r="32" spans="2:14" ht="25" customHeight="1">
      <c r="B32" s="93" t="s">
        <v>52</v>
      </c>
      <c r="C32" s="485" t="s">
        <v>499</v>
      </c>
      <c r="D32" s="485"/>
      <c r="E32" s="485"/>
      <c r="F32" s="485"/>
      <c r="G32" s="485"/>
      <c r="H32" s="485" t="s">
        <v>500</v>
      </c>
      <c r="I32" s="485"/>
      <c r="J32" s="485"/>
      <c r="K32" s="505" t="s">
        <v>501</v>
      </c>
      <c r="L32" s="505"/>
      <c r="M32" s="505"/>
      <c r="N32" s="505"/>
    </row>
    <row r="33" spans="2:14" ht="25" customHeight="1">
      <c r="B33" s="93" t="s">
        <v>502</v>
      </c>
      <c r="C33" s="485" t="s">
        <v>503</v>
      </c>
      <c r="D33" s="485"/>
      <c r="E33" s="485"/>
      <c r="F33" s="485"/>
      <c r="G33" s="485"/>
      <c r="H33" s="485" t="s">
        <v>504</v>
      </c>
      <c r="I33" s="485"/>
      <c r="J33" s="485"/>
      <c r="K33" s="505" t="s">
        <v>505</v>
      </c>
      <c r="L33" s="505"/>
      <c r="M33" s="505"/>
      <c r="N33" s="505"/>
    </row>
    <row r="34" spans="2:14" ht="25" customHeight="1">
      <c r="B34" s="93" t="s">
        <v>140</v>
      </c>
      <c r="C34" s="485" t="s">
        <v>506</v>
      </c>
      <c r="D34" s="485"/>
      <c r="E34" s="485"/>
      <c r="F34" s="485"/>
      <c r="G34" s="485"/>
      <c r="H34" s="485" t="s">
        <v>507</v>
      </c>
      <c r="I34" s="485"/>
      <c r="J34" s="485"/>
      <c r="K34" s="505" t="s">
        <v>508</v>
      </c>
      <c r="L34" s="505"/>
      <c r="M34" s="505"/>
      <c r="N34" s="505"/>
    </row>
    <row r="35" spans="2:14" ht="25" customHeight="1">
      <c r="B35" s="93" t="s">
        <v>141</v>
      </c>
      <c r="C35" s="485" t="s">
        <v>509</v>
      </c>
      <c r="D35" s="485"/>
      <c r="E35" s="485"/>
      <c r="F35" s="485"/>
      <c r="G35" s="485"/>
      <c r="H35" s="485" t="s">
        <v>507</v>
      </c>
      <c r="I35" s="485"/>
      <c r="J35" s="485"/>
      <c r="K35" s="505" t="s">
        <v>510</v>
      </c>
      <c r="L35" s="505"/>
      <c r="M35" s="505"/>
      <c r="N35" s="505"/>
    </row>
    <row r="36" spans="2:14" ht="25" customHeight="1">
      <c r="B36" s="93" t="s">
        <v>142</v>
      </c>
      <c r="C36" s="485" t="s">
        <v>511</v>
      </c>
      <c r="D36" s="485"/>
      <c r="E36" s="485"/>
      <c r="F36" s="485"/>
      <c r="G36" s="485"/>
      <c r="H36" s="485" t="s">
        <v>512</v>
      </c>
      <c r="I36" s="485"/>
      <c r="J36" s="485"/>
      <c r="K36" s="505" t="s">
        <v>214</v>
      </c>
      <c r="L36" s="505"/>
      <c r="M36" s="505"/>
      <c r="N36" s="505"/>
    </row>
    <row r="37" spans="2:14">
      <c r="B37" s="90" t="s">
        <v>513</v>
      </c>
    </row>
    <row r="39" spans="2:14" ht="25" customHeight="1">
      <c r="B39" s="2" t="s">
        <v>514</v>
      </c>
    </row>
    <row r="40" spans="2:14" ht="25" customHeight="1">
      <c r="B40" s="457" t="s">
        <v>515</v>
      </c>
      <c r="C40" s="63">
        <v>45</v>
      </c>
      <c r="D40" s="457" t="s">
        <v>516</v>
      </c>
      <c r="E40" s="63">
        <v>180</v>
      </c>
      <c r="F40" s="457" t="s">
        <v>517</v>
      </c>
      <c r="G40" s="63">
        <v>90</v>
      </c>
    </row>
    <row r="41" spans="2:14" ht="25" customHeight="1">
      <c r="B41" s="457" t="s">
        <v>518</v>
      </c>
      <c r="C41" s="63">
        <v>50</v>
      </c>
      <c r="D41" s="457" t="s">
        <v>519</v>
      </c>
      <c r="E41" s="63">
        <v>60</v>
      </c>
      <c r="F41" s="457" t="s">
        <v>520</v>
      </c>
      <c r="G41" s="63">
        <v>80</v>
      </c>
    </row>
    <row r="42" spans="2:14" ht="25" customHeight="1">
      <c r="B42" s="457" t="s">
        <v>138</v>
      </c>
      <c r="C42" s="63">
        <v>60</v>
      </c>
      <c r="D42" s="457" t="s">
        <v>521</v>
      </c>
      <c r="E42" s="63">
        <v>40</v>
      </c>
      <c r="F42" s="457" t="s">
        <v>522</v>
      </c>
      <c r="G42" s="63">
        <v>40</v>
      </c>
    </row>
    <row r="43" spans="2:14" ht="25" customHeight="1">
      <c r="B43" s="457" t="s">
        <v>523</v>
      </c>
      <c r="C43" s="63">
        <v>90</v>
      </c>
      <c r="D43" s="458" t="s">
        <v>524</v>
      </c>
      <c r="E43" s="63">
        <v>70</v>
      </c>
      <c r="F43" s="457" t="s">
        <v>525</v>
      </c>
      <c r="G43" s="63">
        <v>60</v>
      </c>
    </row>
    <row r="44" spans="2:14" ht="15.45">
      <c r="B44" s="1" t="s">
        <v>526</v>
      </c>
    </row>
  </sheetData>
  <mergeCells count="31">
    <mergeCell ref="A1:N1"/>
    <mergeCell ref="C27:G27"/>
    <mergeCell ref="H27:J27"/>
    <mergeCell ref="K27:N27"/>
    <mergeCell ref="C28:G28"/>
    <mergeCell ref="H28:J28"/>
    <mergeCell ref="K28:N28"/>
    <mergeCell ref="C29:G29"/>
    <mergeCell ref="H29:J29"/>
    <mergeCell ref="K29:N29"/>
    <mergeCell ref="C30:G30"/>
    <mergeCell ref="H30:J30"/>
    <mergeCell ref="K30:N30"/>
    <mergeCell ref="C31:G31"/>
    <mergeCell ref="H31:J31"/>
    <mergeCell ref="K31:N31"/>
    <mergeCell ref="C32:G32"/>
    <mergeCell ref="H32:J32"/>
    <mergeCell ref="K32:N32"/>
    <mergeCell ref="C33:G33"/>
    <mergeCell ref="H33:J33"/>
    <mergeCell ref="K33:N33"/>
    <mergeCell ref="C34:G34"/>
    <mergeCell ref="H34:J34"/>
    <mergeCell ref="K34:N34"/>
    <mergeCell ref="C35:G35"/>
    <mergeCell ref="H35:J35"/>
    <mergeCell ref="K35:N35"/>
    <mergeCell ref="C36:G36"/>
    <mergeCell ref="H36:J36"/>
    <mergeCell ref="K36:N36"/>
  </mergeCells>
  <phoneticPr fontId="84" type="noConversion"/>
  <pageMargins left="0.75" right="0.75" top="1" bottom="1" header="0.511811023622047" footer="0.511811023622047"/>
  <pageSetup paperSize="9" scale="80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6A6A6"/>
  </sheetPr>
  <dimension ref="A1:U1241"/>
  <sheetViews>
    <sheetView tabSelected="1" view="pageBreakPreview" zoomScale="60" zoomScaleNormal="100" workbookViewId="0">
      <selection activeCell="Z9" sqref="Z9"/>
    </sheetView>
  </sheetViews>
  <sheetFormatPr defaultColWidth="8.69140625" defaultRowHeight="14.6"/>
  <cols>
    <col min="1" max="1" width="11" customWidth="1"/>
    <col min="2" max="2" width="13" customWidth="1"/>
    <col min="3" max="3" width="2" customWidth="1"/>
    <col min="4" max="4" width="11" customWidth="1"/>
    <col min="5" max="5" width="13" customWidth="1"/>
    <col min="6" max="7" width="7" customWidth="1"/>
    <col min="8" max="8" width="26" customWidth="1"/>
    <col min="9" max="9" width="15" customWidth="1"/>
    <col min="10" max="21" width="6" customWidth="1"/>
  </cols>
  <sheetData>
    <row r="1" spans="1:21" ht="25.5" customHeight="1">
      <c r="A1" s="507" t="s">
        <v>527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  <c r="Q1" s="507"/>
      <c r="R1" s="507"/>
      <c r="S1" s="507"/>
      <c r="T1" s="507"/>
      <c r="U1" s="507"/>
    </row>
    <row r="2" spans="1:21" ht="15">
      <c r="B2" s="24" t="s">
        <v>528</v>
      </c>
    </row>
    <row r="3" spans="1:21" ht="15">
      <c r="B3" s="95" t="s">
        <v>529</v>
      </c>
    </row>
    <row r="5" spans="1:21" ht="15">
      <c r="B5" s="96" t="s">
        <v>530</v>
      </c>
      <c r="D5" s="96" t="s">
        <v>531</v>
      </c>
    </row>
    <row r="6" spans="1:21" ht="24" customHeight="1">
      <c r="A6" s="72" t="s">
        <v>532</v>
      </c>
      <c r="B6" s="72" t="s">
        <v>92</v>
      </c>
      <c r="D6" s="45" t="s">
        <v>532</v>
      </c>
      <c r="E6" s="45" t="s">
        <v>92</v>
      </c>
      <c r="F6" s="45" t="s">
        <v>533</v>
      </c>
      <c r="G6" s="45" t="s">
        <v>534</v>
      </c>
      <c r="H6" s="45" t="s">
        <v>147</v>
      </c>
      <c r="I6" s="45" t="s">
        <v>210</v>
      </c>
      <c r="J6" s="46" t="s">
        <v>149</v>
      </c>
      <c r="K6" s="46" t="s">
        <v>150</v>
      </c>
      <c r="L6" s="46" t="s">
        <v>151</v>
      </c>
      <c r="M6" s="46" t="s">
        <v>152</v>
      </c>
      <c r="N6" s="46" t="s">
        <v>153</v>
      </c>
      <c r="O6" s="46" t="s">
        <v>154</v>
      </c>
      <c r="P6" s="46" t="s">
        <v>155</v>
      </c>
      <c r="Q6" s="46" t="s">
        <v>156</v>
      </c>
      <c r="R6" s="46" t="s">
        <v>157</v>
      </c>
      <c r="S6" s="46" t="s">
        <v>158</v>
      </c>
      <c r="T6" s="46" t="s">
        <v>159</v>
      </c>
      <c r="U6" s="46" t="s">
        <v>160</v>
      </c>
    </row>
    <row r="7" spans="1:21">
      <c r="A7" s="97" t="s">
        <v>535</v>
      </c>
      <c r="B7" s="97" t="s">
        <v>536</v>
      </c>
      <c r="D7" s="97" t="s">
        <v>535</v>
      </c>
      <c r="E7" s="97" t="s">
        <v>536</v>
      </c>
      <c r="F7" s="94" t="s">
        <v>537</v>
      </c>
      <c r="G7" s="97">
        <v>1</v>
      </c>
      <c r="H7" s="98" t="s">
        <v>538</v>
      </c>
      <c r="I7" s="99" t="str">
        <f t="shared" ref="I7:I70" si="0">$D7&amp;"|"&amp;$G7</f>
        <v>강릉|1</v>
      </c>
      <c r="J7" s="100">
        <v>0</v>
      </c>
      <c r="K7" s="100">
        <v>0</v>
      </c>
      <c r="L7" s="100">
        <v>0</v>
      </c>
      <c r="M7" s="100">
        <v>0</v>
      </c>
      <c r="N7" s="100">
        <v>0</v>
      </c>
      <c r="O7" s="100">
        <v>0.5</v>
      </c>
      <c r="P7" s="100">
        <v>8.4</v>
      </c>
      <c r="Q7" s="100">
        <v>8.1</v>
      </c>
      <c r="R7" s="100">
        <v>0.3</v>
      </c>
      <c r="S7" s="100">
        <v>0</v>
      </c>
      <c r="T7" s="100">
        <v>0</v>
      </c>
      <c r="U7" s="100">
        <v>0</v>
      </c>
    </row>
    <row r="8" spans="1:21">
      <c r="A8" s="97" t="s">
        <v>539</v>
      </c>
      <c r="B8" s="97" t="s">
        <v>536</v>
      </c>
      <c r="D8" s="97" t="s">
        <v>539</v>
      </c>
      <c r="E8" s="97" t="s">
        <v>536</v>
      </c>
      <c r="F8" s="94" t="s">
        <v>540</v>
      </c>
      <c r="G8" s="97">
        <v>1</v>
      </c>
      <c r="H8" s="98" t="s">
        <v>538</v>
      </c>
      <c r="I8" s="99" t="str">
        <f t="shared" si="0"/>
        <v>대관령|1</v>
      </c>
      <c r="J8" s="100">
        <v>0</v>
      </c>
      <c r="K8" s="100">
        <v>0</v>
      </c>
      <c r="L8" s="100">
        <v>0</v>
      </c>
      <c r="M8" s="100">
        <v>0</v>
      </c>
      <c r="N8" s="100">
        <v>0</v>
      </c>
      <c r="O8" s="100">
        <v>0</v>
      </c>
      <c r="P8" s="100">
        <v>0</v>
      </c>
      <c r="Q8" s="100">
        <v>0</v>
      </c>
      <c r="R8" s="100">
        <v>0</v>
      </c>
      <c r="S8" s="100">
        <v>0</v>
      </c>
      <c r="T8" s="100">
        <v>0</v>
      </c>
      <c r="U8" s="100">
        <v>0</v>
      </c>
    </row>
    <row r="9" spans="1:21">
      <c r="A9" s="97" t="s">
        <v>541</v>
      </c>
      <c r="B9" s="97" t="s">
        <v>536</v>
      </c>
      <c r="D9" s="97" t="s">
        <v>541</v>
      </c>
      <c r="E9" s="97" t="s">
        <v>536</v>
      </c>
      <c r="F9" s="94" t="s">
        <v>542</v>
      </c>
      <c r="G9" s="97">
        <v>1</v>
      </c>
      <c r="H9" s="98" t="s">
        <v>538</v>
      </c>
      <c r="I9" s="99" t="str">
        <f t="shared" si="0"/>
        <v>동해|1</v>
      </c>
      <c r="J9" s="100">
        <v>0</v>
      </c>
      <c r="K9" s="100">
        <v>0</v>
      </c>
      <c r="L9" s="100">
        <v>0</v>
      </c>
      <c r="M9" s="100">
        <v>0</v>
      </c>
      <c r="N9" s="100">
        <v>0</v>
      </c>
      <c r="O9" s="100">
        <v>0</v>
      </c>
      <c r="P9" s="100">
        <v>3.2</v>
      </c>
      <c r="Q9" s="100">
        <v>4</v>
      </c>
      <c r="R9" s="100">
        <v>0.2</v>
      </c>
      <c r="S9" s="100">
        <v>0</v>
      </c>
      <c r="T9" s="100">
        <v>0</v>
      </c>
      <c r="U9" s="100">
        <v>0</v>
      </c>
    </row>
    <row r="10" spans="1:21">
      <c r="A10" s="97" t="s">
        <v>543</v>
      </c>
      <c r="B10" s="97" t="s">
        <v>536</v>
      </c>
      <c r="D10" s="97" t="s">
        <v>543</v>
      </c>
      <c r="E10" s="97" t="s">
        <v>536</v>
      </c>
      <c r="F10" s="94" t="s">
        <v>544</v>
      </c>
      <c r="G10" s="97">
        <v>1</v>
      </c>
      <c r="H10" s="98" t="s">
        <v>538</v>
      </c>
      <c r="I10" s="99" t="str">
        <f t="shared" si="0"/>
        <v>북강릉|1</v>
      </c>
      <c r="J10" s="100">
        <v>0</v>
      </c>
      <c r="K10" s="100">
        <v>0</v>
      </c>
      <c r="L10" s="100">
        <v>0</v>
      </c>
      <c r="M10" s="100">
        <v>0</v>
      </c>
      <c r="N10" s="100">
        <v>0</v>
      </c>
      <c r="O10" s="100">
        <v>0</v>
      </c>
      <c r="P10" s="100">
        <v>4.5</v>
      </c>
      <c r="Q10" s="100">
        <v>4.5</v>
      </c>
      <c r="R10" s="100">
        <v>0</v>
      </c>
      <c r="S10" s="100">
        <v>0</v>
      </c>
      <c r="T10" s="100">
        <v>0</v>
      </c>
      <c r="U10" s="100">
        <v>0</v>
      </c>
    </row>
    <row r="11" spans="1:21">
      <c r="A11" s="97" t="s">
        <v>545</v>
      </c>
      <c r="B11" s="97" t="s">
        <v>536</v>
      </c>
      <c r="D11" s="97" t="s">
        <v>545</v>
      </c>
      <c r="E11" s="97" t="s">
        <v>536</v>
      </c>
      <c r="F11" s="94" t="s">
        <v>546</v>
      </c>
      <c r="G11" s="97">
        <v>1</v>
      </c>
      <c r="H11" s="98" t="s">
        <v>538</v>
      </c>
      <c r="I11" s="99" t="str">
        <f t="shared" si="0"/>
        <v>북춘천|1</v>
      </c>
      <c r="J11" s="100">
        <v>0</v>
      </c>
      <c r="K11" s="100">
        <v>0</v>
      </c>
      <c r="L11" s="100">
        <v>0</v>
      </c>
      <c r="M11" s="100">
        <v>0</v>
      </c>
      <c r="N11" s="100">
        <v>0</v>
      </c>
      <c r="O11" s="100">
        <v>0.3</v>
      </c>
      <c r="P11" s="100">
        <v>9</v>
      </c>
      <c r="Q11" s="100">
        <v>11</v>
      </c>
      <c r="R11" s="100">
        <v>0.5</v>
      </c>
      <c r="S11" s="100">
        <v>0</v>
      </c>
      <c r="T11" s="100">
        <v>0</v>
      </c>
      <c r="U11" s="100">
        <v>0</v>
      </c>
    </row>
    <row r="12" spans="1:21">
      <c r="A12" s="97" t="s">
        <v>547</v>
      </c>
      <c r="B12" s="97" t="s">
        <v>536</v>
      </c>
      <c r="D12" s="97" t="s">
        <v>547</v>
      </c>
      <c r="E12" s="97" t="s">
        <v>536</v>
      </c>
      <c r="F12" s="94" t="s">
        <v>548</v>
      </c>
      <c r="G12" s="97">
        <v>1</v>
      </c>
      <c r="H12" s="98" t="s">
        <v>538</v>
      </c>
      <c r="I12" s="99" t="str">
        <f t="shared" si="0"/>
        <v>속초|1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0">
        <v>0.1</v>
      </c>
      <c r="P12" s="100">
        <v>6.4</v>
      </c>
      <c r="Q12" s="100">
        <v>6.2</v>
      </c>
      <c r="R12" s="100">
        <v>0</v>
      </c>
      <c r="S12" s="100">
        <v>0</v>
      </c>
      <c r="T12" s="100">
        <v>0</v>
      </c>
      <c r="U12" s="100">
        <v>0</v>
      </c>
    </row>
    <row r="13" spans="1:21">
      <c r="A13" s="97" t="s">
        <v>549</v>
      </c>
      <c r="B13" s="97" t="s">
        <v>536</v>
      </c>
      <c r="D13" s="97" t="s">
        <v>549</v>
      </c>
      <c r="E13" s="97" t="s">
        <v>536</v>
      </c>
      <c r="F13" s="94" t="s">
        <v>550</v>
      </c>
      <c r="G13" s="97">
        <v>1</v>
      </c>
      <c r="H13" s="98" t="s">
        <v>538</v>
      </c>
      <c r="I13" s="99" t="str">
        <f t="shared" si="0"/>
        <v>영월|1</v>
      </c>
      <c r="J13" s="100">
        <v>0</v>
      </c>
      <c r="K13" s="100">
        <v>0</v>
      </c>
      <c r="L13" s="100">
        <v>0</v>
      </c>
      <c r="M13" s="100">
        <v>0</v>
      </c>
      <c r="N13" s="100">
        <v>0</v>
      </c>
      <c r="O13" s="100">
        <v>0.5</v>
      </c>
      <c r="P13" s="100">
        <v>6.8</v>
      </c>
      <c r="Q13" s="100">
        <v>10.1</v>
      </c>
      <c r="R13" s="100">
        <v>0.5</v>
      </c>
      <c r="S13" s="100">
        <v>0</v>
      </c>
      <c r="T13" s="100">
        <v>0</v>
      </c>
      <c r="U13" s="100">
        <v>0</v>
      </c>
    </row>
    <row r="14" spans="1:21">
      <c r="A14" s="97" t="s">
        <v>551</v>
      </c>
      <c r="B14" s="97" t="s">
        <v>536</v>
      </c>
      <c r="D14" s="97" t="s">
        <v>551</v>
      </c>
      <c r="E14" s="97" t="s">
        <v>536</v>
      </c>
      <c r="F14" s="94" t="s">
        <v>552</v>
      </c>
      <c r="G14" s="97">
        <v>1</v>
      </c>
      <c r="H14" s="98" t="s">
        <v>538</v>
      </c>
      <c r="I14" s="99" t="str">
        <f t="shared" si="0"/>
        <v>원주|1</v>
      </c>
      <c r="J14" s="100">
        <v>0</v>
      </c>
      <c r="K14" s="100">
        <v>0</v>
      </c>
      <c r="L14" s="100">
        <v>0</v>
      </c>
      <c r="M14" s="100">
        <v>0</v>
      </c>
      <c r="N14" s="100">
        <v>0</v>
      </c>
      <c r="O14" s="100">
        <v>0</v>
      </c>
      <c r="P14" s="100">
        <v>5.3</v>
      </c>
      <c r="Q14" s="100">
        <v>8.1999999999999993</v>
      </c>
      <c r="R14" s="100">
        <v>0.4</v>
      </c>
      <c r="S14" s="100">
        <v>0</v>
      </c>
      <c r="T14" s="100">
        <v>0</v>
      </c>
      <c r="U14" s="100">
        <v>0</v>
      </c>
    </row>
    <row r="15" spans="1:21">
      <c r="A15" s="97" t="s">
        <v>553</v>
      </c>
      <c r="B15" s="97" t="s">
        <v>536</v>
      </c>
      <c r="D15" s="97" t="s">
        <v>553</v>
      </c>
      <c r="E15" s="97" t="s">
        <v>536</v>
      </c>
      <c r="F15" s="94" t="s">
        <v>554</v>
      </c>
      <c r="G15" s="97">
        <v>1</v>
      </c>
      <c r="H15" s="98" t="s">
        <v>538</v>
      </c>
      <c r="I15" s="99" t="str">
        <f t="shared" si="0"/>
        <v>인제|1</v>
      </c>
      <c r="J15" s="100">
        <v>0</v>
      </c>
      <c r="K15" s="100">
        <v>0</v>
      </c>
      <c r="L15" s="100">
        <v>0</v>
      </c>
      <c r="M15" s="100">
        <v>0</v>
      </c>
      <c r="N15" s="100">
        <v>0</v>
      </c>
      <c r="O15" s="100">
        <v>0</v>
      </c>
      <c r="P15" s="100">
        <v>4.2</v>
      </c>
      <c r="Q15" s="100">
        <v>6.8</v>
      </c>
      <c r="R15" s="100">
        <v>0.2</v>
      </c>
      <c r="S15" s="100">
        <v>0</v>
      </c>
      <c r="T15" s="100">
        <v>0</v>
      </c>
      <c r="U15" s="100">
        <v>0</v>
      </c>
    </row>
    <row r="16" spans="1:21">
      <c r="A16" s="97" t="s">
        <v>555</v>
      </c>
      <c r="B16" s="97" t="s">
        <v>536</v>
      </c>
      <c r="D16" s="97" t="s">
        <v>555</v>
      </c>
      <c r="E16" s="97" t="s">
        <v>536</v>
      </c>
      <c r="F16" s="94" t="s">
        <v>556</v>
      </c>
      <c r="G16" s="97">
        <v>1</v>
      </c>
      <c r="H16" s="98" t="s">
        <v>538</v>
      </c>
      <c r="I16" s="99" t="str">
        <f t="shared" si="0"/>
        <v>정선군|1</v>
      </c>
      <c r="J16" s="100">
        <v>0</v>
      </c>
      <c r="K16" s="100">
        <v>0</v>
      </c>
      <c r="L16" s="100">
        <v>0</v>
      </c>
      <c r="M16" s="100">
        <v>0</v>
      </c>
      <c r="N16" s="100">
        <v>0</v>
      </c>
      <c r="O16" s="100">
        <v>0.5</v>
      </c>
      <c r="P16" s="100">
        <v>6.2</v>
      </c>
      <c r="Q16" s="100">
        <v>9</v>
      </c>
      <c r="R16" s="100">
        <v>0.6</v>
      </c>
      <c r="S16" s="100">
        <v>0</v>
      </c>
      <c r="T16" s="100">
        <v>0</v>
      </c>
      <c r="U16" s="100">
        <v>0</v>
      </c>
    </row>
    <row r="17" spans="1:21">
      <c r="A17" s="97" t="s">
        <v>557</v>
      </c>
      <c r="B17" s="97" t="s">
        <v>536</v>
      </c>
      <c r="D17" s="97" t="s">
        <v>557</v>
      </c>
      <c r="E17" s="97" t="s">
        <v>536</v>
      </c>
      <c r="F17" s="94" t="s">
        <v>558</v>
      </c>
      <c r="G17" s="97">
        <v>1</v>
      </c>
      <c r="H17" s="98" t="s">
        <v>538</v>
      </c>
      <c r="I17" s="99" t="str">
        <f t="shared" si="0"/>
        <v>철원|1</v>
      </c>
      <c r="J17" s="100">
        <v>0</v>
      </c>
      <c r="K17" s="100">
        <v>0</v>
      </c>
      <c r="L17" s="100">
        <v>0</v>
      </c>
      <c r="M17" s="100">
        <v>0</v>
      </c>
      <c r="N17" s="100">
        <v>0</v>
      </c>
      <c r="O17" s="100">
        <v>0</v>
      </c>
      <c r="P17" s="100">
        <v>5.7</v>
      </c>
      <c r="Q17" s="100">
        <v>9.1999999999999993</v>
      </c>
      <c r="R17" s="100">
        <v>0.1</v>
      </c>
      <c r="S17" s="100">
        <v>0</v>
      </c>
      <c r="T17" s="100">
        <v>0</v>
      </c>
      <c r="U17" s="100">
        <v>0</v>
      </c>
    </row>
    <row r="18" spans="1:21">
      <c r="A18" s="97" t="s">
        <v>559</v>
      </c>
      <c r="B18" s="97" t="s">
        <v>536</v>
      </c>
      <c r="D18" s="97" t="s">
        <v>559</v>
      </c>
      <c r="E18" s="97" t="s">
        <v>536</v>
      </c>
      <c r="F18" s="94" t="s">
        <v>560</v>
      </c>
      <c r="G18" s="97">
        <v>1</v>
      </c>
      <c r="H18" s="98" t="s">
        <v>538</v>
      </c>
      <c r="I18" s="99" t="str">
        <f t="shared" si="0"/>
        <v>춘천|1</v>
      </c>
      <c r="J18" s="100">
        <v>0</v>
      </c>
      <c r="K18" s="100">
        <v>0</v>
      </c>
      <c r="L18" s="100">
        <v>0</v>
      </c>
      <c r="M18" s="100">
        <v>0</v>
      </c>
      <c r="N18" s="100">
        <v>0</v>
      </c>
      <c r="O18" s="100">
        <v>0.3</v>
      </c>
      <c r="P18" s="100">
        <v>8.3000000000000007</v>
      </c>
      <c r="Q18" s="100">
        <v>10.9</v>
      </c>
      <c r="R18" s="100">
        <v>0.3</v>
      </c>
      <c r="S18" s="100">
        <v>0</v>
      </c>
      <c r="T18" s="100">
        <v>0</v>
      </c>
      <c r="U18" s="100">
        <v>0</v>
      </c>
    </row>
    <row r="19" spans="1:21">
      <c r="A19" s="97" t="s">
        <v>561</v>
      </c>
      <c r="B19" s="97" t="s">
        <v>536</v>
      </c>
      <c r="D19" s="97" t="s">
        <v>561</v>
      </c>
      <c r="E19" s="97" t="s">
        <v>536</v>
      </c>
      <c r="F19" s="94" t="s">
        <v>562</v>
      </c>
      <c r="G19" s="97">
        <v>1</v>
      </c>
      <c r="H19" s="98" t="s">
        <v>538</v>
      </c>
      <c r="I19" s="99" t="str">
        <f t="shared" si="0"/>
        <v>태백|1</v>
      </c>
      <c r="J19" s="100">
        <v>0</v>
      </c>
      <c r="K19" s="100">
        <v>0</v>
      </c>
      <c r="L19" s="100">
        <v>0</v>
      </c>
      <c r="M19" s="100">
        <v>0</v>
      </c>
      <c r="N19" s="100">
        <v>0</v>
      </c>
      <c r="O19" s="100">
        <v>0</v>
      </c>
      <c r="P19" s="100">
        <v>0.9</v>
      </c>
      <c r="Q19" s="100">
        <v>1.2</v>
      </c>
      <c r="R19" s="100">
        <v>0</v>
      </c>
      <c r="S19" s="100">
        <v>0</v>
      </c>
      <c r="T19" s="100">
        <v>0</v>
      </c>
      <c r="U19" s="100">
        <v>0</v>
      </c>
    </row>
    <row r="20" spans="1:21">
      <c r="A20" s="97" t="s">
        <v>563</v>
      </c>
      <c r="B20" s="97" t="s">
        <v>536</v>
      </c>
      <c r="D20" s="97" t="s">
        <v>563</v>
      </c>
      <c r="E20" s="97" t="s">
        <v>536</v>
      </c>
      <c r="F20" s="94" t="s">
        <v>564</v>
      </c>
      <c r="G20" s="97">
        <v>1</v>
      </c>
      <c r="H20" s="98" t="s">
        <v>538</v>
      </c>
      <c r="I20" s="99" t="str">
        <f t="shared" si="0"/>
        <v>홍천|1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0">
        <v>0</v>
      </c>
      <c r="P20" s="100">
        <v>8.1</v>
      </c>
      <c r="Q20" s="100">
        <v>10.3</v>
      </c>
      <c r="R20" s="100">
        <v>0.3</v>
      </c>
      <c r="S20" s="100">
        <v>0</v>
      </c>
      <c r="T20" s="100">
        <v>0</v>
      </c>
      <c r="U20" s="100">
        <v>0</v>
      </c>
    </row>
    <row r="21" spans="1:21">
      <c r="A21" s="97" t="s">
        <v>565</v>
      </c>
      <c r="B21" s="97" t="s">
        <v>566</v>
      </c>
      <c r="D21" s="97" t="s">
        <v>565</v>
      </c>
      <c r="E21" s="97" t="s">
        <v>566</v>
      </c>
      <c r="F21" s="94" t="s">
        <v>567</v>
      </c>
      <c r="G21" s="97">
        <v>1</v>
      </c>
      <c r="H21" s="98" t="s">
        <v>538</v>
      </c>
      <c r="I21" s="99" t="str">
        <f t="shared" si="0"/>
        <v>동두천|1</v>
      </c>
      <c r="J21" s="100">
        <v>0</v>
      </c>
      <c r="K21" s="100">
        <v>0</v>
      </c>
      <c r="L21" s="100">
        <v>0</v>
      </c>
      <c r="M21" s="100">
        <v>0</v>
      </c>
      <c r="N21" s="100">
        <v>0</v>
      </c>
      <c r="O21" s="100">
        <v>0</v>
      </c>
      <c r="P21" s="100">
        <v>9.5</v>
      </c>
      <c r="Q21" s="100">
        <v>11.9</v>
      </c>
      <c r="R21" s="100">
        <v>0.6</v>
      </c>
      <c r="S21" s="100">
        <v>0</v>
      </c>
      <c r="T21" s="100">
        <v>0</v>
      </c>
      <c r="U21" s="100">
        <v>0</v>
      </c>
    </row>
    <row r="22" spans="1:21">
      <c r="A22" s="97" t="s">
        <v>568</v>
      </c>
      <c r="B22" s="97" t="s">
        <v>566</v>
      </c>
      <c r="D22" s="97" t="s">
        <v>568</v>
      </c>
      <c r="E22" s="97" t="s">
        <v>566</v>
      </c>
      <c r="F22" s="94" t="s">
        <v>569</v>
      </c>
      <c r="G22" s="97">
        <v>1</v>
      </c>
      <c r="H22" s="98" t="s">
        <v>538</v>
      </c>
      <c r="I22" s="99" t="str">
        <f t="shared" si="0"/>
        <v>수원|1</v>
      </c>
      <c r="J22" s="100">
        <v>0</v>
      </c>
      <c r="K22" s="100">
        <v>0</v>
      </c>
      <c r="L22" s="100">
        <v>0</v>
      </c>
      <c r="M22" s="100">
        <v>0</v>
      </c>
      <c r="N22" s="100">
        <v>0</v>
      </c>
      <c r="O22" s="100">
        <v>0.1</v>
      </c>
      <c r="P22" s="100">
        <v>10.8</v>
      </c>
      <c r="Q22" s="100">
        <v>13.4</v>
      </c>
      <c r="R22" s="100">
        <v>0.7</v>
      </c>
      <c r="S22" s="100">
        <v>0</v>
      </c>
      <c r="T22" s="100">
        <v>0</v>
      </c>
      <c r="U22" s="100">
        <v>0</v>
      </c>
    </row>
    <row r="23" spans="1:21">
      <c r="A23" s="97" t="s">
        <v>570</v>
      </c>
      <c r="B23" s="97" t="s">
        <v>566</v>
      </c>
      <c r="D23" s="97" t="s">
        <v>570</v>
      </c>
      <c r="E23" s="97" t="s">
        <v>566</v>
      </c>
      <c r="F23" s="94" t="s">
        <v>571</v>
      </c>
      <c r="G23" s="97">
        <v>1</v>
      </c>
      <c r="H23" s="98" t="s">
        <v>538</v>
      </c>
      <c r="I23" s="99" t="str">
        <f t="shared" si="0"/>
        <v>양평|1</v>
      </c>
      <c r="J23" s="100">
        <v>0</v>
      </c>
      <c r="K23" s="100">
        <v>0</v>
      </c>
      <c r="L23" s="100">
        <v>0</v>
      </c>
      <c r="M23" s="100">
        <v>0</v>
      </c>
      <c r="N23" s="100">
        <v>0</v>
      </c>
      <c r="O23" s="100">
        <v>0</v>
      </c>
      <c r="P23" s="100">
        <v>7.1</v>
      </c>
      <c r="Q23" s="100">
        <v>10.4</v>
      </c>
      <c r="R23" s="100">
        <v>0.4</v>
      </c>
      <c r="S23" s="100">
        <v>0</v>
      </c>
      <c r="T23" s="100">
        <v>0</v>
      </c>
      <c r="U23" s="100">
        <v>0</v>
      </c>
    </row>
    <row r="24" spans="1:21">
      <c r="A24" s="97" t="s">
        <v>572</v>
      </c>
      <c r="B24" s="97" t="s">
        <v>566</v>
      </c>
      <c r="D24" s="97" t="s">
        <v>572</v>
      </c>
      <c r="E24" s="97" t="s">
        <v>566</v>
      </c>
      <c r="F24" s="94" t="s">
        <v>573</v>
      </c>
      <c r="G24" s="97">
        <v>1</v>
      </c>
      <c r="H24" s="98" t="s">
        <v>538</v>
      </c>
      <c r="I24" s="99" t="str">
        <f t="shared" si="0"/>
        <v>이천|1</v>
      </c>
      <c r="J24" s="100">
        <v>0</v>
      </c>
      <c r="K24" s="100">
        <v>0</v>
      </c>
      <c r="L24" s="100">
        <v>0</v>
      </c>
      <c r="M24" s="100">
        <v>0</v>
      </c>
      <c r="N24" s="100">
        <v>0</v>
      </c>
      <c r="O24" s="100">
        <v>0.2</v>
      </c>
      <c r="P24" s="100">
        <v>8.9</v>
      </c>
      <c r="Q24" s="100">
        <v>13.7</v>
      </c>
      <c r="R24" s="100">
        <v>0.7</v>
      </c>
      <c r="S24" s="100">
        <v>0</v>
      </c>
      <c r="T24" s="100">
        <v>0</v>
      </c>
      <c r="U24" s="100">
        <v>0</v>
      </c>
    </row>
    <row r="25" spans="1:21">
      <c r="A25" s="97" t="s">
        <v>574</v>
      </c>
      <c r="B25" s="97" t="s">
        <v>566</v>
      </c>
      <c r="D25" s="97" t="s">
        <v>574</v>
      </c>
      <c r="E25" s="97" t="s">
        <v>566</v>
      </c>
      <c r="F25" s="94" t="s">
        <v>575</v>
      </c>
      <c r="G25" s="97">
        <v>1</v>
      </c>
      <c r="H25" s="98" t="s">
        <v>538</v>
      </c>
      <c r="I25" s="99" t="str">
        <f t="shared" si="0"/>
        <v>파주|1</v>
      </c>
      <c r="J25" s="100">
        <v>0</v>
      </c>
      <c r="K25" s="100">
        <v>0</v>
      </c>
      <c r="L25" s="100">
        <v>0</v>
      </c>
      <c r="M25" s="100">
        <v>0</v>
      </c>
      <c r="N25" s="100">
        <v>0</v>
      </c>
      <c r="O25" s="100">
        <v>0.2</v>
      </c>
      <c r="P25" s="100">
        <v>8.5</v>
      </c>
      <c r="Q25" s="100">
        <v>10.9</v>
      </c>
      <c r="R25" s="100">
        <v>0.3</v>
      </c>
      <c r="S25" s="100">
        <v>0</v>
      </c>
      <c r="T25" s="100">
        <v>0</v>
      </c>
      <c r="U25" s="100">
        <v>0</v>
      </c>
    </row>
    <row r="26" spans="1:21">
      <c r="A26" s="97" t="s">
        <v>576</v>
      </c>
      <c r="B26" s="97" t="s">
        <v>577</v>
      </c>
      <c r="D26" s="97" t="s">
        <v>576</v>
      </c>
      <c r="E26" s="97" t="s">
        <v>577</v>
      </c>
      <c r="F26" s="94" t="s">
        <v>578</v>
      </c>
      <c r="G26" s="97">
        <v>1</v>
      </c>
      <c r="H26" s="98" t="s">
        <v>538</v>
      </c>
      <c r="I26" s="99" t="str">
        <f t="shared" si="0"/>
        <v>거제|1</v>
      </c>
      <c r="J26" s="100">
        <v>0</v>
      </c>
      <c r="K26" s="100">
        <v>0</v>
      </c>
      <c r="L26" s="100">
        <v>0</v>
      </c>
      <c r="M26" s="100">
        <v>0</v>
      </c>
      <c r="N26" s="100">
        <v>0</v>
      </c>
      <c r="O26" s="100">
        <v>0</v>
      </c>
      <c r="P26" s="100">
        <v>7</v>
      </c>
      <c r="Q26" s="100">
        <v>13.4</v>
      </c>
      <c r="R26" s="100">
        <v>1.1000000000000001</v>
      </c>
      <c r="S26" s="100">
        <v>0</v>
      </c>
      <c r="T26" s="100">
        <v>0</v>
      </c>
      <c r="U26" s="100">
        <v>0</v>
      </c>
    </row>
    <row r="27" spans="1:21">
      <c r="A27" s="97" t="s">
        <v>579</v>
      </c>
      <c r="B27" s="97" t="s">
        <v>577</v>
      </c>
      <c r="D27" s="97" t="s">
        <v>579</v>
      </c>
      <c r="E27" s="97" t="s">
        <v>577</v>
      </c>
      <c r="F27" s="94" t="s">
        <v>580</v>
      </c>
      <c r="G27" s="97">
        <v>1</v>
      </c>
      <c r="H27" s="98" t="s">
        <v>538</v>
      </c>
      <c r="I27" s="99" t="str">
        <f t="shared" si="0"/>
        <v>거창|1</v>
      </c>
      <c r="J27" s="100">
        <v>0</v>
      </c>
      <c r="K27" s="100">
        <v>0</v>
      </c>
      <c r="L27" s="100">
        <v>0</v>
      </c>
      <c r="M27" s="100">
        <v>0</v>
      </c>
      <c r="N27" s="100">
        <v>0</v>
      </c>
      <c r="O27" s="100">
        <v>0.1</v>
      </c>
      <c r="P27" s="100">
        <v>8.1</v>
      </c>
      <c r="Q27" s="100">
        <v>11.8</v>
      </c>
      <c r="R27" s="100">
        <v>0.6</v>
      </c>
      <c r="S27" s="100">
        <v>0</v>
      </c>
      <c r="T27" s="100">
        <v>0</v>
      </c>
      <c r="U27" s="100">
        <v>0</v>
      </c>
    </row>
    <row r="28" spans="1:21">
      <c r="A28" s="97" t="s">
        <v>581</v>
      </c>
      <c r="B28" s="97" t="s">
        <v>577</v>
      </c>
      <c r="D28" s="97" t="s">
        <v>581</v>
      </c>
      <c r="E28" s="97" t="s">
        <v>577</v>
      </c>
      <c r="F28" s="94" t="s">
        <v>582</v>
      </c>
      <c r="G28" s="97">
        <v>1</v>
      </c>
      <c r="H28" s="98" t="s">
        <v>538</v>
      </c>
      <c r="I28" s="99" t="str">
        <f t="shared" si="0"/>
        <v>김해시|1</v>
      </c>
      <c r="J28" s="100">
        <v>0</v>
      </c>
      <c r="K28" s="100">
        <v>0</v>
      </c>
      <c r="L28" s="100">
        <v>0</v>
      </c>
      <c r="M28" s="100">
        <v>0</v>
      </c>
      <c r="N28" s="100">
        <v>0</v>
      </c>
      <c r="O28" s="100">
        <v>0.1</v>
      </c>
      <c r="P28" s="100">
        <v>11.9</v>
      </c>
      <c r="Q28" s="100">
        <v>17.600000000000001</v>
      </c>
      <c r="R28" s="100">
        <v>2.5</v>
      </c>
      <c r="S28" s="100">
        <v>0</v>
      </c>
      <c r="T28" s="100">
        <v>0</v>
      </c>
      <c r="U28" s="100">
        <v>0</v>
      </c>
    </row>
    <row r="29" spans="1:21">
      <c r="A29" s="97" t="s">
        <v>583</v>
      </c>
      <c r="B29" s="97" t="s">
        <v>577</v>
      </c>
      <c r="D29" s="97" t="s">
        <v>583</v>
      </c>
      <c r="E29" s="97" t="s">
        <v>577</v>
      </c>
      <c r="F29" s="94" t="s">
        <v>584</v>
      </c>
      <c r="G29" s="97">
        <v>1</v>
      </c>
      <c r="H29" s="98" t="s">
        <v>538</v>
      </c>
      <c r="I29" s="99" t="str">
        <f t="shared" si="0"/>
        <v>남해|1</v>
      </c>
      <c r="J29" s="100">
        <v>0</v>
      </c>
      <c r="K29" s="100">
        <v>0</v>
      </c>
      <c r="L29" s="100">
        <v>0</v>
      </c>
      <c r="M29" s="100">
        <v>0</v>
      </c>
      <c r="N29" s="100">
        <v>0</v>
      </c>
      <c r="O29" s="100">
        <v>0</v>
      </c>
      <c r="P29" s="100">
        <v>7.9</v>
      </c>
      <c r="Q29" s="100">
        <v>14.7</v>
      </c>
      <c r="R29" s="100">
        <v>0.8</v>
      </c>
      <c r="S29" s="100">
        <v>0</v>
      </c>
      <c r="T29" s="100">
        <v>0</v>
      </c>
      <c r="U29" s="100">
        <v>0</v>
      </c>
    </row>
    <row r="30" spans="1:21">
      <c r="A30" s="97" t="s">
        <v>585</v>
      </c>
      <c r="B30" s="97" t="s">
        <v>577</v>
      </c>
      <c r="D30" s="97" t="s">
        <v>585</v>
      </c>
      <c r="E30" s="97" t="s">
        <v>577</v>
      </c>
      <c r="F30" s="94" t="s">
        <v>586</v>
      </c>
      <c r="G30" s="97">
        <v>1</v>
      </c>
      <c r="H30" s="98" t="s">
        <v>538</v>
      </c>
      <c r="I30" s="99" t="str">
        <f t="shared" si="0"/>
        <v>밀양|1</v>
      </c>
      <c r="J30" s="100">
        <v>0</v>
      </c>
      <c r="K30" s="100">
        <v>0</v>
      </c>
      <c r="L30" s="100">
        <v>0</v>
      </c>
      <c r="M30" s="100">
        <v>0</v>
      </c>
      <c r="N30" s="100">
        <v>0</v>
      </c>
      <c r="O30" s="100">
        <v>0.1</v>
      </c>
      <c r="P30" s="100">
        <v>11</v>
      </c>
      <c r="Q30" s="100">
        <v>15.8</v>
      </c>
      <c r="R30" s="100">
        <v>0.9</v>
      </c>
      <c r="S30" s="100">
        <v>0</v>
      </c>
      <c r="T30" s="100">
        <v>0</v>
      </c>
      <c r="U30" s="100">
        <v>0</v>
      </c>
    </row>
    <row r="31" spans="1:21">
      <c r="A31" s="97" t="s">
        <v>587</v>
      </c>
      <c r="B31" s="97" t="s">
        <v>577</v>
      </c>
      <c r="D31" s="97" t="s">
        <v>587</v>
      </c>
      <c r="E31" s="97" t="s">
        <v>577</v>
      </c>
      <c r="F31" s="94" t="s">
        <v>588</v>
      </c>
      <c r="G31" s="97">
        <v>1</v>
      </c>
      <c r="H31" s="98" t="s">
        <v>538</v>
      </c>
      <c r="I31" s="99" t="str">
        <f t="shared" si="0"/>
        <v>북창원|1</v>
      </c>
      <c r="J31" s="100">
        <v>0</v>
      </c>
      <c r="K31" s="100">
        <v>0</v>
      </c>
      <c r="L31" s="100">
        <v>0</v>
      </c>
      <c r="M31" s="100">
        <v>0</v>
      </c>
      <c r="N31" s="100">
        <v>0</v>
      </c>
      <c r="O31" s="100">
        <v>0.8</v>
      </c>
      <c r="P31" s="100">
        <v>14.1</v>
      </c>
      <c r="Q31" s="100">
        <v>19</v>
      </c>
      <c r="R31" s="100">
        <v>2</v>
      </c>
      <c r="S31" s="100">
        <v>0</v>
      </c>
      <c r="T31" s="100">
        <v>0</v>
      </c>
      <c r="U31" s="100">
        <v>0</v>
      </c>
    </row>
    <row r="32" spans="1:21">
      <c r="A32" s="97" t="s">
        <v>589</v>
      </c>
      <c r="B32" s="97" t="s">
        <v>577</v>
      </c>
      <c r="D32" s="97" t="s">
        <v>589</v>
      </c>
      <c r="E32" s="97" t="s">
        <v>577</v>
      </c>
      <c r="F32" s="94" t="s">
        <v>590</v>
      </c>
      <c r="G32" s="97">
        <v>1</v>
      </c>
      <c r="H32" s="98" t="s">
        <v>538</v>
      </c>
      <c r="I32" s="99" t="str">
        <f t="shared" si="0"/>
        <v>산청|1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0">
        <v>0.2</v>
      </c>
      <c r="P32" s="100">
        <v>10.3</v>
      </c>
      <c r="Q32" s="100">
        <v>15.3</v>
      </c>
      <c r="R32" s="100">
        <v>1</v>
      </c>
      <c r="S32" s="100">
        <v>0</v>
      </c>
      <c r="T32" s="100">
        <v>0</v>
      </c>
      <c r="U32" s="100">
        <v>0</v>
      </c>
    </row>
    <row r="33" spans="1:21">
      <c r="A33" s="97" t="s">
        <v>591</v>
      </c>
      <c r="B33" s="97" t="s">
        <v>577</v>
      </c>
      <c r="D33" s="97" t="s">
        <v>591</v>
      </c>
      <c r="E33" s="97" t="s">
        <v>577</v>
      </c>
      <c r="F33" s="94" t="s">
        <v>592</v>
      </c>
      <c r="G33" s="97">
        <v>1</v>
      </c>
      <c r="H33" s="98" t="s">
        <v>538</v>
      </c>
      <c r="I33" s="99" t="str">
        <f t="shared" si="0"/>
        <v>양산시|1</v>
      </c>
      <c r="J33" s="100">
        <v>0</v>
      </c>
      <c r="K33" s="100">
        <v>0</v>
      </c>
      <c r="L33" s="100">
        <v>0</v>
      </c>
      <c r="M33" s="100">
        <v>0</v>
      </c>
      <c r="N33" s="100">
        <v>0</v>
      </c>
      <c r="O33" s="100">
        <v>0.1</v>
      </c>
      <c r="P33" s="100">
        <v>14.3</v>
      </c>
      <c r="Q33" s="100">
        <v>20</v>
      </c>
      <c r="R33" s="100">
        <v>2</v>
      </c>
      <c r="S33" s="100">
        <v>0</v>
      </c>
      <c r="T33" s="100">
        <v>0</v>
      </c>
      <c r="U33" s="100">
        <v>0</v>
      </c>
    </row>
    <row r="34" spans="1:21">
      <c r="A34" s="97" t="s">
        <v>593</v>
      </c>
      <c r="B34" s="97" t="s">
        <v>577</v>
      </c>
      <c r="D34" s="97" t="s">
        <v>593</v>
      </c>
      <c r="E34" s="97" t="s">
        <v>577</v>
      </c>
      <c r="F34" s="94" t="s">
        <v>594</v>
      </c>
      <c r="G34" s="97">
        <v>1</v>
      </c>
      <c r="H34" s="98" t="s">
        <v>538</v>
      </c>
      <c r="I34" s="99" t="str">
        <f t="shared" si="0"/>
        <v>의령군|1</v>
      </c>
      <c r="J34" s="100">
        <v>0</v>
      </c>
      <c r="K34" s="100">
        <v>0</v>
      </c>
      <c r="L34" s="100">
        <v>0</v>
      </c>
      <c r="M34" s="100">
        <v>0</v>
      </c>
      <c r="N34" s="100">
        <v>0.1</v>
      </c>
      <c r="O34" s="100">
        <v>0.7</v>
      </c>
      <c r="P34" s="100">
        <v>12.9</v>
      </c>
      <c r="Q34" s="100">
        <v>18.899999999999999</v>
      </c>
      <c r="R34" s="100">
        <v>2</v>
      </c>
      <c r="S34" s="100">
        <v>0</v>
      </c>
      <c r="T34" s="100">
        <v>0</v>
      </c>
      <c r="U34" s="100">
        <v>0</v>
      </c>
    </row>
    <row r="35" spans="1:21">
      <c r="A35" s="97" t="s">
        <v>595</v>
      </c>
      <c r="B35" s="97" t="s">
        <v>577</v>
      </c>
      <c r="D35" s="97" t="s">
        <v>595</v>
      </c>
      <c r="E35" s="97" t="s">
        <v>577</v>
      </c>
      <c r="F35" s="94" t="s">
        <v>596</v>
      </c>
      <c r="G35" s="97">
        <v>1</v>
      </c>
      <c r="H35" s="98" t="s">
        <v>538</v>
      </c>
      <c r="I35" s="99" t="str">
        <f t="shared" si="0"/>
        <v>진주|1</v>
      </c>
      <c r="J35" s="100">
        <v>0</v>
      </c>
      <c r="K35" s="100">
        <v>0</v>
      </c>
      <c r="L35" s="100">
        <v>0</v>
      </c>
      <c r="M35" s="100">
        <v>0</v>
      </c>
      <c r="N35" s="100">
        <v>0</v>
      </c>
      <c r="O35" s="100">
        <v>0</v>
      </c>
      <c r="P35" s="100">
        <v>10.5</v>
      </c>
      <c r="Q35" s="100">
        <v>15.7</v>
      </c>
      <c r="R35" s="100">
        <v>1</v>
      </c>
      <c r="S35" s="100">
        <v>0</v>
      </c>
      <c r="T35" s="100">
        <v>0</v>
      </c>
      <c r="U35" s="100">
        <v>0</v>
      </c>
    </row>
    <row r="36" spans="1:21">
      <c r="A36" s="97" t="s">
        <v>597</v>
      </c>
      <c r="B36" s="97" t="s">
        <v>577</v>
      </c>
      <c r="D36" s="97" t="s">
        <v>597</v>
      </c>
      <c r="E36" s="97" t="s">
        <v>577</v>
      </c>
      <c r="F36" s="94" t="s">
        <v>598</v>
      </c>
      <c r="G36" s="97">
        <v>1</v>
      </c>
      <c r="H36" s="98" t="s">
        <v>538</v>
      </c>
      <c r="I36" s="99" t="str">
        <f t="shared" si="0"/>
        <v>창원|1</v>
      </c>
      <c r="J36" s="100">
        <v>0</v>
      </c>
      <c r="K36" s="100">
        <v>0</v>
      </c>
      <c r="L36" s="100">
        <v>0</v>
      </c>
      <c r="M36" s="100">
        <v>0</v>
      </c>
      <c r="N36" s="100">
        <v>0</v>
      </c>
      <c r="O36" s="100">
        <v>0.1</v>
      </c>
      <c r="P36" s="100">
        <v>10.199999999999999</v>
      </c>
      <c r="Q36" s="100">
        <v>16.7</v>
      </c>
      <c r="R36" s="100">
        <v>1.2</v>
      </c>
      <c r="S36" s="100">
        <v>0</v>
      </c>
      <c r="T36" s="100">
        <v>0</v>
      </c>
      <c r="U36" s="100">
        <v>0</v>
      </c>
    </row>
    <row r="37" spans="1:21">
      <c r="A37" s="97" t="s">
        <v>599</v>
      </c>
      <c r="B37" s="97" t="s">
        <v>577</v>
      </c>
      <c r="D37" s="97" t="s">
        <v>599</v>
      </c>
      <c r="E37" s="97" t="s">
        <v>577</v>
      </c>
      <c r="F37" s="94" t="s">
        <v>600</v>
      </c>
      <c r="G37" s="97">
        <v>1</v>
      </c>
      <c r="H37" s="98" t="s">
        <v>538</v>
      </c>
      <c r="I37" s="99" t="str">
        <f t="shared" si="0"/>
        <v>통영|1</v>
      </c>
      <c r="J37" s="100">
        <v>0</v>
      </c>
      <c r="K37" s="100">
        <v>0</v>
      </c>
      <c r="L37" s="100">
        <v>0</v>
      </c>
      <c r="M37" s="100">
        <v>0</v>
      </c>
      <c r="N37" s="100">
        <v>0</v>
      </c>
      <c r="O37" s="100">
        <v>0</v>
      </c>
      <c r="P37" s="100">
        <v>4.7</v>
      </c>
      <c r="Q37" s="100">
        <v>13.7</v>
      </c>
      <c r="R37" s="100">
        <v>1.3</v>
      </c>
      <c r="S37" s="100">
        <v>0</v>
      </c>
      <c r="T37" s="100">
        <v>0</v>
      </c>
      <c r="U37" s="100">
        <v>0</v>
      </c>
    </row>
    <row r="38" spans="1:21">
      <c r="A38" s="97" t="s">
        <v>601</v>
      </c>
      <c r="B38" s="97" t="s">
        <v>577</v>
      </c>
      <c r="D38" s="97" t="s">
        <v>601</v>
      </c>
      <c r="E38" s="97" t="s">
        <v>577</v>
      </c>
      <c r="F38" s="94" t="s">
        <v>602</v>
      </c>
      <c r="G38" s="97">
        <v>1</v>
      </c>
      <c r="H38" s="98" t="s">
        <v>538</v>
      </c>
      <c r="I38" s="99" t="str">
        <f t="shared" si="0"/>
        <v>함양군|1</v>
      </c>
      <c r="J38" s="100">
        <v>0</v>
      </c>
      <c r="K38" s="100">
        <v>0</v>
      </c>
      <c r="L38" s="100">
        <v>0</v>
      </c>
      <c r="M38" s="100">
        <v>0</v>
      </c>
      <c r="N38" s="100">
        <v>0</v>
      </c>
      <c r="O38" s="100">
        <v>0.5</v>
      </c>
      <c r="P38" s="100">
        <v>13.1</v>
      </c>
      <c r="Q38" s="100">
        <v>17.7</v>
      </c>
      <c r="R38" s="100">
        <v>1.7</v>
      </c>
      <c r="S38" s="100">
        <v>0</v>
      </c>
      <c r="T38" s="100">
        <v>0</v>
      </c>
      <c r="U38" s="100">
        <v>0</v>
      </c>
    </row>
    <row r="39" spans="1:21">
      <c r="A39" s="97" t="s">
        <v>603</v>
      </c>
      <c r="B39" s="97" t="s">
        <v>577</v>
      </c>
      <c r="D39" s="97" t="s">
        <v>603</v>
      </c>
      <c r="E39" s="97" t="s">
        <v>577</v>
      </c>
      <c r="F39" s="94" t="s">
        <v>604</v>
      </c>
      <c r="G39" s="97">
        <v>1</v>
      </c>
      <c r="H39" s="98" t="s">
        <v>538</v>
      </c>
      <c r="I39" s="99" t="str">
        <f t="shared" si="0"/>
        <v>합천|1</v>
      </c>
      <c r="J39" s="100">
        <v>0</v>
      </c>
      <c r="K39" s="100">
        <v>0</v>
      </c>
      <c r="L39" s="100">
        <v>0</v>
      </c>
      <c r="M39" s="100">
        <v>0</v>
      </c>
      <c r="N39" s="100">
        <v>0</v>
      </c>
      <c r="O39" s="100">
        <v>0.3</v>
      </c>
      <c r="P39" s="100">
        <v>10.5</v>
      </c>
      <c r="Q39" s="100">
        <v>16.2</v>
      </c>
      <c r="R39" s="100">
        <v>1</v>
      </c>
      <c r="S39" s="100">
        <v>0</v>
      </c>
      <c r="T39" s="100">
        <v>0</v>
      </c>
      <c r="U39" s="100">
        <v>0</v>
      </c>
    </row>
    <row r="40" spans="1:21">
      <c r="A40" s="97" t="s">
        <v>605</v>
      </c>
      <c r="B40" s="97" t="s">
        <v>606</v>
      </c>
      <c r="D40" s="97" t="s">
        <v>605</v>
      </c>
      <c r="E40" s="97" t="s">
        <v>606</v>
      </c>
      <c r="F40" s="94" t="s">
        <v>607</v>
      </c>
      <c r="G40" s="97">
        <v>1</v>
      </c>
      <c r="H40" s="98" t="s">
        <v>538</v>
      </c>
      <c r="I40" s="99" t="str">
        <f t="shared" si="0"/>
        <v>경주시|1</v>
      </c>
      <c r="J40" s="100">
        <v>0</v>
      </c>
      <c r="K40" s="100">
        <v>0</v>
      </c>
      <c r="L40" s="100">
        <v>0</v>
      </c>
      <c r="M40" s="100">
        <v>0</v>
      </c>
      <c r="N40" s="100">
        <v>0.1</v>
      </c>
      <c r="O40" s="100">
        <v>1.3</v>
      </c>
      <c r="P40" s="100">
        <v>13.6</v>
      </c>
      <c r="Q40" s="100">
        <v>15.3</v>
      </c>
      <c r="R40" s="100">
        <v>1.3</v>
      </c>
      <c r="S40" s="100">
        <v>0</v>
      </c>
      <c r="T40" s="100">
        <v>0</v>
      </c>
      <c r="U40" s="100">
        <v>0</v>
      </c>
    </row>
    <row r="41" spans="1:21">
      <c r="A41" s="97" t="s">
        <v>608</v>
      </c>
      <c r="B41" s="97" t="s">
        <v>606</v>
      </c>
      <c r="D41" s="97" t="s">
        <v>608</v>
      </c>
      <c r="E41" s="97" t="s">
        <v>606</v>
      </c>
      <c r="F41" s="94" t="s">
        <v>609</v>
      </c>
      <c r="G41" s="97">
        <v>1</v>
      </c>
      <c r="H41" s="98" t="s">
        <v>538</v>
      </c>
      <c r="I41" s="99" t="str">
        <f t="shared" si="0"/>
        <v>구미|1</v>
      </c>
      <c r="J41" s="100">
        <v>0</v>
      </c>
      <c r="K41" s="100">
        <v>0</v>
      </c>
      <c r="L41" s="100">
        <v>0</v>
      </c>
      <c r="M41" s="100">
        <v>0</v>
      </c>
      <c r="N41" s="100">
        <v>0</v>
      </c>
      <c r="O41" s="100">
        <v>0.9</v>
      </c>
      <c r="P41" s="100">
        <v>12</v>
      </c>
      <c r="Q41" s="100">
        <v>16.5</v>
      </c>
      <c r="R41" s="100">
        <v>0.8</v>
      </c>
      <c r="S41" s="100">
        <v>0</v>
      </c>
      <c r="T41" s="100">
        <v>0</v>
      </c>
      <c r="U41" s="100">
        <v>0</v>
      </c>
    </row>
    <row r="42" spans="1:21">
      <c r="A42" s="97" t="s">
        <v>610</v>
      </c>
      <c r="B42" s="97" t="s">
        <v>606</v>
      </c>
      <c r="D42" s="97" t="s">
        <v>610</v>
      </c>
      <c r="E42" s="97" t="s">
        <v>606</v>
      </c>
      <c r="F42" s="94" t="s">
        <v>611</v>
      </c>
      <c r="G42" s="97">
        <v>1</v>
      </c>
      <c r="H42" s="98" t="s">
        <v>538</v>
      </c>
      <c r="I42" s="99" t="str">
        <f t="shared" si="0"/>
        <v>문경|1</v>
      </c>
      <c r="J42" s="100">
        <v>0</v>
      </c>
      <c r="K42" s="100">
        <v>0</v>
      </c>
      <c r="L42" s="100">
        <v>0</v>
      </c>
      <c r="M42" s="100">
        <v>0</v>
      </c>
      <c r="N42" s="100">
        <v>0</v>
      </c>
      <c r="O42" s="100">
        <v>0.2</v>
      </c>
      <c r="P42" s="100">
        <v>7.8</v>
      </c>
      <c r="Q42" s="100">
        <v>10.3</v>
      </c>
      <c r="R42" s="100">
        <v>0.6</v>
      </c>
      <c r="S42" s="100">
        <v>0</v>
      </c>
      <c r="T42" s="100">
        <v>0</v>
      </c>
      <c r="U42" s="100">
        <v>0</v>
      </c>
    </row>
    <row r="43" spans="1:21">
      <c r="A43" s="97" t="s">
        <v>612</v>
      </c>
      <c r="B43" s="97" t="s">
        <v>606</v>
      </c>
      <c r="D43" s="97" t="s">
        <v>612</v>
      </c>
      <c r="E43" s="97" t="s">
        <v>606</v>
      </c>
      <c r="F43" s="94" t="s">
        <v>613</v>
      </c>
      <c r="G43" s="97">
        <v>1</v>
      </c>
      <c r="H43" s="98" t="s">
        <v>538</v>
      </c>
      <c r="I43" s="99" t="str">
        <f t="shared" si="0"/>
        <v>봉화|1</v>
      </c>
      <c r="J43" s="100">
        <v>0</v>
      </c>
      <c r="K43" s="100">
        <v>0</v>
      </c>
      <c r="L43" s="100">
        <v>0</v>
      </c>
      <c r="M43" s="100">
        <v>0</v>
      </c>
      <c r="N43" s="100">
        <v>0</v>
      </c>
      <c r="O43" s="100">
        <v>0</v>
      </c>
      <c r="P43" s="100">
        <v>1.8</v>
      </c>
      <c r="Q43" s="100">
        <v>3.3</v>
      </c>
      <c r="R43" s="100">
        <v>0.1</v>
      </c>
      <c r="S43" s="100">
        <v>0</v>
      </c>
      <c r="T43" s="100">
        <v>0</v>
      </c>
      <c r="U43" s="100">
        <v>0</v>
      </c>
    </row>
    <row r="44" spans="1:21">
      <c r="A44" s="97" t="s">
        <v>614</v>
      </c>
      <c r="B44" s="97" t="s">
        <v>606</v>
      </c>
      <c r="D44" s="97" t="s">
        <v>614</v>
      </c>
      <c r="E44" s="97" t="s">
        <v>606</v>
      </c>
      <c r="F44" s="94" t="s">
        <v>615</v>
      </c>
      <c r="G44" s="97">
        <v>1</v>
      </c>
      <c r="H44" s="98" t="s">
        <v>538</v>
      </c>
      <c r="I44" s="99" t="str">
        <f t="shared" si="0"/>
        <v>상주|1</v>
      </c>
      <c r="J44" s="100">
        <v>0</v>
      </c>
      <c r="K44" s="100">
        <v>0</v>
      </c>
      <c r="L44" s="100">
        <v>0</v>
      </c>
      <c r="M44" s="100">
        <v>0</v>
      </c>
      <c r="N44" s="100">
        <v>0</v>
      </c>
      <c r="O44" s="100">
        <v>1.1000000000000001</v>
      </c>
      <c r="P44" s="100">
        <v>12.7</v>
      </c>
      <c r="Q44" s="100">
        <v>15.6</v>
      </c>
      <c r="R44" s="100">
        <v>1</v>
      </c>
      <c r="S44" s="100">
        <v>0</v>
      </c>
      <c r="T44" s="100">
        <v>0</v>
      </c>
      <c r="U44" s="100">
        <v>0</v>
      </c>
    </row>
    <row r="45" spans="1:21">
      <c r="A45" s="97" t="s">
        <v>616</v>
      </c>
      <c r="B45" s="97" t="s">
        <v>606</v>
      </c>
      <c r="D45" s="97" t="s">
        <v>616</v>
      </c>
      <c r="E45" s="97" t="s">
        <v>606</v>
      </c>
      <c r="F45" s="94" t="s">
        <v>617</v>
      </c>
      <c r="G45" s="97">
        <v>1</v>
      </c>
      <c r="H45" s="98" t="s">
        <v>538</v>
      </c>
      <c r="I45" s="99" t="str">
        <f t="shared" si="0"/>
        <v>안동|1</v>
      </c>
      <c r="J45" s="100">
        <v>0</v>
      </c>
      <c r="K45" s="100">
        <v>0</v>
      </c>
      <c r="L45" s="100">
        <v>0</v>
      </c>
      <c r="M45" s="100">
        <v>0</v>
      </c>
      <c r="N45" s="100">
        <v>0</v>
      </c>
      <c r="O45" s="100">
        <v>0.5</v>
      </c>
      <c r="P45" s="100">
        <v>9.3000000000000007</v>
      </c>
      <c r="Q45" s="100">
        <v>13.4</v>
      </c>
      <c r="R45" s="100">
        <v>0.9</v>
      </c>
      <c r="S45" s="100">
        <v>0</v>
      </c>
      <c r="T45" s="100">
        <v>0</v>
      </c>
      <c r="U45" s="100">
        <v>0</v>
      </c>
    </row>
    <row r="46" spans="1:21">
      <c r="A46" s="97" t="s">
        <v>618</v>
      </c>
      <c r="B46" s="97" t="s">
        <v>606</v>
      </c>
      <c r="D46" s="97" t="s">
        <v>618</v>
      </c>
      <c r="E46" s="97" t="s">
        <v>606</v>
      </c>
      <c r="F46" s="94" t="s">
        <v>619</v>
      </c>
      <c r="G46" s="97">
        <v>1</v>
      </c>
      <c r="H46" s="98" t="s">
        <v>538</v>
      </c>
      <c r="I46" s="99" t="str">
        <f t="shared" si="0"/>
        <v>영덕|1</v>
      </c>
      <c r="J46" s="100">
        <v>0</v>
      </c>
      <c r="K46" s="100">
        <v>0</v>
      </c>
      <c r="L46" s="100">
        <v>0</v>
      </c>
      <c r="M46" s="100">
        <v>0</v>
      </c>
      <c r="N46" s="100">
        <v>0</v>
      </c>
      <c r="O46" s="100">
        <v>0.4</v>
      </c>
      <c r="P46" s="100">
        <v>7.3</v>
      </c>
      <c r="Q46" s="100">
        <v>11.1</v>
      </c>
      <c r="R46" s="100">
        <v>0.4</v>
      </c>
      <c r="S46" s="100">
        <v>0</v>
      </c>
      <c r="T46" s="100">
        <v>0</v>
      </c>
      <c r="U46" s="100">
        <v>0</v>
      </c>
    </row>
    <row r="47" spans="1:21">
      <c r="A47" s="97" t="s">
        <v>620</v>
      </c>
      <c r="B47" s="97" t="s">
        <v>606</v>
      </c>
      <c r="D47" s="97" t="s">
        <v>620</v>
      </c>
      <c r="E47" s="97" t="s">
        <v>606</v>
      </c>
      <c r="F47" s="94" t="s">
        <v>621</v>
      </c>
      <c r="G47" s="97">
        <v>1</v>
      </c>
      <c r="H47" s="98" t="s">
        <v>538</v>
      </c>
      <c r="I47" s="99" t="str">
        <f t="shared" si="0"/>
        <v>영주|1</v>
      </c>
      <c r="J47" s="100">
        <v>0</v>
      </c>
      <c r="K47" s="100">
        <v>0</v>
      </c>
      <c r="L47" s="100">
        <v>0</v>
      </c>
      <c r="M47" s="100">
        <v>0</v>
      </c>
      <c r="N47" s="100">
        <v>0</v>
      </c>
      <c r="O47" s="100">
        <v>0.1</v>
      </c>
      <c r="P47" s="100">
        <v>5.8</v>
      </c>
      <c r="Q47" s="100">
        <v>9.1</v>
      </c>
      <c r="R47" s="100">
        <v>0.2</v>
      </c>
      <c r="S47" s="100">
        <v>0</v>
      </c>
      <c r="T47" s="100">
        <v>0</v>
      </c>
      <c r="U47" s="100">
        <v>0</v>
      </c>
    </row>
    <row r="48" spans="1:21">
      <c r="A48" s="97" t="s">
        <v>622</v>
      </c>
      <c r="B48" s="97" t="s">
        <v>606</v>
      </c>
      <c r="D48" s="97" t="s">
        <v>622</v>
      </c>
      <c r="E48" s="97" t="s">
        <v>606</v>
      </c>
      <c r="F48" s="94" t="s">
        <v>623</v>
      </c>
      <c r="G48" s="97">
        <v>1</v>
      </c>
      <c r="H48" s="98" t="s">
        <v>538</v>
      </c>
      <c r="I48" s="99" t="str">
        <f t="shared" si="0"/>
        <v>영천|1</v>
      </c>
      <c r="J48" s="100">
        <v>0</v>
      </c>
      <c r="K48" s="100">
        <v>0</v>
      </c>
      <c r="L48" s="100">
        <v>0</v>
      </c>
      <c r="M48" s="100">
        <v>0</v>
      </c>
      <c r="N48" s="100">
        <v>0</v>
      </c>
      <c r="O48" s="100">
        <v>0.1</v>
      </c>
      <c r="P48" s="100">
        <v>9</v>
      </c>
      <c r="Q48" s="100">
        <v>12.4</v>
      </c>
      <c r="R48" s="100">
        <v>0.7</v>
      </c>
      <c r="S48" s="100">
        <v>0</v>
      </c>
      <c r="T48" s="100">
        <v>0</v>
      </c>
      <c r="U48" s="100">
        <v>0</v>
      </c>
    </row>
    <row r="49" spans="1:21">
      <c r="A49" s="97" t="s">
        <v>624</v>
      </c>
      <c r="B49" s="97" t="s">
        <v>606</v>
      </c>
      <c r="D49" s="97" t="s">
        <v>624</v>
      </c>
      <c r="E49" s="97" t="s">
        <v>606</v>
      </c>
      <c r="F49" s="94" t="s">
        <v>625</v>
      </c>
      <c r="G49" s="97">
        <v>1</v>
      </c>
      <c r="H49" s="98" t="s">
        <v>538</v>
      </c>
      <c r="I49" s="99" t="str">
        <f t="shared" si="0"/>
        <v>울릉도|1</v>
      </c>
      <c r="J49" s="100">
        <v>0</v>
      </c>
      <c r="K49" s="100">
        <v>0</v>
      </c>
      <c r="L49" s="100">
        <v>0</v>
      </c>
      <c r="M49" s="100">
        <v>0</v>
      </c>
      <c r="N49" s="100">
        <v>0</v>
      </c>
      <c r="O49" s="100">
        <v>0</v>
      </c>
      <c r="P49" s="100">
        <v>1.8</v>
      </c>
      <c r="Q49" s="100">
        <v>4.8</v>
      </c>
      <c r="R49" s="100">
        <v>0.5</v>
      </c>
      <c r="S49" s="100">
        <v>0</v>
      </c>
      <c r="T49" s="100">
        <v>0</v>
      </c>
      <c r="U49" s="100">
        <v>0</v>
      </c>
    </row>
    <row r="50" spans="1:21">
      <c r="A50" s="97" t="s">
        <v>626</v>
      </c>
      <c r="B50" s="97" t="s">
        <v>606</v>
      </c>
      <c r="D50" s="97" t="s">
        <v>626</v>
      </c>
      <c r="E50" s="97" t="s">
        <v>606</v>
      </c>
      <c r="F50" s="94" t="s">
        <v>627</v>
      </c>
      <c r="G50" s="97">
        <v>1</v>
      </c>
      <c r="H50" s="98" t="s">
        <v>538</v>
      </c>
      <c r="I50" s="99" t="str">
        <f t="shared" si="0"/>
        <v>울진|1</v>
      </c>
      <c r="J50" s="100">
        <v>0</v>
      </c>
      <c r="K50" s="100">
        <v>0</v>
      </c>
      <c r="L50" s="100">
        <v>0</v>
      </c>
      <c r="M50" s="100">
        <v>0</v>
      </c>
      <c r="N50" s="100">
        <v>0</v>
      </c>
      <c r="O50" s="100">
        <v>0.2</v>
      </c>
      <c r="P50" s="100">
        <v>4.2</v>
      </c>
      <c r="Q50" s="100">
        <v>4</v>
      </c>
      <c r="R50" s="100">
        <v>0.1</v>
      </c>
      <c r="S50" s="100">
        <v>0</v>
      </c>
      <c r="T50" s="100">
        <v>0</v>
      </c>
      <c r="U50" s="100">
        <v>0</v>
      </c>
    </row>
    <row r="51" spans="1:21">
      <c r="A51" s="97" t="s">
        <v>628</v>
      </c>
      <c r="B51" s="97" t="s">
        <v>606</v>
      </c>
      <c r="D51" s="97" t="s">
        <v>628</v>
      </c>
      <c r="E51" s="97" t="s">
        <v>606</v>
      </c>
      <c r="F51" s="94" t="s">
        <v>629</v>
      </c>
      <c r="G51" s="97">
        <v>1</v>
      </c>
      <c r="H51" s="98" t="s">
        <v>538</v>
      </c>
      <c r="I51" s="99" t="str">
        <f t="shared" si="0"/>
        <v>의성|1</v>
      </c>
      <c r="J51" s="100">
        <v>0</v>
      </c>
      <c r="K51" s="100">
        <v>0</v>
      </c>
      <c r="L51" s="100">
        <v>0</v>
      </c>
      <c r="M51" s="100">
        <v>0</v>
      </c>
      <c r="N51" s="100">
        <v>0</v>
      </c>
      <c r="O51" s="100">
        <v>0.9</v>
      </c>
      <c r="P51" s="100">
        <v>11.6</v>
      </c>
      <c r="Q51" s="100">
        <v>14.8</v>
      </c>
      <c r="R51" s="100">
        <v>1.1000000000000001</v>
      </c>
      <c r="S51" s="100">
        <v>0</v>
      </c>
      <c r="T51" s="100">
        <v>0</v>
      </c>
      <c r="U51" s="100">
        <v>0</v>
      </c>
    </row>
    <row r="52" spans="1:21">
      <c r="A52" s="97" t="s">
        <v>630</v>
      </c>
      <c r="B52" s="97" t="s">
        <v>606</v>
      </c>
      <c r="D52" s="97" t="s">
        <v>630</v>
      </c>
      <c r="E52" s="97" t="s">
        <v>606</v>
      </c>
      <c r="F52" s="94" t="s">
        <v>631</v>
      </c>
      <c r="G52" s="97">
        <v>1</v>
      </c>
      <c r="H52" s="98" t="s">
        <v>538</v>
      </c>
      <c r="I52" s="99" t="str">
        <f t="shared" si="0"/>
        <v>청송군|1</v>
      </c>
      <c r="J52" s="100">
        <v>0</v>
      </c>
      <c r="K52" s="100">
        <v>0</v>
      </c>
      <c r="L52" s="100">
        <v>0</v>
      </c>
      <c r="M52" s="100">
        <v>0</v>
      </c>
      <c r="N52" s="100">
        <v>0</v>
      </c>
      <c r="O52" s="100">
        <v>0.3</v>
      </c>
      <c r="P52" s="100">
        <v>7.6</v>
      </c>
      <c r="Q52" s="100">
        <v>13.4</v>
      </c>
      <c r="R52" s="100">
        <v>0.9</v>
      </c>
      <c r="S52" s="100">
        <v>0</v>
      </c>
      <c r="T52" s="100">
        <v>0</v>
      </c>
      <c r="U52" s="100">
        <v>0</v>
      </c>
    </row>
    <row r="53" spans="1:21">
      <c r="A53" s="97" t="s">
        <v>632</v>
      </c>
      <c r="B53" s="97" t="s">
        <v>606</v>
      </c>
      <c r="D53" s="97" t="s">
        <v>632</v>
      </c>
      <c r="E53" s="97" t="s">
        <v>606</v>
      </c>
      <c r="F53" s="94" t="s">
        <v>633</v>
      </c>
      <c r="G53" s="97">
        <v>1</v>
      </c>
      <c r="H53" s="98" t="s">
        <v>538</v>
      </c>
      <c r="I53" s="99" t="str">
        <f t="shared" si="0"/>
        <v>포항|1</v>
      </c>
      <c r="J53" s="100">
        <v>0</v>
      </c>
      <c r="K53" s="100">
        <v>0</v>
      </c>
      <c r="L53" s="100">
        <v>0</v>
      </c>
      <c r="M53" s="100">
        <v>0</v>
      </c>
      <c r="N53" s="100">
        <v>0.1</v>
      </c>
      <c r="O53" s="100">
        <v>1.1000000000000001</v>
      </c>
      <c r="P53" s="100">
        <v>10</v>
      </c>
      <c r="Q53" s="100">
        <v>10.9</v>
      </c>
      <c r="R53" s="100">
        <v>0.6</v>
      </c>
      <c r="S53" s="100">
        <v>0</v>
      </c>
      <c r="T53" s="100">
        <v>0</v>
      </c>
      <c r="U53" s="100">
        <v>0</v>
      </c>
    </row>
    <row r="54" spans="1:21">
      <c r="A54" s="97" t="s">
        <v>634</v>
      </c>
      <c r="B54" s="97" t="s">
        <v>635</v>
      </c>
      <c r="D54" s="97" t="s">
        <v>634</v>
      </c>
      <c r="E54" s="97" t="s">
        <v>635</v>
      </c>
      <c r="F54" s="94" t="s">
        <v>636</v>
      </c>
      <c r="G54" s="97">
        <v>1</v>
      </c>
      <c r="H54" s="98" t="s">
        <v>538</v>
      </c>
      <c r="I54" s="99" t="str">
        <f t="shared" si="0"/>
        <v>광주|1</v>
      </c>
      <c r="J54" s="100">
        <v>0</v>
      </c>
      <c r="K54" s="100">
        <v>0</v>
      </c>
      <c r="L54" s="100">
        <v>0</v>
      </c>
      <c r="M54" s="100">
        <v>0</v>
      </c>
      <c r="N54" s="100">
        <v>0</v>
      </c>
      <c r="O54" s="100">
        <v>0.7</v>
      </c>
      <c r="P54" s="100">
        <v>14.6</v>
      </c>
      <c r="Q54" s="100">
        <v>18.899999999999999</v>
      </c>
      <c r="R54" s="100">
        <v>1.5</v>
      </c>
      <c r="S54" s="100">
        <v>0</v>
      </c>
      <c r="T54" s="100">
        <v>0</v>
      </c>
      <c r="U54" s="100">
        <v>0</v>
      </c>
    </row>
    <row r="55" spans="1:21">
      <c r="A55" s="97" t="s">
        <v>637</v>
      </c>
      <c r="B55" s="97" t="s">
        <v>638</v>
      </c>
      <c r="D55" s="97" t="s">
        <v>637</v>
      </c>
      <c r="E55" s="97" t="s">
        <v>638</v>
      </c>
      <c r="F55" s="94" t="s">
        <v>639</v>
      </c>
      <c r="G55" s="97">
        <v>1</v>
      </c>
      <c r="H55" s="98" t="s">
        <v>538</v>
      </c>
      <c r="I55" s="99" t="str">
        <f t="shared" si="0"/>
        <v>대구|1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1.4</v>
      </c>
      <c r="P55" s="100">
        <v>10.9</v>
      </c>
      <c r="Q55" s="100">
        <v>15.2</v>
      </c>
      <c r="R55" s="100">
        <v>0.6</v>
      </c>
      <c r="S55" s="100">
        <v>0</v>
      </c>
      <c r="T55" s="100">
        <v>0</v>
      </c>
      <c r="U55" s="100">
        <v>0</v>
      </c>
    </row>
    <row r="56" spans="1:21">
      <c r="A56" s="97" t="s">
        <v>640</v>
      </c>
      <c r="B56" s="97" t="s">
        <v>641</v>
      </c>
      <c r="D56" s="97" t="s">
        <v>640</v>
      </c>
      <c r="E56" s="97" t="s">
        <v>641</v>
      </c>
      <c r="F56" s="94" t="s">
        <v>642</v>
      </c>
      <c r="G56" s="97">
        <v>1</v>
      </c>
      <c r="H56" s="98" t="s">
        <v>538</v>
      </c>
      <c r="I56" s="99" t="str">
        <f t="shared" si="0"/>
        <v>대전|1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0.5</v>
      </c>
      <c r="P56" s="100">
        <v>11.8</v>
      </c>
      <c r="Q56" s="100">
        <v>15.7</v>
      </c>
      <c r="R56" s="100">
        <v>1.1000000000000001</v>
      </c>
      <c r="S56" s="100">
        <v>0</v>
      </c>
      <c r="T56" s="100">
        <v>0</v>
      </c>
      <c r="U56" s="100">
        <v>0</v>
      </c>
    </row>
    <row r="57" spans="1:21">
      <c r="A57" s="97" t="s">
        <v>643</v>
      </c>
      <c r="B57" s="97" t="s">
        <v>644</v>
      </c>
      <c r="D57" s="97" t="s">
        <v>643</v>
      </c>
      <c r="E57" s="97" t="s">
        <v>644</v>
      </c>
      <c r="F57" s="94" t="s">
        <v>645</v>
      </c>
      <c r="G57" s="97">
        <v>1</v>
      </c>
      <c r="H57" s="98" t="s">
        <v>538</v>
      </c>
      <c r="I57" s="99" t="str">
        <f t="shared" si="0"/>
        <v>부산|1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4.7</v>
      </c>
      <c r="Q57" s="100">
        <v>11.7</v>
      </c>
      <c r="R57" s="100">
        <v>1.1000000000000001</v>
      </c>
      <c r="S57" s="100">
        <v>0</v>
      </c>
      <c r="T57" s="100">
        <v>0</v>
      </c>
      <c r="U57" s="100">
        <v>0</v>
      </c>
    </row>
    <row r="58" spans="1:21">
      <c r="A58" s="97" t="s">
        <v>64</v>
      </c>
      <c r="B58" s="97" t="s">
        <v>646</v>
      </c>
      <c r="D58" s="97" t="s">
        <v>64</v>
      </c>
      <c r="E58" s="97" t="s">
        <v>646</v>
      </c>
      <c r="F58" s="94" t="s">
        <v>647</v>
      </c>
      <c r="G58" s="97">
        <v>1</v>
      </c>
      <c r="H58" s="98" t="s">
        <v>538</v>
      </c>
      <c r="I58" s="99" t="str">
        <f t="shared" si="0"/>
        <v>서울|1</v>
      </c>
      <c r="J58" s="100">
        <v>0</v>
      </c>
      <c r="K58" s="100">
        <v>0</v>
      </c>
      <c r="L58" s="100">
        <v>0</v>
      </c>
      <c r="M58" s="100">
        <v>0</v>
      </c>
      <c r="N58" s="100">
        <v>0</v>
      </c>
      <c r="O58" s="100">
        <v>0.1</v>
      </c>
      <c r="P58" s="100">
        <v>8</v>
      </c>
      <c r="Q58" s="100">
        <v>10.9</v>
      </c>
      <c r="R58" s="100">
        <v>0.8</v>
      </c>
      <c r="S58" s="100">
        <v>0</v>
      </c>
      <c r="T58" s="100">
        <v>0</v>
      </c>
      <c r="U58" s="100">
        <v>0</v>
      </c>
    </row>
    <row r="59" spans="1:21">
      <c r="A59" s="97" t="s">
        <v>648</v>
      </c>
      <c r="B59" s="97" t="s">
        <v>649</v>
      </c>
      <c r="D59" s="97" t="s">
        <v>648</v>
      </c>
      <c r="E59" s="97" t="s">
        <v>649</v>
      </c>
      <c r="F59" s="94" t="s">
        <v>650</v>
      </c>
      <c r="G59" s="97">
        <v>1</v>
      </c>
      <c r="H59" s="98" t="s">
        <v>538</v>
      </c>
      <c r="I59" s="99" t="str">
        <f t="shared" si="0"/>
        <v>세종|1</v>
      </c>
      <c r="J59" s="100">
        <v>0</v>
      </c>
      <c r="K59" s="100">
        <v>0</v>
      </c>
      <c r="L59" s="100">
        <v>0</v>
      </c>
      <c r="M59" s="100">
        <v>0</v>
      </c>
      <c r="N59" s="100">
        <v>0</v>
      </c>
      <c r="O59" s="100">
        <v>0.2</v>
      </c>
      <c r="P59" s="100">
        <v>7.5</v>
      </c>
      <c r="Q59" s="100">
        <v>13.2</v>
      </c>
      <c r="R59" s="100">
        <v>1.3</v>
      </c>
      <c r="S59" s="100">
        <v>0</v>
      </c>
      <c r="T59" s="100">
        <v>0</v>
      </c>
      <c r="U59" s="100">
        <v>0</v>
      </c>
    </row>
    <row r="60" spans="1:21">
      <c r="A60" s="97" t="s">
        <v>651</v>
      </c>
      <c r="B60" s="97" t="s">
        <v>652</v>
      </c>
      <c r="D60" s="97" t="s">
        <v>651</v>
      </c>
      <c r="E60" s="97" t="s">
        <v>652</v>
      </c>
      <c r="F60" s="94" t="s">
        <v>653</v>
      </c>
      <c r="G60" s="97">
        <v>1</v>
      </c>
      <c r="H60" s="98" t="s">
        <v>538</v>
      </c>
      <c r="I60" s="99" t="str">
        <f t="shared" si="0"/>
        <v>울산|1</v>
      </c>
      <c r="J60" s="100">
        <v>0</v>
      </c>
      <c r="K60" s="100">
        <v>0</v>
      </c>
      <c r="L60" s="100">
        <v>0</v>
      </c>
      <c r="M60" s="100">
        <v>0</v>
      </c>
      <c r="N60" s="100">
        <v>0</v>
      </c>
      <c r="O60" s="100">
        <v>0</v>
      </c>
      <c r="P60" s="100">
        <v>8.6</v>
      </c>
      <c r="Q60" s="100">
        <v>12.1</v>
      </c>
      <c r="R60" s="100">
        <v>0.8</v>
      </c>
      <c r="S60" s="100">
        <v>0</v>
      </c>
      <c r="T60" s="100">
        <v>0</v>
      </c>
      <c r="U60" s="100">
        <v>0</v>
      </c>
    </row>
    <row r="61" spans="1:21">
      <c r="A61" s="97" t="s">
        <v>654</v>
      </c>
      <c r="B61" s="97" t="s">
        <v>655</v>
      </c>
      <c r="D61" s="97" t="s">
        <v>654</v>
      </c>
      <c r="E61" s="97" t="s">
        <v>655</v>
      </c>
      <c r="F61" s="94" t="s">
        <v>656</v>
      </c>
      <c r="G61" s="97">
        <v>1</v>
      </c>
      <c r="H61" s="98" t="s">
        <v>538</v>
      </c>
      <c r="I61" s="99" t="str">
        <f t="shared" si="0"/>
        <v>강화|1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3.1</v>
      </c>
      <c r="Q61" s="100">
        <v>6.7</v>
      </c>
      <c r="R61" s="100">
        <v>0.1</v>
      </c>
      <c r="S61" s="100">
        <v>0</v>
      </c>
      <c r="T61" s="100">
        <v>0</v>
      </c>
      <c r="U61" s="100">
        <v>0</v>
      </c>
    </row>
    <row r="62" spans="1:21">
      <c r="A62" s="97" t="s">
        <v>657</v>
      </c>
      <c r="B62" s="97" t="s">
        <v>655</v>
      </c>
      <c r="D62" s="97" t="s">
        <v>657</v>
      </c>
      <c r="E62" s="97" t="s">
        <v>655</v>
      </c>
      <c r="F62" s="94" t="s">
        <v>658</v>
      </c>
      <c r="G62" s="97">
        <v>1</v>
      </c>
      <c r="H62" s="98" t="s">
        <v>538</v>
      </c>
      <c r="I62" s="99" t="str">
        <f t="shared" si="0"/>
        <v>백령도|1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0.4</v>
      </c>
      <c r="Q62" s="100">
        <v>1.5</v>
      </c>
      <c r="R62" s="100">
        <v>0</v>
      </c>
      <c r="S62" s="100">
        <v>0</v>
      </c>
      <c r="T62" s="100">
        <v>0</v>
      </c>
      <c r="U62" s="100">
        <v>0</v>
      </c>
    </row>
    <row r="63" spans="1:21">
      <c r="A63" s="97" t="s">
        <v>659</v>
      </c>
      <c r="B63" s="97" t="s">
        <v>655</v>
      </c>
      <c r="D63" s="97" t="s">
        <v>659</v>
      </c>
      <c r="E63" s="97" t="s">
        <v>655</v>
      </c>
      <c r="F63" s="94" t="s">
        <v>660</v>
      </c>
      <c r="G63" s="97">
        <v>1</v>
      </c>
      <c r="H63" s="98" t="s">
        <v>538</v>
      </c>
      <c r="I63" s="99" t="str">
        <f t="shared" si="0"/>
        <v>인천|1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4</v>
      </c>
      <c r="Q63" s="100">
        <v>9.1</v>
      </c>
      <c r="R63" s="100">
        <v>0.4</v>
      </c>
      <c r="S63" s="100">
        <v>0</v>
      </c>
      <c r="T63" s="100">
        <v>0</v>
      </c>
      <c r="U63" s="100">
        <v>0</v>
      </c>
    </row>
    <row r="64" spans="1:21">
      <c r="A64" s="97" t="s">
        <v>661</v>
      </c>
      <c r="B64" s="97" t="s">
        <v>662</v>
      </c>
      <c r="D64" s="97" t="s">
        <v>661</v>
      </c>
      <c r="E64" s="97" t="s">
        <v>662</v>
      </c>
      <c r="F64" s="94" t="s">
        <v>663</v>
      </c>
      <c r="G64" s="97">
        <v>1</v>
      </c>
      <c r="H64" s="98" t="s">
        <v>538</v>
      </c>
      <c r="I64" s="99" t="str">
        <f t="shared" si="0"/>
        <v>강진군|1</v>
      </c>
      <c r="J64" s="100">
        <v>0</v>
      </c>
      <c r="K64" s="100">
        <v>0</v>
      </c>
      <c r="L64" s="100">
        <v>0</v>
      </c>
      <c r="M64" s="100">
        <v>0</v>
      </c>
      <c r="N64" s="100">
        <v>0</v>
      </c>
      <c r="O64" s="100">
        <v>0</v>
      </c>
      <c r="P64" s="100">
        <v>10</v>
      </c>
      <c r="Q64" s="100">
        <v>17</v>
      </c>
      <c r="R64" s="100">
        <v>1.8</v>
      </c>
      <c r="S64" s="100">
        <v>0</v>
      </c>
      <c r="T64" s="100">
        <v>0</v>
      </c>
      <c r="U64" s="100">
        <v>0</v>
      </c>
    </row>
    <row r="65" spans="1:21">
      <c r="A65" s="97" t="s">
        <v>664</v>
      </c>
      <c r="B65" s="97" t="s">
        <v>662</v>
      </c>
      <c r="D65" s="97" t="s">
        <v>664</v>
      </c>
      <c r="E65" s="97" t="s">
        <v>662</v>
      </c>
      <c r="F65" s="94" t="s">
        <v>665</v>
      </c>
      <c r="G65" s="97">
        <v>1</v>
      </c>
      <c r="H65" s="98" t="s">
        <v>538</v>
      </c>
      <c r="I65" s="99" t="str">
        <f t="shared" si="0"/>
        <v>고흥|1</v>
      </c>
      <c r="J65" s="100">
        <v>0</v>
      </c>
      <c r="K65" s="100">
        <v>0</v>
      </c>
      <c r="L65" s="100">
        <v>0</v>
      </c>
      <c r="M65" s="100">
        <v>0</v>
      </c>
      <c r="N65" s="100">
        <v>0</v>
      </c>
      <c r="O65" s="100">
        <v>0</v>
      </c>
      <c r="P65" s="100">
        <v>6.6</v>
      </c>
      <c r="Q65" s="100">
        <v>13.2</v>
      </c>
      <c r="R65" s="100">
        <v>1.4</v>
      </c>
      <c r="S65" s="100">
        <v>0</v>
      </c>
      <c r="T65" s="100">
        <v>0</v>
      </c>
      <c r="U65" s="100">
        <v>0</v>
      </c>
    </row>
    <row r="66" spans="1:21">
      <c r="A66" s="97" t="s">
        <v>666</v>
      </c>
      <c r="B66" s="97" t="s">
        <v>662</v>
      </c>
      <c r="D66" s="97" t="s">
        <v>666</v>
      </c>
      <c r="E66" s="97" t="s">
        <v>662</v>
      </c>
      <c r="F66" s="94" t="s">
        <v>667</v>
      </c>
      <c r="G66" s="97">
        <v>1</v>
      </c>
      <c r="H66" s="98" t="s">
        <v>538</v>
      </c>
      <c r="I66" s="99" t="str">
        <f t="shared" si="0"/>
        <v>광양시|1</v>
      </c>
      <c r="J66" s="100">
        <v>0</v>
      </c>
      <c r="K66" s="100">
        <v>0</v>
      </c>
      <c r="L66" s="100">
        <v>0</v>
      </c>
      <c r="M66" s="100">
        <v>0</v>
      </c>
      <c r="N66" s="100">
        <v>0</v>
      </c>
      <c r="O66" s="100">
        <v>0.1</v>
      </c>
      <c r="P66" s="100">
        <v>10.9</v>
      </c>
      <c r="Q66" s="100">
        <v>16.899999999999999</v>
      </c>
      <c r="R66" s="100">
        <v>1.4</v>
      </c>
      <c r="S66" s="100">
        <v>0</v>
      </c>
      <c r="T66" s="100">
        <v>0</v>
      </c>
      <c r="U66" s="100">
        <v>0</v>
      </c>
    </row>
    <row r="67" spans="1:21">
      <c r="A67" s="97" t="s">
        <v>668</v>
      </c>
      <c r="B67" s="97" t="s">
        <v>662</v>
      </c>
      <c r="D67" s="97" t="s">
        <v>668</v>
      </c>
      <c r="E67" s="97" t="s">
        <v>662</v>
      </c>
      <c r="F67" s="94" t="s">
        <v>669</v>
      </c>
      <c r="G67" s="97">
        <v>1</v>
      </c>
      <c r="H67" s="98" t="s">
        <v>538</v>
      </c>
      <c r="I67" s="99" t="str">
        <f t="shared" si="0"/>
        <v>목포|1</v>
      </c>
      <c r="J67" s="100">
        <v>0</v>
      </c>
      <c r="K67" s="100">
        <v>0</v>
      </c>
      <c r="L67" s="100">
        <v>0</v>
      </c>
      <c r="M67" s="100">
        <v>0</v>
      </c>
      <c r="N67" s="100">
        <v>0</v>
      </c>
      <c r="O67" s="100">
        <v>0</v>
      </c>
      <c r="P67" s="100">
        <v>7.5</v>
      </c>
      <c r="Q67" s="100">
        <v>13.8</v>
      </c>
      <c r="R67" s="100">
        <v>1.2</v>
      </c>
      <c r="S67" s="100">
        <v>0</v>
      </c>
      <c r="T67" s="100">
        <v>0</v>
      </c>
      <c r="U67" s="100">
        <v>0</v>
      </c>
    </row>
    <row r="68" spans="1:21">
      <c r="A68" s="97" t="s">
        <v>670</v>
      </c>
      <c r="B68" s="97" t="s">
        <v>662</v>
      </c>
      <c r="D68" s="97" t="s">
        <v>670</v>
      </c>
      <c r="E68" s="97" t="s">
        <v>662</v>
      </c>
      <c r="F68" s="94" t="s">
        <v>671</v>
      </c>
      <c r="G68" s="97">
        <v>1</v>
      </c>
      <c r="H68" s="98" t="s">
        <v>538</v>
      </c>
      <c r="I68" s="99" t="str">
        <f t="shared" si="0"/>
        <v>보성군|1</v>
      </c>
      <c r="J68" s="100">
        <v>0</v>
      </c>
      <c r="K68" s="100">
        <v>0</v>
      </c>
      <c r="L68" s="100">
        <v>0</v>
      </c>
      <c r="M68" s="100">
        <v>0</v>
      </c>
      <c r="N68" s="100">
        <v>0</v>
      </c>
      <c r="O68" s="100">
        <v>0</v>
      </c>
      <c r="P68" s="100">
        <v>10.199999999999999</v>
      </c>
      <c r="Q68" s="100">
        <v>17.3</v>
      </c>
      <c r="R68" s="100">
        <v>1.5</v>
      </c>
      <c r="S68" s="100">
        <v>0</v>
      </c>
      <c r="T68" s="100">
        <v>0</v>
      </c>
      <c r="U68" s="100">
        <v>0</v>
      </c>
    </row>
    <row r="69" spans="1:21">
      <c r="A69" s="97" t="s">
        <v>672</v>
      </c>
      <c r="B69" s="97" t="s">
        <v>662</v>
      </c>
      <c r="D69" s="97" t="s">
        <v>672</v>
      </c>
      <c r="E69" s="97" t="s">
        <v>662</v>
      </c>
      <c r="F69" s="94" t="s">
        <v>673</v>
      </c>
      <c r="G69" s="97">
        <v>1</v>
      </c>
      <c r="H69" s="98" t="s">
        <v>538</v>
      </c>
      <c r="I69" s="99" t="str">
        <f t="shared" si="0"/>
        <v>순천|1</v>
      </c>
      <c r="J69" s="100">
        <v>0</v>
      </c>
      <c r="K69" s="100">
        <v>0</v>
      </c>
      <c r="L69" s="100">
        <v>0</v>
      </c>
      <c r="M69" s="100">
        <v>0</v>
      </c>
      <c r="N69" s="100">
        <v>0</v>
      </c>
      <c r="O69" s="100">
        <v>0</v>
      </c>
      <c r="P69" s="100">
        <v>7.2</v>
      </c>
      <c r="Q69" s="100">
        <v>12.1</v>
      </c>
      <c r="R69" s="100">
        <v>0.6</v>
      </c>
      <c r="S69" s="100">
        <v>0</v>
      </c>
      <c r="T69" s="100">
        <v>0</v>
      </c>
      <c r="U69" s="100">
        <v>0</v>
      </c>
    </row>
    <row r="70" spans="1:21">
      <c r="A70" s="97" t="s">
        <v>674</v>
      </c>
      <c r="B70" s="97" t="s">
        <v>662</v>
      </c>
      <c r="D70" s="97" t="s">
        <v>674</v>
      </c>
      <c r="E70" s="97" t="s">
        <v>662</v>
      </c>
      <c r="F70" s="94" t="s">
        <v>675</v>
      </c>
      <c r="G70" s="97">
        <v>1</v>
      </c>
      <c r="H70" s="98" t="s">
        <v>538</v>
      </c>
      <c r="I70" s="99" t="str">
        <f t="shared" si="0"/>
        <v>여수|1</v>
      </c>
      <c r="J70" s="100">
        <v>0</v>
      </c>
      <c r="K70" s="100">
        <v>0</v>
      </c>
      <c r="L70" s="100">
        <v>0</v>
      </c>
      <c r="M70" s="100">
        <v>0</v>
      </c>
      <c r="N70" s="100">
        <v>0</v>
      </c>
      <c r="O70" s="100">
        <v>0</v>
      </c>
      <c r="P70" s="100">
        <v>2.5</v>
      </c>
      <c r="Q70" s="100">
        <v>8.6999999999999993</v>
      </c>
      <c r="R70" s="100">
        <v>1</v>
      </c>
      <c r="S70" s="100">
        <v>0</v>
      </c>
      <c r="T70" s="100">
        <v>0</v>
      </c>
      <c r="U70" s="100">
        <v>0</v>
      </c>
    </row>
    <row r="71" spans="1:21">
      <c r="A71" s="97" t="s">
        <v>676</v>
      </c>
      <c r="B71" s="97" t="s">
        <v>662</v>
      </c>
      <c r="D71" s="97" t="s">
        <v>676</v>
      </c>
      <c r="E71" s="97" t="s">
        <v>662</v>
      </c>
      <c r="F71" s="94" t="s">
        <v>677</v>
      </c>
      <c r="G71" s="97">
        <v>1</v>
      </c>
      <c r="H71" s="98" t="s">
        <v>538</v>
      </c>
      <c r="I71" s="99" t="str">
        <f t="shared" ref="I71:I134" si="1">$D71&amp;"|"&amp;$G71</f>
        <v>영광군|1</v>
      </c>
      <c r="J71" s="100">
        <v>0</v>
      </c>
      <c r="K71" s="100">
        <v>0</v>
      </c>
      <c r="L71" s="100">
        <v>0</v>
      </c>
      <c r="M71" s="100">
        <v>0</v>
      </c>
      <c r="N71" s="100">
        <v>0</v>
      </c>
      <c r="O71" s="100">
        <v>0</v>
      </c>
      <c r="P71" s="100">
        <v>10.8</v>
      </c>
      <c r="Q71" s="100">
        <v>15.6</v>
      </c>
      <c r="R71" s="100">
        <v>1.1000000000000001</v>
      </c>
      <c r="S71" s="100">
        <v>0</v>
      </c>
      <c r="T71" s="100">
        <v>0</v>
      </c>
      <c r="U71" s="100">
        <v>0</v>
      </c>
    </row>
    <row r="72" spans="1:21">
      <c r="A72" s="97" t="s">
        <v>678</v>
      </c>
      <c r="B72" s="97" t="s">
        <v>662</v>
      </c>
      <c r="D72" s="97" t="s">
        <v>678</v>
      </c>
      <c r="E72" s="97" t="s">
        <v>662</v>
      </c>
      <c r="F72" s="94" t="s">
        <v>679</v>
      </c>
      <c r="G72" s="97">
        <v>1</v>
      </c>
      <c r="H72" s="98" t="s">
        <v>538</v>
      </c>
      <c r="I72" s="99" t="str">
        <f t="shared" si="1"/>
        <v>완도|1</v>
      </c>
      <c r="J72" s="100">
        <v>0</v>
      </c>
      <c r="K72" s="100">
        <v>0</v>
      </c>
      <c r="L72" s="100">
        <v>0</v>
      </c>
      <c r="M72" s="100">
        <v>0</v>
      </c>
      <c r="N72" s="100">
        <v>0</v>
      </c>
      <c r="O72" s="100">
        <v>0</v>
      </c>
      <c r="P72" s="100">
        <v>9</v>
      </c>
      <c r="Q72" s="100">
        <v>17.3</v>
      </c>
      <c r="R72" s="100">
        <v>1.9</v>
      </c>
      <c r="S72" s="100">
        <v>0</v>
      </c>
      <c r="T72" s="100">
        <v>0</v>
      </c>
      <c r="U72" s="100">
        <v>0</v>
      </c>
    </row>
    <row r="73" spans="1:21">
      <c r="A73" s="97" t="s">
        <v>680</v>
      </c>
      <c r="B73" s="97" t="s">
        <v>662</v>
      </c>
      <c r="D73" s="97" t="s">
        <v>680</v>
      </c>
      <c r="E73" s="97" t="s">
        <v>662</v>
      </c>
      <c r="F73" s="94" t="s">
        <v>681</v>
      </c>
      <c r="G73" s="97">
        <v>1</v>
      </c>
      <c r="H73" s="98" t="s">
        <v>538</v>
      </c>
      <c r="I73" s="99" t="str">
        <f t="shared" si="1"/>
        <v>장흥|1</v>
      </c>
      <c r="J73" s="100">
        <v>0</v>
      </c>
      <c r="K73" s="100">
        <v>0</v>
      </c>
      <c r="L73" s="100">
        <v>0</v>
      </c>
      <c r="M73" s="100">
        <v>0</v>
      </c>
      <c r="N73" s="100">
        <v>0</v>
      </c>
      <c r="O73" s="100">
        <v>0</v>
      </c>
      <c r="P73" s="100">
        <v>7.7</v>
      </c>
      <c r="Q73" s="100">
        <v>15.3</v>
      </c>
      <c r="R73" s="100">
        <v>1.5</v>
      </c>
      <c r="S73" s="100">
        <v>0</v>
      </c>
      <c r="T73" s="100">
        <v>0</v>
      </c>
      <c r="U73" s="100">
        <v>0</v>
      </c>
    </row>
    <row r="74" spans="1:21">
      <c r="A74" s="97" t="s">
        <v>682</v>
      </c>
      <c r="B74" s="97" t="s">
        <v>662</v>
      </c>
      <c r="D74" s="97" t="s">
        <v>682</v>
      </c>
      <c r="E74" s="97" t="s">
        <v>662</v>
      </c>
      <c r="F74" s="94" t="s">
        <v>683</v>
      </c>
      <c r="G74" s="97">
        <v>1</v>
      </c>
      <c r="H74" s="98" t="s">
        <v>538</v>
      </c>
      <c r="I74" s="99" t="str">
        <f t="shared" si="1"/>
        <v>진도군|1</v>
      </c>
      <c r="J74" s="100">
        <v>0</v>
      </c>
      <c r="K74" s="100">
        <v>0</v>
      </c>
      <c r="L74" s="100">
        <v>0</v>
      </c>
      <c r="M74" s="100">
        <v>0</v>
      </c>
      <c r="N74" s="100">
        <v>0</v>
      </c>
      <c r="O74" s="100">
        <v>0</v>
      </c>
      <c r="P74" s="100">
        <v>5.8</v>
      </c>
      <c r="Q74" s="100">
        <v>13.1</v>
      </c>
      <c r="R74" s="100">
        <v>1.1000000000000001</v>
      </c>
      <c r="S74" s="100">
        <v>0</v>
      </c>
      <c r="T74" s="100">
        <v>0</v>
      </c>
      <c r="U74" s="100">
        <v>0</v>
      </c>
    </row>
    <row r="75" spans="1:21">
      <c r="A75" s="97" t="s">
        <v>684</v>
      </c>
      <c r="B75" s="97" t="s">
        <v>662</v>
      </c>
      <c r="D75" s="97" t="s">
        <v>684</v>
      </c>
      <c r="E75" s="97" t="s">
        <v>662</v>
      </c>
      <c r="F75" s="94" t="s">
        <v>685</v>
      </c>
      <c r="G75" s="97">
        <v>1</v>
      </c>
      <c r="H75" s="98" t="s">
        <v>538</v>
      </c>
      <c r="I75" s="99" t="str">
        <f t="shared" si="1"/>
        <v>해남|1</v>
      </c>
      <c r="J75" s="100">
        <v>0</v>
      </c>
      <c r="K75" s="100">
        <v>0</v>
      </c>
      <c r="L75" s="100">
        <v>0</v>
      </c>
      <c r="M75" s="100">
        <v>0</v>
      </c>
      <c r="N75" s="100">
        <v>0</v>
      </c>
      <c r="O75" s="100">
        <v>0</v>
      </c>
      <c r="P75" s="100">
        <v>9.1</v>
      </c>
      <c r="Q75" s="100">
        <v>17.899999999999999</v>
      </c>
      <c r="R75" s="100">
        <v>1.7</v>
      </c>
      <c r="S75" s="100">
        <v>0</v>
      </c>
      <c r="T75" s="100">
        <v>0</v>
      </c>
      <c r="U75" s="100">
        <v>0</v>
      </c>
    </row>
    <row r="76" spans="1:21">
      <c r="A76" s="97" t="s">
        <v>686</v>
      </c>
      <c r="B76" s="97" t="s">
        <v>662</v>
      </c>
      <c r="D76" s="97" t="s">
        <v>686</v>
      </c>
      <c r="E76" s="97" t="s">
        <v>662</v>
      </c>
      <c r="F76" s="94" t="s">
        <v>687</v>
      </c>
      <c r="G76" s="97">
        <v>1</v>
      </c>
      <c r="H76" s="98" t="s">
        <v>538</v>
      </c>
      <c r="I76" s="99" t="str">
        <f t="shared" si="1"/>
        <v>흑산도|1</v>
      </c>
      <c r="J76" s="100">
        <v>0</v>
      </c>
      <c r="K76" s="100">
        <v>0</v>
      </c>
      <c r="L76" s="100">
        <v>0</v>
      </c>
      <c r="M76" s="100">
        <v>0</v>
      </c>
      <c r="N76" s="100">
        <v>0</v>
      </c>
      <c r="O76" s="100">
        <v>0</v>
      </c>
      <c r="P76" s="100">
        <v>3.2</v>
      </c>
      <c r="Q76" s="100">
        <v>9.6999999999999993</v>
      </c>
      <c r="R76" s="100">
        <v>1.1000000000000001</v>
      </c>
      <c r="S76" s="100">
        <v>0</v>
      </c>
      <c r="T76" s="100">
        <v>0</v>
      </c>
      <c r="U76" s="100">
        <v>0</v>
      </c>
    </row>
    <row r="77" spans="1:21">
      <c r="A77" s="97" t="s">
        <v>688</v>
      </c>
      <c r="B77" s="97" t="s">
        <v>689</v>
      </c>
      <c r="D77" s="97" t="s">
        <v>688</v>
      </c>
      <c r="E77" s="97" t="s">
        <v>689</v>
      </c>
      <c r="F77" s="94" t="s">
        <v>690</v>
      </c>
      <c r="G77" s="97">
        <v>1</v>
      </c>
      <c r="H77" s="98" t="s">
        <v>538</v>
      </c>
      <c r="I77" s="99" t="str">
        <f t="shared" si="1"/>
        <v>고창|1</v>
      </c>
      <c r="J77" s="100">
        <v>0</v>
      </c>
      <c r="K77" s="100">
        <v>0</v>
      </c>
      <c r="L77" s="100">
        <v>0</v>
      </c>
      <c r="M77" s="100">
        <v>0</v>
      </c>
      <c r="N77" s="100">
        <v>0</v>
      </c>
      <c r="O77" s="100">
        <v>0.2</v>
      </c>
      <c r="P77" s="100">
        <v>11.2</v>
      </c>
      <c r="Q77" s="100">
        <v>15.8</v>
      </c>
      <c r="R77" s="100">
        <v>1.2</v>
      </c>
      <c r="S77" s="100">
        <v>0</v>
      </c>
      <c r="T77" s="100">
        <v>0</v>
      </c>
      <c r="U77" s="100">
        <v>0</v>
      </c>
    </row>
    <row r="78" spans="1:21">
      <c r="A78" s="97" t="s">
        <v>691</v>
      </c>
      <c r="B78" s="97" t="s">
        <v>689</v>
      </c>
      <c r="D78" s="97" t="s">
        <v>691</v>
      </c>
      <c r="E78" s="97" t="s">
        <v>689</v>
      </c>
      <c r="F78" s="94" t="s">
        <v>692</v>
      </c>
      <c r="G78" s="97">
        <v>1</v>
      </c>
      <c r="H78" s="98" t="s">
        <v>538</v>
      </c>
      <c r="I78" s="99" t="str">
        <f t="shared" si="1"/>
        <v>고창군|1</v>
      </c>
      <c r="J78" s="100">
        <v>0</v>
      </c>
      <c r="K78" s="100">
        <v>0</v>
      </c>
      <c r="L78" s="100">
        <v>0</v>
      </c>
      <c r="M78" s="100">
        <v>0</v>
      </c>
      <c r="N78" s="100">
        <v>0</v>
      </c>
      <c r="O78" s="100">
        <v>0.2</v>
      </c>
      <c r="P78" s="100">
        <v>12.3</v>
      </c>
      <c r="Q78" s="100">
        <v>16.600000000000001</v>
      </c>
      <c r="R78" s="100">
        <v>1.4</v>
      </c>
      <c r="S78" s="100">
        <v>0</v>
      </c>
      <c r="T78" s="100">
        <v>0</v>
      </c>
      <c r="U78" s="100">
        <v>0</v>
      </c>
    </row>
    <row r="79" spans="1:21">
      <c r="A79" s="97" t="s">
        <v>693</v>
      </c>
      <c r="B79" s="97" t="s">
        <v>689</v>
      </c>
      <c r="D79" s="97" t="s">
        <v>693</v>
      </c>
      <c r="E79" s="97" t="s">
        <v>689</v>
      </c>
      <c r="F79" s="94" t="s">
        <v>694</v>
      </c>
      <c r="G79" s="97">
        <v>1</v>
      </c>
      <c r="H79" s="98" t="s">
        <v>538</v>
      </c>
      <c r="I79" s="99" t="str">
        <f t="shared" si="1"/>
        <v>군산|1</v>
      </c>
      <c r="J79" s="100">
        <v>0</v>
      </c>
      <c r="K79" s="100">
        <v>0</v>
      </c>
      <c r="L79" s="100">
        <v>0</v>
      </c>
      <c r="M79" s="100">
        <v>0</v>
      </c>
      <c r="N79" s="100">
        <v>0</v>
      </c>
      <c r="O79" s="100">
        <v>0.4</v>
      </c>
      <c r="P79" s="100">
        <v>9.9</v>
      </c>
      <c r="Q79" s="100">
        <v>14.5</v>
      </c>
      <c r="R79" s="100">
        <v>1</v>
      </c>
      <c r="S79" s="100">
        <v>0</v>
      </c>
      <c r="T79" s="100">
        <v>0</v>
      </c>
      <c r="U79" s="100">
        <v>0</v>
      </c>
    </row>
    <row r="80" spans="1:21">
      <c r="A80" s="97" t="s">
        <v>695</v>
      </c>
      <c r="B80" s="97" t="s">
        <v>689</v>
      </c>
      <c r="D80" s="97" t="s">
        <v>695</v>
      </c>
      <c r="E80" s="97" t="s">
        <v>689</v>
      </c>
      <c r="F80" s="94" t="s">
        <v>696</v>
      </c>
      <c r="G80" s="97">
        <v>1</v>
      </c>
      <c r="H80" s="98" t="s">
        <v>538</v>
      </c>
      <c r="I80" s="99" t="str">
        <f t="shared" si="1"/>
        <v>남원|1</v>
      </c>
      <c r="J80" s="100">
        <v>0</v>
      </c>
      <c r="K80" s="100">
        <v>0</v>
      </c>
      <c r="L80" s="100">
        <v>0</v>
      </c>
      <c r="M80" s="100">
        <v>0</v>
      </c>
      <c r="N80" s="100">
        <v>0</v>
      </c>
      <c r="O80" s="100">
        <v>0.1</v>
      </c>
      <c r="P80" s="100">
        <v>8.1</v>
      </c>
      <c r="Q80" s="100">
        <v>13.1</v>
      </c>
      <c r="R80" s="100">
        <v>1.1000000000000001</v>
      </c>
      <c r="S80" s="100">
        <v>0</v>
      </c>
      <c r="T80" s="100">
        <v>0</v>
      </c>
      <c r="U80" s="100">
        <v>0</v>
      </c>
    </row>
    <row r="81" spans="1:21">
      <c r="A81" s="97" t="s">
        <v>697</v>
      </c>
      <c r="B81" s="97" t="s">
        <v>689</v>
      </c>
      <c r="D81" s="97" t="s">
        <v>697</v>
      </c>
      <c r="E81" s="97" t="s">
        <v>689</v>
      </c>
      <c r="F81" s="94" t="s">
        <v>698</v>
      </c>
      <c r="G81" s="97">
        <v>1</v>
      </c>
      <c r="H81" s="98" t="s">
        <v>538</v>
      </c>
      <c r="I81" s="99" t="str">
        <f t="shared" si="1"/>
        <v>부안|1</v>
      </c>
      <c r="J81" s="100">
        <v>0</v>
      </c>
      <c r="K81" s="100">
        <v>0</v>
      </c>
      <c r="L81" s="100">
        <v>0</v>
      </c>
      <c r="M81" s="100">
        <v>0</v>
      </c>
      <c r="N81" s="100">
        <v>0</v>
      </c>
      <c r="O81" s="100">
        <v>0.1</v>
      </c>
      <c r="P81" s="100">
        <v>10.1</v>
      </c>
      <c r="Q81" s="100">
        <v>15.4</v>
      </c>
      <c r="R81" s="100">
        <v>1.3</v>
      </c>
      <c r="S81" s="100">
        <v>0</v>
      </c>
      <c r="T81" s="100">
        <v>0</v>
      </c>
      <c r="U81" s="100">
        <v>0</v>
      </c>
    </row>
    <row r="82" spans="1:21">
      <c r="A82" s="97" t="s">
        <v>699</v>
      </c>
      <c r="B82" s="97" t="s">
        <v>689</v>
      </c>
      <c r="D82" s="97" t="s">
        <v>699</v>
      </c>
      <c r="E82" s="97" t="s">
        <v>689</v>
      </c>
      <c r="F82" s="94" t="s">
        <v>700</v>
      </c>
      <c r="G82" s="97">
        <v>1</v>
      </c>
      <c r="H82" s="98" t="s">
        <v>538</v>
      </c>
      <c r="I82" s="99" t="str">
        <f t="shared" si="1"/>
        <v>순창군|1</v>
      </c>
      <c r="J82" s="100">
        <v>0</v>
      </c>
      <c r="K82" s="100">
        <v>0</v>
      </c>
      <c r="L82" s="100">
        <v>0</v>
      </c>
      <c r="M82" s="100">
        <v>0</v>
      </c>
      <c r="N82" s="100">
        <v>0</v>
      </c>
      <c r="O82" s="100">
        <v>0.1</v>
      </c>
      <c r="P82" s="100">
        <v>8.9</v>
      </c>
      <c r="Q82" s="100">
        <v>13.8</v>
      </c>
      <c r="R82" s="100">
        <v>1.3</v>
      </c>
      <c r="S82" s="100">
        <v>0</v>
      </c>
      <c r="T82" s="100">
        <v>0</v>
      </c>
      <c r="U82" s="100">
        <v>0</v>
      </c>
    </row>
    <row r="83" spans="1:21">
      <c r="A83" s="97" t="s">
        <v>701</v>
      </c>
      <c r="B83" s="97" t="s">
        <v>689</v>
      </c>
      <c r="D83" s="97" t="s">
        <v>701</v>
      </c>
      <c r="E83" s="97" t="s">
        <v>689</v>
      </c>
      <c r="F83" s="94" t="s">
        <v>702</v>
      </c>
      <c r="G83" s="97">
        <v>1</v>
      </c>
      <c r="H83" s="98" t="s">
        <v>538</v>
      </c>
      <c r="I83" s="99" t="str">
        <f t="shared" si="1"/>
        <v>임실|1</v>
      </c>
      <c r="J83" s="100">
        <v>0</v>
      </c>
      <c r="K83" s="100">
        <v>0</v>
      </c>
      <c r="L83" s="100">
        <v>0</v>
      </c>
      <c r="M83" s="100">
        <v>0</v>
      </c>
      <c r="N83" s="100">
        <v>0</v>
      </c>
      <c r="O83" s="100">
        <v>0</v>
      </c>
      <c r="P83" s="100">
        <v>6.7</v>
      </c>
      <c r="Q83" s="100">
        <v>10.199999999999999</v>
      </c>
      <c r="R83" s="100">
        <v>0.6</v>
      </c>
      <c r="S83" s="100">
        <v>0</v>
      </c>
      <c r="T83" s="100">
        <v>0</v>
      </c>
      <c r="U83" s="100">
        <v>0</v>
      </c>
    </row>
    <row r="84" spans="1:21">
      <c r="A84" s="97" t="s">
        <v>703</v>
      </c>
      <c r="B84" s="97" t="s">
        <v>689</v>
      </c>
      <c r="D84" s="97" t="s">
        <v>703</v>
      </c>
      <c r="E84" s="97" t="s">
        <v>689</v>
      </c>
      <c r="F84" s="94" t="s">
        <v>704</v>
      </c>
      <c r="G84" s="97">
        <v>1</v>
      </c>
      <c r="H84" s="98" t="s">
        <v>538</v>
      </c>
      <c r="I84" s="99" t="str">
        <f t="shared" si="1"/>
        <v>장수|1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0">
        <v>0</v>
      </c>
      <c r="P84" s="100">
        <v>2.6</v>
      </c>
      <c r="Q84" s="100">
        <v>5.6</v>
      </c>
      <c r="R84" s="100">
        <v>0.3</v>
      </c>
      <c r="S84" s="100">
        <v>0</v>
      </c>
      <c r="T84" s="100">
        <v>0</v>
      </c>
      <c r="U84" s="100">
        <v>0</v>
      </c>
    </row>
    <row r="85" spans="1:21">
      <c r="A85" s="97" t="s">
        <v>705</v>
      </c>
      <c r="B85" s="97" t="s">
        <v>689</v>
      </c>
      <c r="D85" s="97" t="s">
        <v>705</v>
      </c>
      <c r="E85" s="97" t="s">
        <v>689</v>
      </c>
      <c r="F85" s="94" t="s">
        <v>706</v>
      </c>
      <c r="G85" s="97">
        <v>1</v>
      </c>
      <c r="H85" s="98" t="s">
        <v>538</v>
      </c>
      <c r="I85" s="99" t="str">
        <f t="shared" si="1"/>
        <v>전주|1</v>
      </c>
      <c r="J85" s="100">
        <v>0</v>
      </c>
      <c r="K85" s="100">
        <v>0</v>
      </c>
      <c r="L85" s="100">
        <v>0</v>
      </c>
      <c r="M85" s="100">
        <v>0</v>
      </c>
      <c r="N85" s="100">
        <v>0</v>
      </c>
      <c r="O85" s="100">
        <v>0.6</v>
      </c>
      <c r="P85" s="100">
        <v>12.4</v>
      </c>
      <c r="Q85" s="100">
        <v>16.600000000000001</v>
      </c>
      <c r="R85" s="100">
        <v>1.6</v>
      </c>
      <c r="S85" s="100">
        <v>0</v>
      </c>
      <c r="T85" s="100">
        <v>0</v>
      </c>
      <c r="U85" s="100">
        <v>0</v>
      </c>
    </row>
    <row r="86" spans="1:21">
      <c r="A86" s="97" t="s">
        <v>707</v>
      </c>
      <c r="B86" s="97" t="s">
        <v>689</v>
      </c>
      <c r="D86" s="97" t="s">
        <v>707</v>
      </c>
      <c r="E86" s="97" t="s">
        <v>689</v>
      </c>
      <c r="F86" s="94" t="s">
        <v>708</v>
      </c>
      <c r="G86" s="97">
        <v>1</v>
      </c>
      <c r="H86" s="98" t="s">
        <v>538</v>
      </c>
      <c r="I86" s="99" t="str">
        <f t="shared" si="1"/>
        <v>정읍|1</v>
      </c>
      <c r="J86" s="100">
        <v>0</v>
      </c>
      <c r="K86" s="100">
        <v>0</v>
      </c>
      <c r="L86" s="100">
        <v>0</v>
      </c>
      <c r="M86" s="100">
        <v>0</v>
      </c>
      <c r="N86" s="100">
        <v>0</v>
      </c>
      <c r="O86" s="100">
        <v>0.2</v>
      </c>
      <c r="P86" s="100">
        <v>12.2</v>
      </c>
      <c r="Q86" s="100">
        <v>15.8</v>
      </c>
      <c r="R86" s="100">
        <v>1.2</v>
      </c>
      <c r="S86" s="100">
        <v>0</v>
      </c>
      <c r="T86" s="100">
        <v>0</v>
      </c>
      <c r="U86" s="100">
        <v>0</v>
      </c>
    </row>
    <row r="87" spans="1:21">
      <c r="A87" s="97" t="s">
        <v>709</v>
      </c>
      <c r="B87" s="97" t="s">
        <v>710</v>
      </c>
      <c r="D87" s="97" t="s">
        <v>709</v>
      </c>
      <c r="E87" s="97" t="s">
        <v>710</v>
      </c>
      <c r="F87" s="94" t="s">
        <v>711</v>
      </c>
      <c r="G87" s="97">
        <v>1</v>
      </c>
      <c r="H87" s="98" t="s">
        <v>538</v>
      </c>
      <c r="I87" s="99" t="str">
        <f t="shared" si="1"/>
        <v>고산|1</v>
      </c>
      <c r="J87" s="100">
        <v>0</v>
      </c>
      <c r="K87" s="100">
        <v>0</v>
      </c>
      <c r="L87" s="100">
        <v>0</v>
      </c>
      <c r="M87" s="100">
        <v>0</v>
      </c>
      <c r="N87" s="100">
        <v>0</v>
      </c>
      <c r="O87" s="100">
        <v>0</v>
      </c>
      <c r="P87" s="100">
        <v>6.5</v>
      </c>
      <c r="Q87" s="100">
        <v>15.3</v>
      </c>
      <c r="R87" s="100">
        <v>1</v>
      </c>
      <c r="S87" s="100">
        <v>0</v>
      </c>
      <c r="T87" s="100">
        <v>0</v>
      </c>
      <c r="U87" s="100">
        <v>0</v>
      </c>
    </row>
    <row r="88" spans="1:21">
      <c r="A88" s="97" t="s">
        <v>712</v>
      </c>
      <c r="B88" s="97" t="s">
        <v>710</v>
      </c>
      <c r="D88" s="97" t="s">
        <v>712</v>
      </c>
      <c r="E88" s="97" t="s">
        <v>710</v>
      </c>
      <c r="F88" s="94" t="s">
        <v>713</v>
      </c>
      <c r="G88" s="97">
        <v>1</v>
      </c>
      <c r="H88" s="98" t="s">
        <v>538</v>
      </c>
      <c r="I88" s="99" t="str">
        <f t="shared" si="1"/>
        <v>서귀포|1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0">
        <v>0</v>
      </c>
      <c r="P88" s="100">
        <v>6.1</v>
      </c>
      <c r="Q88" s="100">
        <v>16.2</v>
      </c>
      <c r="R88" s="100">
        <v>1.7</v>
      </c>
      <c r="S88" s="100">
        <v>0</v>
      </c>
      <c r="T88" s="100">
        <v>0</v>
      </c>
      <c r="U88" s="100">
        <v>0</v>
      </c>
    </row>
    <row r="89" spans="1:21">
      <c r="A89" s="97" t="s">
        <v>714</v>
      </c>
      <c r="B89" s="97" t="s">
        <v>710</v>
      </c>
      <c r="D89" s="97" t="s">
        <v>714</v>
      </c>
      <c r="E89" s="97" t="s">
        <v>710</v>
      </c>
      <c r="F89" s="94" t="s">
        <v>715</v>
      </c>
      <c r="G89" s="97">
        <v>1</v>
      </c>
      <c r="H89" s="98" t="s">
        <v>538</v>
      </c>
      <c r="I89" s="99" t="str">
        <f t="shared" si="1"/>
        <v>성산|1</v>
      </c>
      <c r="J89" s="100">
        <v>0</v>
      </c>
      <c r="K89" s="100">
        <v>0</v>
      </c>
      <c r="L89" s="100">
        <v>0</v>
      </c>
      <c r="M89" s="100">
        <v>0</v>
      </c>
      <c r="N89" s="100">
        <v>0</v>
      </c>
      <c r="O89" s="100">
        <v>0</v>
      </c>
      <c r="P89" s="100">
        <v>8</v>
      </c>
      <c r="Q89" s="100">
        <v>15.8</v>
      </c>
      <c r="R89" s="100">
        <v>1.8</v>
      </c>
      <c r="S89" s="100">
        <v>0</v>
      </c>
      <c r="T89" s="100">
        <v>0</v>
      </c>
      <c r="U89" s="100">
        <v>0</v>
      </c>
    </row>
    <row r="90" spans="1:21">
      <c r="A90" s="97" t="s">
        <v>716</v>
      </c>
      <c r="B90" s="97" t="s">
        <v>710</v>
      </c>
      <c r="D90" s="97" t="s">
        <v>716</v>
      </c>
      <c r="E90" s="97" t="s">
        <v>710</v>
      </c>
      <c r="F90" s="94" t="s">
        <v>717</v>
      </c>
      <c r="G90" s="97">
        <v>1</v>
      </c>
      <c r="H90" s="98" t="s">
        <v>538</v>
      </c>
      <c r="I90" s="99" t="str">
        <f t="shared" si="1"/>
        <v>제주|1</v>
      </c>
      <c r="J90" s="100">
        <v>0</v>
      </c>
      <c r="K90" s="100">
        <v>0</v>
      </c>
      <c r="L90" s="100">
        <v>0</v>
      </c>
      <c r="M90" s="100">
        <v>0</v>
      </c>
      <c r="N90" s="100">
        <v>0</v>
      </c>
      <c r="O90" s="100">
        <v>0.7</v>
      </c>
      <c r="P90" s="100">
        <v>13</v>
      </c>
      <c r="Q90" s="100">
        <v>18.399999999999999</v>
      </c>
      <c r="R90" s="100">
        <v>1.5</v>
      </c>
      <c r="S90" s="100">
        <v>0</v>
      </c>
      <c r="T90" s="100">
        <v>0</v>
      </c>
      <c r="U90" s="100">
        <v>0</v>
      </c>
    </row>
    <row r="91" spans="1:21">
      <c r="A91" s="97" t="s">
        <v>718</v>
      </c>
      <c r="B91" s="97" t="s">
        <v>719</v>
      </c>
      <c r="D91" s="97" t="s">
        <v>718</v>
      </c>
      <c r="E91" s="97" t="s">
        <v>719</v>
      </c>
      <c r="F91" s="94" t="s">
        <v>720</v>
      </c>
      <c r="G91" s="97">
        <v>1</v>
      </c>
      <c r="H91" s="98" t="s">
        <v>538</v>
      </c>
      <c r="I91" s="99" t="str">
        <f t="shared" si="1"/>
        <v>금산|1</v>
      </c>
      <c r="J91" s="100">
        <v>0</v>
      </c>
      <c r="K91" s="100">
        <v>0</v>
      </c>
      <c r="L91" s="100">
        <v>0</v>
      </c>
      <c r="M91" s="100">
        <v>0</v>
      </c>
      <c r="N91" s="100">
        <v>0</v>
      </c>
      <c r="O91" s="100">
        <v>0</v>
      </c>
      <c r="P91" s="100">
        <v>8.4</v>
      </c>
      <c r="Q91" s="100">
        <v>13</v>
      </c>
      <c r="R91" s="100">
        <v>1</v>
      </c>
      <c r="S91" s="100">
        <v>0</v>
      </c>
      <c r="T91" s="100">
        <v>0</v>
      </c>
      <c r="U91" s="100">
        <v>0</v>
      </c>
    </row>
    <row r="92" spans="1:21">
      <c r="A92" s="97" t="s">
        <v>721</v>
      </c>
      <c r="B92" s="97" t="s">
        <v>719</v>
      </c>
      <c r="D92" s="97" t="s">
        <v>721</v>
      </c>
      <c r="E92" s="97" t="s">
        <v>719</v>
      </c>
      <c r="F92" s="94" t="s">
        <v>722</v>
      </c>
      <c r="G92" s="97">
        <v>1</v>
      </c>
      <c r="H92" s="98" t="s">
        <v>538</v>
      </c>
      <c r="I92" s="99" t="str">
        <f t="shared" si="1"/>
        <v>보령|1</v>
      </c>
      <c r="J92" s="100">
        <v>0</v>
      </c>
      <c r="K92" s="100">
        <v>0</v>
      </c>
      <c r="L92" s="100">
        <v>0</v>
      </c>
      <c r="M92" s="100">
        <v>0</v>
      </c>
      <c r="N92" s="100">
        <v>0</v>
      </c>
      <c r="O92" s="100">
        <v>0</v>
      </c>
      <c r="P92" s="100">
        <v>7.5</v>
      </c>
      <c r="Q92" s="100">
        <v>12.8</v>
      </c>
      <c r="R92" s="100">
        <v>1.1000000000000001</v>
      </c>
      <c r="S92" s="100">
        <v>0</v>
      </c>
      <c r="T92" s="100">
        <v>0</v>
      </c>
      <c r="U92" s="100">
        <v>0</v>
      </c>
    </row>
    <row r="93" spans="1:21">
      <c r="A93" s="97" t="s">
        <v>723</v>
      </c>
      <c r="B93" s="97" t="s">
        <v>719</v>
      </c>
      <c r="D93" s="97" t="s">
        <v>723</v>
      </c>
      <c r="E93" s="97" t="s">
        <v>719</v>
      </c>
      <c r="F93" s="94" t="s">
        <v>724</v>
      </c>
      <c r="G93" s="97">
        <v>1</v>
      </c>
      <c r="H93" s="98" t="s">
        <v>538</v>
      </c>
      <c r="I93" s="99" t="str">
        <f t="shared" si="1"/>
        <v>부여|1</v>
      </c>
      <c r="J93" s="100">
        <v>0</v>
      </c>
      <c r="K93" s="100">
        <v>0</v>
      </c>
      <c r="L93" s="100">
        <v>0</v>
      </c>
      <c r="M93" s="100">
        <v>0</v>
      </c>
      <c r="N93" s="100">
        <v>0</v>
      </c>
      <c r="O93" s="100">
        <v>0.3</v>
      </c>
      <c r="P93" s="100">
        <v>11.1</v>
      </c>
      <c r="Q93" s="100">
        <v>14.7</v>
      </c>
      <c r="R93" s="100">
        <v>1.1000000000000001</v>
      </c>
      <c r="S93" s="100">
        <v>0</v>
      </c>
      <c r="T93" s="100">
        <v>0</v>
      </c>
      <c r="U93" s="100">
        <v>0</v>
      </c>
    </row>
    <row r="94" spans="1:21">
      <c r="A94" s="97" t="s">
        <v>91</v>
      </c>
      <c r="B94" s="97" t="s">
        <v>719</v>
      </c>
      <c r="D94" s="97" t="s">
        <v>91</v>
      </c>
      <c r="E94" s="97" t="s">
        <v>719</v>
      </c>
      <c r="F94" s="94" t="s">
        <v>725</v>
      </c>
      <c r="G94" s="97">
        <v>1</v>
      </c>
      <c r="H94" s="98" t="s">
        <v>538</v>
      </c>
      <c r="I94" s="99" t="str">
        <f t="shared" si="1"/>
        <v>서산|1</v>
      </c>
      <c r="J94" s="100">
        <v>0</v>
      </c>
      <c r="K94" s="100">
        <v>0</v>
      </c>
      <c r="L94" s="100">
        <v>0</v>
      </c>
      <c r="M94" s="100">
        <v>0</v>
      </c>
      <c r="N94" s="100">
        <v>0</v>
      </c>
      <c r="O94" s="100">
        <v>0.1</v>
      </c>
      <c r="P94" s="100">
        <v>8.6</v>
      </c>
      <c r="Q94" s="100">
        <v>12.9</v>
      </c>
      <c r="R94" s="100">
        <v>0.7</v>
      </c>
      <c r="S94" s="100">
        <v>0</v>
      </c>
      <c r="T94" s="100">
        <v>0</v>
      </c>
      <c r="U94" s="100">
        <v>0</v>
      </c>
    </row>
    <row r="95" spans="1:21">
      <c r="A95" s="97" t="s">
        <v>726</v>
      </c>
      <c r="B95" s="97" t="s">
        <v>719</v>
      </c>
      <c r="D95" s="97" t="s">
        <v>726</v>
      </c>
      <c r="E95" s="97" t="s">
        <v>719</v>
      </c>
      <c r="F95" s="94" t="s">
        <v>727</v>
      </c>
      <c r="G95" s="97">
        <v>1</v>
      </c>
      <c r="H95" s="98" t="s">
        <v>538</v>
      </c>
      <c r="I95" s="99" t="str">
        <f t="shared" si="1"/>
        <v>천안|1</v>
      </c>
      <c r="J95" s="100">
        <v>0</v>
      </c>
      <c r="K95" s="100">
        <v>0</v>
      </c>
      <c r="L95" s="100">
        <v>0</v>
      </c>
      <c r="M95" s="100">
        <v>0</v>
      </c>
      <c r="N95" s="100">
        <v>0</v>
      </c>
      <c r="O95" s="100">
        <v>0</v>
      </c>
      <c r="P95" s="100">
        <v>6.5</v>
      </c>
      <c r="Q95" s="100">
        <v>10.7</v>
      </c>
      <c r="R95" s="100">
        <v>0.6</v>
      </c>
      <c r="S95" s="100">
        <v>0</v>
      </c>
      <c r="T95" s="100">
        <v>0</v>
      </c>
      <c r="U95" s="100">
        <v>0</v>
      </c>
    </row>
    <row r="96" spans="1:21">
      <c r="A96" s="97" t="s">
        <v>728</v>
      </c>
      <c r="B96" s="97" t="s">
        <v>719</v>
      </c>
      <c r="D96" s="97" t="s">
        <v>728</v>
      </c>
      <c r="E96" s="97" t="s">
        <v>719</v>
      </c>
      <c r="F96" s="94" t="s">
        <v>729</v>
      </c>
      <c r="G96" s="97">
        <v>1</v>
      </c>
      <c r="H96" s="98" t="s">
        <v>538</v>
      </c>
      <c r="I96" s="99" t="str">
        <f t="shared" si="1"/>
        <v>홍성|1</v>
      </c>
      <c r="J96" s="100">
        <v>0</v>
      </c>
      <c r="K96" s="100">
        <v>0</v>
      </c>
      <c r="L96" s="100">
        <v>0</v>
      </c>
      <c r="M96" s="100">
        <v>0</v>
      </c>
      <c r="N96" s="100">
        <v>0</v>
      </c>
      <c r="O96" s="100">
        <v>0</v>
      </c>
      <c r="P96" s="100">
        <v>11.2</v>
      </c>
      <c r="Q96" s="100">
        <v>14.3</v>
      </c>
      <c r="R96" s="100">
        <v>1</v>
      </c>
      <c r="S96" s="100">
        <v>0</v>
      </c>
      <c r="T96" s="100">
        <v>0</v>
      </c>
      <c r="U96" s="100">
        <v>0</v>
      </c>
    </row>
    <row r="97" spans="1:21">
      <c r="A97" s="97" t="s">
        <v>730</v>
      </c>
      <c r="B97" s="97" t="s">
        <v>731</v>
      </c>
      <c r="D97" s="97" t="s">
        <v>730</v>
      </c>
      <c r="E97" s="97" t="s">
        <v>731</v>
      </c>
      <c r="F97" s="94" t="s">
        <v>732</v>
      </c>
      <c r="G97" s="97">
        <v>1</v>
      </c>
      <c r="H97" s="98" t="s">
        <v>538</v>
      </c>
      <c r="I97" s="99" t="str">
        <f t="shared" si="1"/>
        <v>보은|1</v>
      </c>
      <c r="J97" s="100">
        <v>0</v>
      </c>
      <c r="K97" s="100">
        <v>0</v>
      </c>
      <c r="L97" s="100">
        <v>0</v>
      </c>
      <c r="M97" s="100">
        <v>0</v>
      </c>
      <c r="N97" s="100">
        <v>0</v>
      </c>
      <c r="O97" s="100">
        <v>0</v>
      </c>
      <c r="P97" s="100">
        <v>6.7</v>
      </c>
      <c r="Q97" s="100">
        <v>8.9</v>
      </c>
      <c r="R97" s="100">
        <v>0.4</v>
      </c>
      <c r="S97" s="100">
        <v>0</v>
      </c>
      <c r="T97" s="100">
        <v>0</v>
      </c>
      <c r="U97" s="100">
        <v>0</v>
      </c>
    </row>
    <row r="98" spans="1:21">
      <c r="A98" s="97" t="s">
        <v>733</v>
      </c>
      <c r="B98" s="97" t="s">
        <v>731</v>
      </c>
      <c r="D98" s="97" t="s">
        <v>733</v>
      </c>
      <c r="E98" s="97" t="s">
        <v>731</v>
      </c>
      <c r="F98" s="94" t="s">
        <v>734</v>
      </c>
      <c r="G98" s="97">
        <v>1</v>
      </c>
      <c r="H98" s="98" t="s">
        <v>538</v>
      </c>
      <c r="I98" s="99" t="str">
        <f t="shared" si="1"/>
        <v>제천|1</v>
      </c>
      <c r="J98" s="100">
        <v>0</v>
      </c>
      <c r="K98" s="100">
        <v>0</v>
      </c>
      <c r="L98" s="100">
        <v>0</v>
      </c>
      <c r="M98" s="100">
        <v>0</v>
      </c>
      <c r="N98" s="100">
        <v>0</v>
      </c>
      <c r="O98" s="100">
        <v>0</v>
      </c>
      <c r="P98" s="100">
        <v>4.4000000000000004</v>
      </c>
      <c r="Q98" s="100">
        <v>7.4</v>
      </c>
      <c r="R98" s="100">
        <v>0.1</v>
      </c>
      <c r="S98" s="100">
        <v>0</v>
      </c>
      <c r="T98" s="100">
        <v>0</v>
      </c>
      <c r="U98" s="100">
        <v>0</v>
      </c>
    </row>
    <row r="99" spans="1:21">
      <c r="A99" s="97" t="s">
        <v>735</v>
      </c>
      <c r="B99" s="97" t="s">
        <v>731</v>
      </c>
      <c r="D99" s="97" t="s">
        <v>735</v>
      </c>
      <c r="E99" s="97" t="s">
        <v>731</v>
      </c>
      <c r="F99" s="94" t="s">
        <v>736</v>
      </c>
      <c r="G99" s="97">
        <v>1</v>
      </c>
      <c r="H99" s="98" t="s">
        <v>538</v>
      </c>
      <c r="I99" s="99" t="str">
        <f t="shared" si="1"/>
        <v>청주|1</v>
      </c>
      <c r="J99" s="100">
        <v>0</v>
      </c>
      <c r="K99" s="100">
        <v>0</v>
      </c>
      <c r="L99" s="100">
        <v>0</v>
      </c>
      <c r="M99" s="100">
        <v>0</v>
      </c>
      <c r="N99" s="100">
        <v>0</v>
      </c>
      <c r="O99" s="100">
        <v>0.5</v>
      </c>
      <c r="P99" s="100">
        <v>9</v>
      </c>
      <c r="Q99" s="100">
        <v>13.3</v>
      </c>
      <c r="R99" s="100">
        <v>0.9</v>
      </c>
      <c r="S99" s="100">
        <v>0</v>
      </c>
      <c r="T99" s="100">
        <v>0</v>
      </c>
      <c r="U99" s="100">
        <v>0</v>
      </c>
    </row>
    <row r="100" spans="1:21">
      <c r="A100" s="97" t="s">
        <v>737</v>
      </c>
      <c r="B100" s="97" t="s">
        <v>731</v>
      </c>
      <c r="D100" s="97" t="s">
        <v>737</v>
      </c>
      <c r="E100" s="97" t="s">
        <v>731</v>
      </c>
      <c r="F100" s="94" t="s">
        <v>738</v>
      </c>
      <c r="G100" s="97">
        <v>1</v>
      </c>
      <c r="H100" s="98" t="s">
        <v>538</v>
      </c>
      <c r="I100" s="99" t="str">
        <f t="shared" si="1"/>
        <v>추풍령|1</v>
      </c>
      <c r="J100" s="100">
        <v>0</v>
      </c>
      <c r="K100" s="100">
        <v>0</v>
      </c>
      <c r="L100" s="100">
        <v>0</v>
      </c>
      <c r="M100" s="100">
        <v>0</v>
      </c>
      <c r="N100" s="100">
        <v>0</v>
      </c>
      <c r="O100" s="100">
        <v>0</v>
      </c>
      <c r="P100" s="100">
        <v>4.7</v>
      </c>
      <c r="Q100" s="100">
        <v>7.5</v>
      </c>
      <c r="R100" s="100">
        <v>0.5</v>
      </c>
      <c r="S100" s="100">
        <v>0</v>
      </c>
      <c r="T100" s="100">
        <v>0</v>
      </c>
      <c r="U100" s="100">
        <v>0</v>
      </c>
    </row>
    <row r="101" spans="1:21">
      <c r="A101" s="97" t="s">
        <v>739</v>
      </c>
      <c r="B101" s="97" t="s">
        <v>731</v>
      </c>
      <c r="D101" s="97" t="s">
        <v>739</v>
      </c>
      <c r="E101" s="97" t="s">
        <v>731</v>
      </c>
      <c r="F101" s="94" t="s">
        <v>740</v>
      </c>
      <c r="G101" s="97">
        <v>1</v>
      </c>
      <c r="H101" s="98" t="s">
        <v>538</v>
      </c>
      <c r="I101" s="99" t="str">
        <f t="shared" si="1"/>
        <v>충주|1</v>
      </c>
      <c r="J101" s="100">
        <v>0</v>
      </c>
      <c r="K101" s="100">
        <v>0</v>
      </c>
      <c r="L101" s="100">
        <v>0</v>
      </c>
      <c r="M101" s="100">
        <v>0</v>
      </c>
      <c r="N101" s="100">
        <v>0</v>
      </c>
      <c r="O101" s="100">
        <v>0.1</v>
      </c>
      <c r="P101" s="100">
        <v>8.3000000000000007</v>
      </c>
      <c r="Q101" s="100">
        <v>12.9</v>
      </c>
      <c r="R101" s="100">
        <v>0.8</v>
      </c>
      <c r="S101" s="100">
        <v>0</v>
      </c>
      <c r="T101" s="100">
        <v>0</v>
      </c>
      <c r="U101" s="100">
        <v>0</v>
      </c>
    </row>
    <row r="102" spans="1:21">
      <c r="D102" s="97" t="s">
        <v>535</v>
      </c>
      <c r="E102" s="97" t="s">
        <v>536</v>
      </c>
      <c r="F102" s="94" t="s">
        <v>537</v>
      </c>
      <c r="G102" s="97">
        <v>2</v>
      </c>
      <c r="H102" s="98" t="s">
        <v>741</v>
      </c>
      <c r="I102" s="99" t="str">
        <f t="shared" si="1"/>
        <v>강릉|2</v>
      </c>
      <c r="J102" s="100">
        <v>0</v>
      </c>
      <c r="K102" s="100">
        <v>0</v>
      </c>
      <c r="L102" s="100">
        <v>0</v>
      </c>
      <c r="M102" s="100">
        <v>0</v>
      </c>
      <c r="N102" s="100">
        <v>0</v>
      </c>
      <c r="O102" s="100">
        <v>0</v>
      </c>
      <c r="P102" s="100">
        <v>2.2000000000000002</v>
      </c>
      <c r="Q102" s="100">
        <v>3.2</v>
      </c>
      <c r="R102" s="100">
        <v>0</v>
      </c>
      <c r="S102" s="100">
        <v>0</v>
      </c>
      <c r="T102" s="100">
        <v>0</v>
      </c>
      <c r="U102" s="100">
        <v>0</v>
      </c>
    </row>
    <row r="103" spans="1:21">
      <c r="D103" s="97" t="s">
        <v>539</v>
      </c>
      <c r="E103" s="97" t="s">
        <v>536</v>
      </c>
      <c r="F103" s="94" t="s">
        <v>540</v>
      </c>
      <c r="G103" s="97">
        <v>2</v>
      </c>
      <c r="H103" s="98" t="s">
        <v>741</v>
      </c>
      <c r="I103" s="99" t="str">
        <f t="shared" si="1"/>
        <v>대관령|2</v>
      </c>
      <c r="J103" s="100">
        <v>0</v>
      </c>
      <c r="K103" s="100">
        <v>0</v>
      </c>
      <c r="L103" s="100">
        <v>0</v>
      </c>
      <c r="M103" s="100">
        <v>0</v>
      </c>
      <c r="N103" s="100">
        <v>0</v>
      </c>
      <c r="O103" s="100">
        <v>0</v>
      </c>
      <c r="P103" s="100">
        <v>0</v>
      </c>
      <c r="Q103" s="100">
        <v>0</v>
      </c>
      <c r="R103" s="100">
        <v>0</v>
      </c>
      <c r="S103" s="100">
        <v>0</v>
      </c>
      <c r="T103" s="100">
        <v>0</v>
      </c>
      <c r="U103" s="100">
        <v>0</v>
      </c>
    </row>
    <row r="104" spans="1:21">
      <c r="D104" s="97" t="s">
        <v>541</v>
      </c>
      <c r="E104" s="97" t="s">
        <v>536</v>
      </c>
      <c r="F104" s="94" t="s">
        <v>542</v>
      </c>
      <c r="G104" s="97">
        <v>2</v>
      </c>
      <c r="H104" s="98" t="s">
        <v>741</v>
      </c>
      <c r="I104" s="99" t="str">
        <f t="shared" si="1"/>
        <v>동해|2</v>
      </c>
      <c r="J104" s="100">
        <v>0</v>
      </c>
      <c r="K104" s="100">
        <v>0</v>
      </c>
      <c r="L104" s="100">
        <v>0</v>
      </c>
      <c r="M104" s="100">
        <v>0</v>
      </c>
      <c r="N104" s="100">
        <v>0</v>
      </c>
      <c r="O104" s="100">
        <v>0</v>
      </c>
      <c r="P104" s="100">
        <v>0.6</v>
      </c>
      <c r="Q104" s="100">
        <v>0.8</v>
      </c>
      <c r="R104" s="100">
        <v>0</v>
      </c>
      <c r="S104" s="100">
        <v>0</v>
      </c>
      <c r="T104" s="100">
        <v>0</v>
      </c>
      <c r="U104" s="100">
        <v>0</v>
      </c>
    </row>
    <row r="105" spans="1:21">
      <c r="D105" s="97" t="s">
        <v>543</v>
      </c>
      <c r="E105" s="97" t="s">
        <v>536</v>
      </c>
      <c r="F105" s="94" t="s">
        <v>544</v>
      </c>
      <c r="G105" s="97">
        <v>2</v>
      </c>
      <c r="H105" s="98" t="s">
        <v>741</v>
      </c>
      <c r="I105" s="99" t="str">
        <f t="shared" si="1"/>
        <v>북강릉|2</v>
      </c>
      <c r="J105" s="100">
        <v>0</v>
      </c>
      <c r="K105" s="100">
        <v>0</v>
      </c>
      <c r="L105" s="100">
        <v>0</v>
      </c>
      <c r="M105" s="100">
        <v>0</v>
      </c>
      <c r="N105" s="100">
        <v>0</v>
      </c>
      <c r="O105" s="100">
        <v>0</v>
      </c>
      <c r="P105" s="100">
        <v>0</v>
      </c>
      <c r="Q105" s="100">
        <v>0.7</v>
      </c>
      <c r="R105" s="100">
        <v>0</v>
      </c>
      <c r="S105" s="100">
        <v>0</v>
      </c>
      <c r="T105" s="100">
        <v>0</v>
      </c>
      <c r="U105" s="100">
        <v>0</v>
      </c>
    </row>
    <row r="106" spans="1:21">
      <c r="D106" s="97" t="s">
        <v>545</v>
      </c>
      <c r="E106" s="97" t="s">
        <v>536</v>
      </c>
      <c r="F106" s="94" t="s">
        <v>546</v>
      </c>
      <c r="G106" s="97">
        <v>2</v>
      </c>
      <c r="H106" s="98" t="s">
        <v>741</v>
      </c>
      <c r="I106" s="99" t="str">
        <f t="shared" si="1"/>
        <v>북춘천|2</v>
      </c>
      <c r="J106" s="100">
        <v>0</v>
      </c>
      <c r="K106" s="100">
        <v>0</v>
      </c>
      <c r="L106" s="100">
        <v>0</v>
      </c>
      <c r="M106" s="100">
        <v>0</v>
      </c>
      <c r="N106" s="100">
        <v>0</v>
      </c>
      <c r="O106" s="100">
        <v>0</v>
      </c>
      <c r="P106" s="100">
        <v>2.2999999999999998</v>
      </c>
      <c r="Q106" s="100">
        <v>2.9</v>
      </c>
      <c r="R106" s="100">
        <v>0</v>
      </c>
      <c r="S106" s="100">
        <v>0</v>
      </c>
      <c r="T106" s="100">
        <v>0</v>
      </c>
      <c r="U106" s="100">
        <v>0</v>
      </c>
    </row>
    <row r="107" spans="1:21">
      <c r="D107" s="97" t="s">
        <v>547</v>
      </c>
      <c r="E107" s="97" t="s">
        <v>536</v>
      </c>
      <c r="F107" s="94" t="s">
        <v>548</v>
      </c>
      <c r="G107" s="97">
        <v>2</v>
      </c>
      <c r="H107" s="98" t="s">
        <v>741</v>
      </c>
      <c r="I107" s="99" t="str">
        <f t="shared" si="1"/>
        <v>속초|2</v>
      </c>
      <c r="J107" s="100">
        <v>0</v>
      </c>
      <c r="K107" s="100">
        <v>0</v>
      </c>
      <c r="L107" s="100">
        <v>0</v>
      </c>
      <c r="M107" s="100">
        <v>0</v>
      </c>
      <c r="N107" s="100">
        <v>0</v>
      </c>
      <c r="O107" s="100">
        <v>0</v>
      </c>
      <c r="P107" s="100">
        <v>0.9</v>
      </c>
      <c r="Q107" s="100">
        <v>1.4</v>
      </c>
      <c r="R107" s="100">
        <v>0</v>
      </c>
      <c r="S107" s="100">
        <v>0</v>
      </c>
      <c r="T107" s="100">
        <v>0</v>
      </c>
      <c r="U107" s="100">
        <v>0</v>
      </c>
    </row>
    <row r="108" spans="1:21">
      <c r="D108" s="97" t="s">
        <v>549</v>
      </c>
      <c r="E108" s="97" t="s">
        <v>536</v>
      </c>
      <c r="F108" s="94" t="s">
        <v>550</v>
      </c>
      <c r="G108" s="97">
        <v>2</v>
      </c>
      <c r="H108" s="98" t="s">
        <v>741</v>
      </c>
      <c r="I108" s="99" t="str">
        <f t="shared" si="1"/>
        <v>영월|2</v>
      </c>
      <c r="J108" s="100">
        <v>0</v>
      </c>
      <c r="K108" s="100">
        <v>0</v>
      </c>
      <c r="L108" s="100">
        <v>0</v>
      </c>
      <c r="M108" s="100">
        <v>0</v>
      </c>
      <c r="N108" s="100">
        <v>0</v>
      </c>
      <c r="O108" s="100">
        <v>0</v>
      </c>
      <c r="P108" s="100">
        <v>0.9</v>
      </c>
      <c r="Q108" s="100">
        <v>2.2999999999999998</v>
      </c>
      <c r="R108" s="100">
        <v>0</v>
      </c>
      <c r="S108" s="100">
        <v>0</v>
      </c>
      <c r="T108" s="100">
        <v>0</v>
      </c>
      <c r="U108" s="100">
        <v>0</v>
      </c>
    </row>
    <row r="109" spans="1:21">
      <c r="D109" s="97" t="s">
        <v>551</v>
      </c>
      <c r="E109" s="97" t="s">
        <v>536</v>
      </c>
      <c r="F109" s="94" t="s">
        <v>552</v>
      </c>
      <c r="G109" s="97">
        <v>2</v>
      </c>
      <c r="H109" s="98" t="s">
        <v>741</v>
      </c>
      <c r="I109" s="99" t="str">
        <f t="shared" si="1"/>
        <v>원주|2</v>
      </c>
      <c r="J109" s="100">
        <v>0</v>
      </c>
      <c r="K109" s="100">
        <v>0</v>
      </c>
      <c r="L109" s="100">
        <v>0</v>
      </c>
      <c r="M109" s="100">
        <v>0</v>
      </c>
      <c r="N109" s="100">
        <v>0</v>
      </c>
      <c r="O109" s="100">
        <v>0</v>
      </c>
      <c r="P109" s="100">
        <v>0.6</v>
      </c>
      <c r="Q109" s="100">
        <v>0.7</v>
      </c>
      <c r="R109" s="100">
        <v>0</v>
      </c>
      <c r="S109" s="100">
        <v>0</v>
      </c>
      <c r="T109" s="100">
        <v>0</v>
      </c>
      <c r="U109" s="100">
        <v>0</v>
      </c>
    </row>
    <row r="110" spans="1:21">
      <c r="D110" s="97" t="s">
        <v>553</v>
      </c>
      <c r="E110" s="97" t="s">
        <v>536</v>
      </c>
      <c r="F110" s="94" t="s">
        <v>554</v>
      </c>
      <c r="G110" s="97">
        <v>2</v>
      </c>
      <c r="H110" s="98" t="s">
        <v>741</v>
      </c>
      <c r="I110" s="99" t="str">
        <f t="shared" si="1"/>
        <v>인제|2</v>
      </c>
      <c r="J110" s="100">
        <v>0</v>
      </c>
      <c r="K110" s="100">
        <v>0</v>
      </c>
      <c r="L110" s="100">
        <v>0</v>
      </c>
      <c r="M110" s="100">
        <v>0</v>
      </c>
      <c r="N110" s="100">
        <v>0</v>
      </c>
      <c r="O110" s="100">
        <v>0</v>
      </c>
      <c r="P110" s="100">
        <v>0.3</v>
      </c>
      <c r="Q110" s="100">
        <v>1.1000000000000001</v>
      </c>
      <c r="R110" s="100">
        <v>0</v>
      </c>
      <c r="S110" s="100">
        <v>0</v>
      </c>
      <c r="T110" s="100">
        <v>0</v>
      </c>
      <c r="U110" s="100">
        <v>0</v>
      </c>
    </row>
    <row r="111" spans="1:21">
      <c r="D111" s="97" t="s">
        <v>555</v>
      </c>
      <c r="E111" s="97" t="s">
        <v>536</v>
      </c>
      <c r="F111" s="94" t="s">
        <v>556</v>
      </c>
      <c r="G111" s="97">
        <v>2</v>
      </c>
      <c r="H111" s="98" t="s">
        <v>741</v>
      </c>
      <c r="I111" s="99" t="str">
        <f t="shared" si="1"/>
        <v>정선군|2</v>
      </c>
      <c r="J111" s="100">
        <v>0</v>
      </c>
      <c r="K111" s="100">
        <v>0</v>
      </c>
      <c r="L111" s="100">
        <v>0</v>
      </c>
      <c r="M111" s="100">
        <v>0</v>
      </c>
      <c r="N111" s="100">
        <v>0</v>
      </c>
      <c r="O111" s="100">
        <v>0</v>
      </c>
      <c r="P111" s="100">
        <v>1.3</v>
      </c>
      <c r="Q111" s="100">
        <v>2.7</v>
      </c>
      <c r="R111" s="100">
        <v>0</v>
      </c>
      <c r="S111" s="100">
        <v>0</v>
      </c>
      <c r="T111" s="100">
        <v>0</v>
      </c>
      <c r="U111" s="100">
        <v>0</v>
      </c>
    </row>
    <row r="112" spans="1:21">
      <c r="D112" s="97" t="s">
        <v>557</v>
      </c>
      <c r="E112" s="97" t="s">
        <v>536</v>
      </c>
      <c r="F112" s="94" t="s">
        <v>558</v>
      </c>
      <c r="G112" s="97">
        <v>2</v>
      </c>
      <c r="H112" s="98" t="s">
        <v>741</v>
      </c>
      <c r="I112" s="99" t="str">
        <f t="shared" si="1"/>
        <v>철원|2</v>
      </c>
      <c r="J112" s="100">
        <v>0</v>
      </c>
      <c r="K112" s="100">
        <v>0</v>
      </c>
      <c r="L112" s="100">
        <v>0</v>
      </c>
      <c r="M112" s="100">
        <v>0</v>
      </c>
      <c r="N112" s="100">
        <v>0</v>
      </c>
      <c r="O112" s="100">
        <v>0</v>
      </c>
      <c r="P112" s="100">
        <v>0.9</v>
      </c>
      <c r="Q112" s="100">
        <v>1.8</v>
      </c>
      <c r="R112" s="100">
        <v>0</v>
      </c>
      <c r="S112" s="100">
        <v>0</v>
      </c>
      <c r="T112" s="100">
        <v>0</v>
      </c>
      <c r="U112" s="100">
        <v>0</v>
      </c>
    </row>
    <row r="113" spans="4:21">
      <c r="D113" s="97" t="s">
        <v>559</v>
      </c>
      <c r="E113" s="97" t="s">
        <v>536</v>
      </c>
      <c r="F113" s="94" t="s">
        <v>560</v>
      </c>
      <c r="G113" s="97">
        <v>2</v>
      </c>
      <c r="H113" s="98" t="s">
        <v>741</v>
      </c>
      <c r="I113" s="99" t="str">
        <f t="shared" si="1"/>
        <v>춘천|2</v>
      </c>
      <c r="J113" s="100">
        <v>0</v>
      </c>
      <c r="K113" s="100">
        <v>0</v>
      </c>
      <c r="L113" s="100">
        <v>0</v>
      </c>
      <c r="M113" s="100">
        <v>0</v>
      </c>
      <c r="N113" s="100">
        <v>0</v>
      </c>
      <c r="O113" s="100">
        <v>0</v>
      </c>
      <c r="P113" s="100">
        <v>2.4</v>
      </c>
      <c r="Q113" s="100">
        <v>2.6</v>
      </c>
      <c r="R113" s="100">
        <v>0</v>
      </c>
      <c r="S113" s="100">
        <v>0</v>
      </c>
      <c r="T113" s="100">
        <v>0</v>
      </c>
      <c r="U113" s="100">
        <v>0</v>
      </c>
    </row>
    <row r="114" spans="4:21">
      <c r="D114" s="97" t="s">
        <v>561</v>
      </c>
      <c r="E114" s="97" t="s">
        <v>536</v>
      </c>
      <c r="F114" s="94" t="s">
        <v>562</v>
      </c>
      <c r="G114" s="97">
        <v>2</v>
      </c>
      <c r="H114" s="98" t="s">
        <v>741</v>
      </c>
      <c r="I114" s="99" t="str">
        <f t="shared" si="1"/>
        <v>태백|2</v>
      </c>
      <c r="J114" s="100">
        <v>0</v>
      </c>
      <c r="K114" s="100">
        <v>0</v>
      </c>
      <c r="L114" s="100">
        <v>0</v>
      </c>
      <c r="M114" s="100">
        <v>0</v>
      </c>
      <c r="N114" s="100">
        <v>0</v>
      </c>
      <c r="O114" s="100">
        <v>0</v>
      </c>
      <c r="P114" s="100">
        <v>0</v>
      </c>
      <c r="Q114" s="100">
        <v>0</v>
      </c>
      <c r="R114" s="100">
        <v>0</v>
      </c>
      <c r="S114" s="100">
        <v>0</v>
      </c>
      <c r="T114" s="100">
        <v>0</v>
      </c>
      <c r="U114" s="100">
        <v>0</v>
      </c>
    </row>
    <row r="115" spans="4:21">
      <c r="D115" s="97" t="s">
        <v>563</v>
      </c>
      <c r="E115" s="97" t="s">
        <v>536</v>
      </c>
      <c r="F115" s="94" t="s">
        <v>564</v>
      </c>
      <c r="G115" s="97">
        <v>2</v>
      </c>
      <c r="H115" s="98" t="s">
        <v>741</v>
      </c>
      <c r="I115" s="99" t="str">
        <f t="shared" si="1"/>
        <v>홍천|2</v>
      </c>
      <c r="J115" s="100">
        <v>0</v>
      </c>
      <c r="K115" s="100">
        <v>0</v>
      </c>
      <c r="L115" s="100">
        <v>0</v>
      </c>
      <c r="M115" s="100">
        <v>0</v>
      </c>
      <c r="N115" s="100">
        <v>0</v>
      </c>
      <c r="O115" s="100">
        <v>0</v>
      </c>
      <c r="P115" s="100">
        <v>1.4</v>
      </c>
      <c r="Q115" s="100">
        <v>3</v>
      </c>
      <c r="R115" s="100">
        <v>0</v>
      </c>
      <c r="S115" s="100">
        <v>0</v>
      </c>
      <c r="T115" s="100">
        <v>0</v>
      </c>
      <c r="U115" s="100">
        <v>0</v>
      </c>
    </row>
    <row r="116" spans="4:21">
      <c r="D116" s="97" t="s">
        <v>565</v>
      </c>
      <c r="E116" s="97" t="s">
        <v>566</v>
      </c>
      <c r="F116" s="94" t="s">
        <v>567</v>
      </c>
      <c r="G116" s="97">
        <v>2</v>
      </c>
      <c r="H116" s="98" t="s">
        <v>741</v>
      </c>
      <c r="I116" s="99" t="str">
        <f t="shared" si="1"/>
        <v>동두천|2</v>
      </c>
      <c r="J116" s="100">
        <v>0</v>
      </c>
      <c r="K116" s="100">
        <v>0</v>
      </c>
      <c r="L116" s="100">
        <v>0</v>
      </c>
      <c r="M116" s="100">
        <v>0</v>
      </c>
      <c r="N116" s="100">
        <v>0</v>
      </c>
      <c r="O116" s="100">
        <v>0</v>
      </c>
      <c r="P116" s="100">
        <v>1.7</v>
      </c>
      <c r="Q116" s="100">
        <v>4.3</v>
      </c>
      <c r="R116" s="100">
        <v>0.1</v>
      </c>
      <c r="S116" s="100">
        <v>0</v>
      </c>
      <c r="T116" s="100">
        <v>0</v>
      </c>
      <c r="U116" s="100">
        <v>0</v>
      </c>
    </row>
    <row r="117" spans="4:21">
      <c r="D117" s="97" t="s">
        <v>568</v>
      </c>
      <c r="E117" s="97" t="s">
        <v>566</v>
      </c>
      <c r="F117" s="94" t="s">
        <v>569</v>
      </c>
      <c r="G117" s="97">
        <v>2</v>
      </c>
      <c r="H117" s="98" t="s">
        <v>741</v>
      </c>
      <c r="I117" s="99" t="str">
        <f t="shared" si="1"/>
        <v>수원|2</v>
      </c>
      <c r="J117" s="100">
        <v>0</v>
      </c>
      <c r="K117" s="100">
        <v>0</v>
      </c>
      <c r="L117" s="100">
        <v>0</v>
      </c>
      <c r="M117" s="100">
        <v>0</v>
      </c>
      <c r="N117" s="100">
        <v>0</v>
      </c>
      <c r="O117" s="100">
        <v>0</v>
      </c>
      <c r="P117" s="100">
        <v>2.5</v>
      </c>
      <c r="Q117" s="100">
        <v>4.7</v>
      </c>
      <c r="R117" s="100">
        <v>0</v>
      </c>
      <c r="S117" s="100">
        <v>0</v>
      </c>
      <c r="T117" s="100">
        <v>0</v>
      </c>
      <c r="U117" s="100">
        <v>0</v>
      </c>
    </row>
    <row r="118" spans="4:21">
      <c r="D118" s="97" t="s">
        <v>570</v>
      </c>
      <c r="E118" s="97" t="s">
        <v>566</v>
      </c>
      <c r="F118" s="94" t="s">
        <v>571</v>
      </c>
      <c r="G118" s="97">
        <v>2</v>
      </c>
      <c r="H118" s="98" t="s">
        <v>741</v>
      </c>
      <c r="I118" s="99" t="str">
        <f t="shared" si="1"/>
        <v>양평|2</v>
      </c>
      <c r="J118" s="100">
        <v>0</v>
      </c>
      <c r="K118" s="100">
        <v>0</v>
      </c>
      <c r="L118" s="100">
        <v>0</v>
      </c>
      <c r="M118" s="100">
        <v>0</v>
      </c>
      <c r="N118" s="100">
        <v>0</v>
      </c>
      <c r="O118" s="100">
        <v>0</v>
      </c>
      <c r="P118" s="100">
        <v>0.7</v>
      </c>
      <c r="Q118" s="100">
        <v>1.8</v>
      </c>
      <c r="R118" s="100">
        <v>0</v>
      </c>
      <c r="S118" s="100">
        <v>0</v>
      </c>
      <c r="T118" s="100">
        <v>0</v>
      </c>
      <c r="U118" s="100">
        <v>0</v>
      </c>
    </row>
    <row r="119" spans="4:21">
      <c r="D119" s="97" t="s">
        <v>572</v>
      </c>
      <c r="E119" s="97" t="s">
        <v>566</v>
      </c>
      <c r="F119" s="94" t="s">
        <v>573</v>
      </c>
      <c r="G119" s="97">
        <v>2</v>
      </c>
      <c r="H119" s="98" t="s">
        <v>741</v>
      </c>
      <c r="I119" s="99" t="str">
        <f t="shared" si="1"/>
        <v>이천|2</v>
      </c>
      <c r="J119" s="100">
        <v>0</v>
      </c>
      <c r="K119" s="100">
        <v>0</v>
      </c>
      <c r="L119" s="100">
        <v>0</v>
      </c>
      <c r="M119" s="100">
        <v>0</v>
      </c>
      <c r="N119" s="100">
        <v>0</v>
      </c>
      <c r="O119" s="100">
        <v>0</v>
      </c>
      <c r="P119" s="100">
        <v>1.3</v>
      </c>
      <c r="Q119" s="100">
        <v>4.9000000000000004</v>
      </c>
      <c r="R119" s="100">
        <v>0.1</v>
      </c>
      <c r="S119" s="100">
        <v>0</v>
      </c>
      <c r="T119" s="100">
        <v>0</v>
      </c>
      <c r="U119" s="100">
        <v>0</v>
      </c>
    </row>
    <row r="120" spans="4:21">
      <c r="D120" s="97" t="s">
        <v>574</v>
      </c>
      <c r="E120" s="97" t="s">
        <v>566</v>
      </c>
      <c r="F120" s="94" t="s">
        <v>575</v>
      </c>
      <c r="G120" s="97">
        <v>2</v>
      </c>
      <c r="H120" s="98" t="s">
        <v>741</v>
      </c>
      <c r="I120" s="99" t="str">
        <f t="shared" si="1"/>
        <v>파주|2</v>
      </c>
      <c r="J120" s="100">
        <v>0</v>
      </c>
      <c r="K120" s="100">
        <v>0</v>
      </c>
      <c r="L120" s="100">
        <v>0</v>
      </c>
      <c r="M120" s="100">
        <v>0</v>
      </c>
      <c r="N120" s="100">
        <v>0</v>
      </c>
      <c r="O120" s="100">
        <v>0</v>
      </c>
      <c r="P120" s="100">
        <v>1.6</v>
      </c>
      <c r="Q120" s="100">
        <v>3.6</v>
      </c>
      <c r="R120" s="100">
        <v>0</v>
      </c>
      <c r="S120" s="100">
        <v>0</v>
      </c>
      <c r="T120" s="100">
        <v>0</v>
      </c>
      <c r="U120" s="100">
        <v>0</v>
      </c>
    </row>
    <row r="121" spans="4:21">
      <c r="D121" s="97" t="s">
        <v>576</v>
      </c>
      <c r="E121" s="97" t="s">
        <v>577</v>
      </c>
      <c r="F121" s="94" t="s">
        <v>578</v>
      </c>
      <c r="G121" s="97">
        <v>2</v>
      </c>
      <c r="H121" s="98" t="s">
        <v>741</v>
      </c>
      <c r="I121" s="99" t="str">
        <f t="shared" si="1"/>
        <v>거제|2</v>
      </c>
      <c r="J121" s="100">
        <v>0</v>
      </c>
      <c r="K121" s="100">
        <v>0</v>
      </c>
      <c r="L121" s="100">
        <v>0</v>
      </c>
      <c r="M121" s="100">
        <v>0</v>
      </c>
      <c r="N121" s="100">
        <v>0</v>
      </c>
      <c r="O121" s="100">
        <v>0</v>
      </c>
      <c r="P121" s="100">
        <v>2.7</v>
      </c>
      <c r="Q121" s="100">
        <v>4.4000000000000004</v>
      </c>
      <c r="R121" s="100">
        <v>0</v>
      </c>
      <c r="S121" s="100">
        <v>0</v>
      </c>
      <c r="T121" s="100">
        <v>0</v>
      </c>
      <c r="U121" s="100">
        <v>0</v>
      </c>
    </row>
    <row r="122" spans="4:21">
      <c r="D122" s="97" t="s">
        <v>579</v>
      </c>
      <c r="E122" s="97" t="s">
        <v>577</v>
      </c>
      <c r="F122" s="94" t="s">
        <v>580</v>
      </c>
      <c r="G122" s="97">
        <v>2</v>
      </c>
      <c r="H122" s="98" t="s">
        <v>741</v>
      </c>
      <c r="I122" s="99" t="str">
        <f t="shared" si="1"/>
        <v>거창|2</v>
      </c>
      <c r="J122" s="100">
        <v>0</v>
      </c>
      <c r="K122" s="100">
        <v>0</v>
      </c>
      <c r="L122" s="100">
        <v>0</v>
      </c>
      <c r="M122" s="100">
        <v>0</v>
      </c>
      <c r="N122" s="100">
        <v>0</v>
      </c>
      <c r="O122" s="100">
        <v>0</v>
      </c>
      <c r="P122" s="100">
        <v>1.8</v>
      </c>
      <c r="Q122" s="100">
        <v>2</v>
      </c>
      <c r="R122" s="100">
        <v>0</v>
      </c>
      <c r="S122" s="100">
        <v>0</v>
      </c>
      <c r="T122" s="100">
        <v>0</v>
      </c>
      <c r="U122" s="100">
        <v>0</v>
      </c>
    </row>
    <row r="123" spans="4:21">
      <c r="D123" s="97" t="s">
        <v>581</v>
      </c>
      <c r="E123" s="97" t="s">
        <v>577</v>
      </c>
      <c r="F123" s="94" t="s">
        <v>582</v>
      </c>
      <c r="G123" s="97">
        <v>2</v>
      </c>
      <c r="H123" s="98" t="s">
        <v>741</v>
      </c>
      <c r="I123" s="99" t="str">
        <f t="shared" si="1"/>
        <v>김해시|2</v>
      </c>
      <c r="J123" s="100">
        <v>0</v>
      </c>
      <c r="K123" s="100">
        <v>0</v>
      </c>
      <c r="L123" s="100">
        <v>0</v>
      </c>
      <c r="M123" s="100">
        <v>0</v>
      </c>
      <c r="N123" s="100">
        <v>0</v>
      </c>
      <c r="O123" s="100">
        <v>0</v>
      </c>
      <c r="P123" s="100">
        <v>4.0999999999999996</v>
      </c>
      <c r="Q123" s="100">
        <v>8.1999999999999993</v>
      </c>
      <c r="R123" s="100">
        <v>0.8</v>
      </c>
      <c r="S123" s="100">
        <v>0</v>
      </c>
      <c r="T123" s="100">
        <v>0</v>
      </c>
      <c r="U123" s="100">
        <v>0</v>
      </c>
    </row>
    <row r="124" spans="4:21">
      <c r="D124" s="97" t="s">
        <v>583</v>
      </c>
      <c r="E124" s="97" t="s">
        <v>577</v>
      </c>
      <c r="F124" s="94" t="s">
        <v>584</v>
      </c>
      <c r="G124" s="97">
        <v>2</v>
      </c>
      <c r="H124" s="98" t="s">
        <v>741</v>
      </c>
      <c r="I124" s="99" t="str">
        <f t="shared" si="1"/>
        <v>남해|2</v>
      </c>
      <c r="J124" s="100">
        <v>0</v>
      </c>
      <c r="K124" s="100">
        <v>0</v>
      </c>
      <c r="L124" s="100">
        <v>0</v>
      </c>
      <c r="M124" s="100">
        <v>0</v>
      </c>
      <c r="N124" s="100">
        <v>0</v>
      </c>
      <c r="O124" s="100">
        <v>0</v>
      </c>
      <c r="P124" s="100">
        <v>2.1</v>
      </c>
      <c r="Q124" s="100">
        <v>4</v>
      </c>
      <c r="R124" s="100">
        <v>0</v>
      </c>
      <c r="S124" s="100">
        <v>0</v>
      </c>
      <c r="T124" s="100">
        <v>0</v>
      </c>
      <c r="U124" s="100">
        <v>0</v>
      </c>
    </row>
    <row r="125" spans="4:21">
      <c r="D125" s="97" t="s">
        <v>585</v>
      </c>
      <c r="E125" s="97" t="s">
        <v>577</v>
      </c>
      <c r="F125" s="94" t="s">
        <v>586</v>
      </c>
      <c r="G125" s="97">
        <v>2</v>
      </c>
      <c r="H125" s="98" t="s">
        <v>741</v>
      </c>
      <c r="I125" s="99" t="str">
        <f t="shared" si="1"/>
        <v>밀양|2</v>
      </c>
      <c r="J125" s="100">
        <v>0</v>
      </c>
      <c r="K125" s="100">
        <v>0</v>
      </c>
      <c r="L125" s="100">
        <v>0</v>
      </c>
      <c r="M125" s="100">
        <v>0</v>
      </c>
      <c r="N125" s="100">
        <v>0</v>
      </c>
      <c r="O125" s="100">
        <v>0</v>
      </c>
      <c r="P125" s="100">
        <v>1.9</v>
      </c>
      <c r="Q125" s="100">
        <v>4.3</v>
      </c>
      <c r="R125" s="100">
        <v>0.2</v>
      </c>
      <c r="S125" s="100">
        <v>0</v>
      </c>
      <c r="T125" s="100">
        <v>0</v>
      </c>
      <c r="U125" s="100">
        <v>0</v>
      </c>
    </row>
    <row r="126" spans="4:21">
      <c r="D126" s="97" t="s">
        <v>587</v>
      </c>
      <c r="E126" s="97" t="s">
        <v>577</v>
      </c>
      <c r="F126" s="94" t="s">
        <v>588</v>
      </c>
      <c r="G126" s="97">
        <v>2</v>
      </c>
      <c r="H126" s="98" t="s">
        <v>741</v>
      </c>
      <c r="I126" s="99" t="str">
        <f t="shared" si="1"/>
        <v>북창원|2</v>
      </c>
      <c r="J126" s="100">
        <v>0</v>
      </c>
      <c r="K126" s="100">
        <v>0</v>
      </c>
      <c r="L126" s="100">
        <v>0</v>
      </c>
      <c r="M126" s="100">
        <v>0</v>
      </c>
      <c r="N126" s="100">
        <v>0</v>
      </c>
      <c r="O126" s="100">
        <v>0</v>
      </c>
      <c r="P126" s="100">
        <v>6.2</v>
      </c>
      <c r="Q126" s="100">
        <v>9.3000000000000007</v>
      </c>
      <c r="R126" s="100">
        <v>0.7</v>
      </c>
      <c r="S126" s="100">
        <v>0</v>
      </c>
      <c r="T126" s="100">
        <v>0</v>
      </c>
      <c r="U126" s="100">
        <v>0</v>
      </c>
    </row>
    <row r="127" spans="4:21">
      <c r="D127" s="97" t="s">
        <v>589</v>
      </c>
      <c r="E127" s="97" t="s">
        <v>577</v>
      </c>
      <c r="F127" s="94" t="s">
        <v>590</v>
      </c>
      <c r="G127" s="97">
        <v>2</v>
      </c>
      <c r="H127" s="98" t="s">
        <v>741</v>
      </c>
      <c r="I127" s="99" t="str">
        <f t="shared" si="1"/>
        <v>산청|2</v>
      </c>
      <c r="J127" s="100">
        <v>0</v>
      </c>
      <c r="K127" s="100">
        <v>0</v>
      </c>
      <c r="L127" s="100">
        <v>0</v>
      </c>
      <c r="M127" s="100">
        <v>0</v>
      </c>
      <c r="N127" s="100">
        <v>0</v>
      </c>
      <c r="O127" s="100">
        <v>0</v>
      </c>
      <c r="P127" s="100">
        <v>2.2000000000000002</v>
      </c>
      <c r="Q127" s="100">
        <v>4.8</v>
      </c>
      <c r="R127" s="100">
        <v>0.3</v>
      </c>
      <c r="S127" s="100">
        <v>0</v>
      </c>
      <c r="T127" s="100">
        <v>0</v>
      </c>
      <c r="U127" s="100">
        <v>0</v>
      </c>
    </row>
    <row r="128" spans="4:21">
      <c r="D128" s="97" t="s">
        <v>591</v>
      </c>
      <c r="E128" s="97" t="s">
        <v>577</v>
      </c>
      <c r="F128" s="94" t="s">
        <v>592</v>
      </c>
      <c r="G128" s="97">
        <v>2</v>
      </c>
      <c r="H128" s="98" t="s">
        <v>741</v>
      </c>
      <c r="I128" s="99" t="str">
        <f t="shared" si="1"/>
        <v>양산시|2</v>
      </c>
      <c r="J128" s="100">
        <v>0</v>
      </c>
      <c r="K128" s="100">
        <v>0</v>
      </c>
      <c r="L128" s="100">
        <v>0</v>
      </c>
      <c r="M128" s="100">
        <v>0</v>
      </c>
      <c r="N128" s="100">
        <v>0</v>
      </c>
      <c r="O128" s="100">
        <v>0</v>
      </c>
      <c r="P128" s="100">
        <v>4.9000000000000004</v>
      </c>
      <c r="Q128" s="100">
        <v>9.9</v>
      </c>
      <c r="R128" s="100">
        <v>0.8</v>
      </c>
      <c r="S128" s="100">
        <v>0</v>
      </c>
      <c r="T128" s="100">
        <v>0</v>
      </c>
      <c r="U128" s="100">
        <v>0</v>
      </c>
    </row>
    <row r="129" spans="4:21">
      <c r="D129" s="97" t="s">
        <v>593</v>
      </c>
      <c r="E129" s="97" t="s">
        <v>577</v>
      </c>
      <c r="F129" s="94" t="s">
        <v>594</v>
      </c>
      <c r="G129" s="97">
        <v>2</v>
      </c>
      <c r="H129" s="98" t="s">
        <v>741</v>
      </c>
      <c r="I129" s="99" t="str">
        <f t="shared" si="1"/>
        <v>의령군|2</v>
      </c>
      <c r="J129" s="100">
        <v>0</v>
      </c>
      <c r="K129" s="100">
        <v>0</v>
      </c>
      <c r="L129" s="100">
        <v>0</v>
      </c>
      <c r="M129" s="100">
        <v>0</v>
      </c>
      <c r="N129" s="100">
        <v>0</v>
      </c>
      <c r="O129" s="100">
        <v>0</v>
      </c>
      <c r="P129" s="100">
        <v>4.4000000000000004</v>
      </c>
      <c r="Q129" s="100">
        <v>8.3000000000000007</v>
      </c>
      <c r="R129" s="100">
        <v>0.8</v>
      </c>
      <c r="S129" s="100">
        <v>0</v>
      </c>
      <c r="T129" s="100">
        <v>0</v>
      </c>
      <c r="U129" s="100">
        <v>0</v>
      </c>
    </row>
    <row r="130" spans="4:21">
      <c r="D130" s="97" t="s">
        <v>595</v>
      </c>
      <c r="E130" s="97" t="s">
        <v>577</v>
      </c>
      <c r="F130" s="94" t="s">
        <v>596</v>
      </c>
      <c r="G130" s="97">
        <v>2</v>
      </c>
      <c r="H130" s="98" t="s">
        <v>741</v>
      </c>
      <c r="I130" s="99" t="str">
        <f t="shared" si="1"/>
        <v>진주|2</v>
      </c>
      <c r="J130" s="100">
        <v>0</v>
      </c>
      <c r="K130" s="100">
        <v>0</v>
      </c>
      <c r="L130" s="100">
        <v>0</v>
      </c>
      <c r="M130" s="100">
        <v>0</v>
      </c>
      <c r="N130" s="100">
        <v>0</v>
      </c>
      <c r="O130" s="100">
        <v>0</v>
      </c>
      <c r="P130" s="100">
        <v>1.2</v>
      </c>
      <c r="Q130" s="100">
        <v>4.7</v>
      </c>
      <c r="R130" s="100">
        <v>0.3</v>
      </c>
      <c r="S130" s="100">
        <v>0</v>
      </c>
      <c r="T130" s="100">
        <v>0</v>
      </c>
      <c r="U130" s="100">
        <v>0</v>
      </c>
    </row>
    <row r="131" spans="4:21">
      <c r="D131" s="97" t="s">
        <v>597</v>
      </c>
      <c r="E131" s="97" t="s">
        <v>577</v>
      </c>
      <c r="F131" s="94" t="s">
        <v>598</v>
      </c>
      <c r="G131" s="97">
        <v>2</v>
      </c>
      <c r="H131" s="98" t="s">
        <v>741</v>
      </c>
      <c r="I131" s="99" t="str">
        <f t="shared" si="1"/>
        <v>창원|2</v>
      </c>
      <c r="J131" s="100">
        <v>0</v>
      </c>
      <c r="K131" s="100">
        <v>0</v>
      </c>
      <c r="L131" s="100">
        <v>0</v>
      </c>
      <c r="M131" s="100">
        <v>0</v>
      </c>
      <c r="N131" s="100">
        <v>0</v>
      </c>
      <c r="O131" s="100">
        <v>0</v>
      </c>
      <c r="P131" s="100">
        <v>4.4000000000000004</v>
      </c>
      <c r="Q131" s="100">
        <v>6.1</v>
      </c>
      <c r="R131" s="100">
        <v>0.2</v>
      </c>
      <c r="S131" s="100">
        <v>0</v>
      </c>
      <c r="T131" s="100">
        <v>0</v>
      </c>
      <c r="U131" s="100">
        <v>0</v>
      </c>
    </row>
    <row r="132" spans="4:21">
      <c r="D132" s="97" t="s">
        <v>599</v>
      </c>
      <c r="E132" s="97" t="s">
        <v>577</v>
      </c>
      <c r="F132" s="94" t="s">
        <v>600</v>
      </c>
      <c r="G132" s="97">
        <v>2</v>
      </c>
      <c r="H132" s="98" t="s">
        <v>741</v>
      </c>
      <c r="I132" s="99" t="str">
        <f t="shared" si="1"/>
        <v>통영|2</v>
      </c>
      <c r="J132" s="100">
        <v>0</v>
      </c>
      <c r="K132" s="100">
        <v>0</v>
      </c>
      <c r="L132" s="100">
        <v>0</v>
      </c>
      <c r="M132" s="100">
        <v>0</v>
      </c>
      <c r="N132" s="100">
        <v>0</v>
      </c>
      <c r="O132" s="100">
        <v>0</v>
      </c>
      <c r="P132" s="100">
        <v>0.4</v>
      </c>
      <c r="Q132" s="100">
        <v>2.7</v>
      </c>
      <c r="R132" s="100">
        <v>0.2</v>
      </c>
      <c r="S132" s="100">
        <v>0</v>
      </c>
      <c r="T132" s="100">
        <v>0</v>
      </c>
      <c r="U132" s="100">
        <v>0</v>
      </c>
    </row>
    <row r="133" spans="4:21">
      <c r="D133" s="97" t="s">
        <v>601</v>
      </c>
      <c r="E133" s="97" t="s">
        <v>577</v>
      </c>
      <c r="F133" s="94" t="s">
        <v>602</v>
      </c>
      <c r="G133" s="97">
        <v>2</v>
      </c>
      <c r="H133" s="98" t="s">
        <v>741</v>
      </c>
      <c r="I133" s="99" t="str">
        <f t="shared" si="1"/>
        <v>함양군|2</v>
      </c>
      <c r="J133" s="100">
        <v>0</v>
      </c>
      <c r="K133" s="100">
        <v>0</v>
      </c>
      <c r="L133" s="100">
        <v>0</v>
      </c>
      <c r="M133" s="100">
        <v>0</v>
      </c>
      <c r="N133" s="100">
        <v>0</v>
      </c>
      <c r="O133" s="100">
        <v>0</v>
      </c>
      <c r="P133" s="100">
        <v>4</v>
      </c>
      <c r="Q133" s="100">
        <v>7.4</v>
      </c>
      <c r="R133" s="100">
        <v>0.4</v>
      </c>
      <c r="S133" s="100">
        <v>0</v>
      </c>
      <c r="T133" s="100">
        <v>0</v>
      </c>
      <c r="U133" s="100">
        <v>0</v>
      </c>
    </row>
    <row r="134" spans="4:21">
      <c r="D134" s="97" t="s">
        <v>603</v>
      </c>
      <c r="E134" s="97" t="s">
        <v>577</v>
      </c>
      <c r="F134" s="94" t="s">
        <v>604</v>
      </c>
      <c r="G134" s="97">
        <v>2</v>
      </c>
      <c r="H134" s="98" t="s">
        <v>741</v>
      </c>
      <c r="I134" s="99" t="str">
        <f t="shared" si="1"/>
        <v>합천|2</v>
      </c>
      <c r="J134" s="100">
        <v>0</v>
      </c>
      <c r="K134" s="100">
        <v>0</v>
      </c>
      <c r="L134" s="100">
        <v>0</v>
      </c>
      <c r="M134" s="100">
        <v>0</v>
      </c>
      <c r="N134" s="100">
        <v>0</v>
      </c>
      <c r="O134" s="100">
        <v>0</v>
      </c>
      <c r="P134" s="100">
        <v>2.6</v>
      </c>
      <c r="Q134" s="100">
        <v>4.7</v>
      </c>
      <c r="R134" s="100">
        <v>0.4</v>
      </c>
      <c r="S134" s="100">
        <v>0</v>
      </c>
      <c r="T134" s="100">
        <v>0</v>
      </c>
      <c r="U134" s="100">
        <v>0</v>
      </c>
    </row>
    <row r="135" spans="4:21">
      <c r="D135" s="97" t="s">
        <v>605</v>
      </c>
      <c r="E135" s="97" t="s">
        <v>606</v>
      </c>
      <c r="F135" s="94" t="s">
        <v>607</v>
      </c>
      <c r="G135" s="97">
        <v>2</v>
      </c>
      <c r="H135" s="98" t="s">
        <v>741</v>
      </c>
      <c r="I135" s="99" t="str">
        <f t="shared" ref="I135:I198" si="2">$D135&amp;"|"&amp;$G135</f>
        <v>경주시|2</v>
      </c>
      <c r="J135" s="100">
        <v>0</v>
      </c>
      <c r="K135" s="100">
        <v>0</v>
      </c>
      <c r="L135" s="100">
        <v>0</v>
      </c>
      <c r="M135" s="100">
        <v>0</v>
      </c>
      <c r="N135" s="100">
        <v>0</v>
      </c>
      <c r="O135" s="100">
        <v>0.1</v>
      </c>
      <c r="P135" s="100">
        <v>5.9</v>
      </c>
      <c r="Q135" s="100">
        <v>8.8000000000000007</v>
      </c>
      <c r="R135" s="100">
        <v>0.4</v>
      </c>
      <c r="S135" s="100">
        <v>0</v>
      </c>
      <c r="T135" s="100">
        <v>0</v>
      </c>
      <c r="U135" s="100">
        <v>0</v>
      </c>
    </row>
    <row r="136" spans="4:21">
      <c r="D136" s="97" t="s">
        <v>608</v>
      </c>
      <c r="E136" s="97" t="s">
        <v>606</v>
      </c>
      <c r="F136" s="94" t="s">
        <v>609</v>
      </c>
      <c r="G136" s="97">
        <v>2</v>
      </c>
      <c r="H136" s="98" t="s">
        <v>741</v>
      </c>
      <c r="I136" s="99" t="str">
        <f t="shared" si="2"/>
        <v>구미|2</v>
      </c>
      <c r="J136" s="100">
        <v>0</v>
      </c>
      <c r="K136" s="100">
        <v>0</v>
      </c>
      <c r="L136" s="100">
        <v>0</v>
      </c>
      <c r="M136" s="100">
        <v>0</v>
      </c>
      <c r="N136" s="100">
        <v>0</v>
      </c>
      <c r="O136" s="100">
        <v>0</v>
      </c>
      <c r="P136" s="100">
        <v>4</v>
      </c>
      <c r="Q136" s="100">
        <v>7.1</v>
      </c>
      <c r="R136" s="100">
        <v>0.1</v>
      </c>
      <c r="S136" s="100">
        <v>0</v>
      </c>
      <c r="T136" s="100">
        <v>0</v>
      </c>
      <c r="U136" s="100">
        <v>0</v>
      </c>
    </row>
    <row r="137" spans="4:21">
      <c r="D137" s="97" t="s">
        <v>610</v>
      </c>
      <c r="E137" s="97" t="s">
        <v>606</v>
      </c>
      <c r="F137" s="94" t="s">
        <v>611</v>
      </c>
      <c r="G137" s="97">
        <v>2</v>
      </c>
      <c r="H137" s="98" t="s">
        <v>741</v>
      </c>
      <c r="I137" s="99" t="str">
        <f t="shared" si="2"/>
        <v>문경|2</v>
      </c>
      <c r="J137" s="100">
        <v>0</v>
      </c>
      <c r="K137" s="100">
        <v>0</v>
      </c>
      <c r="L137" s="100">
        <v>0</v>
      </c>
      <c r="M137" s="100">
        <v>0</v>
      </c>
      <c r="N137" s="100">
        <v>0</v>
      </c>
      <c r="O137" s="100">
        <v>0</v>
      </c>
      <c r="P137" s="100">
        <v>0.8</v>
      </c>
      <c r="Q137" s="100">
        <v>2</v>
      </c>
      <c r="R137" s="100">
        <v>0</v>
      </c>
      <c r="S137" s="100">
        <v>0</v>
      </c>
      <c r="T137" s="100">
        <v>0</v>
      </c>
      <c r="U137" s="100">
        <v>0</v>
      </c>
    </row>
    <row r="138" spans="4:21">
      <c r="D138" s="97" t="s">
        <v>612</v>
      </c>
      <c r="E138" s="97" t="s">
        <v>606</v>
      </c>
      <c r="F138" s="94" t="s">
        <v>613</v>
      </c>
      <c r="G138" s="97">
        <v>2</v>
      </c>
      <c r="H138" s="98" t="s">
        <v>741</v>
      </c>
      <c r="I138" s="99" t="str">
        <f t="shared" si="2"/>
        <v>봉화|2</v>
      </c>
      <c r="J138" s="100">
        <v>0</v>
      </c>
      <c r="K138" s="100">
        <v>0</v>
      </c>
      <c r="L138" s="100">
        <v>0</v>
      </c>
      <c r="M138" s="100">
        <v>0</v>
      </c>
      <c r="N138" s="100">
        <v>0</v>
      </c>
      <c r="O138" s="100">
        <v>0</v>
      </c>
      <c r="P138" s="100">
        <v>0.2</v>
      </c>
      <c r="Q138" s="100">
        <v>0.2</v>
      </c>
      <c r="R138" s="100">
        <v>0</v>
      </c>
      <c r="S138" s="100">
        <v>0</v>
      </c>
      <c r="T138" s="100">
        <v>0</v>
      </c>
      <c r="U138" s="100">
        <v>0</v>
      </c>
    </row>
    <row r="139" spans="4:21">
      <c r="D139" s="97" t="s">
        <v>614</v>
      </c>
      <c r="E139" s="97" t="s">
        <v>606</v>
      </c>
      <c r="F139" s="94" t="s">
        <v>615</v>
      </c>
      <c r="G139" s="97">
        <v>2</v>
      </c>
      <c r="H139" s="98" t="s">
        <v>741</v>
      </c>
      <c r="I139" s="99" t="str">
        <f t="shared" si="2"/>
        <v>상주|2</v>
      </c>
      <c r="J139" s="100">
        <v>0</v>
      </c>
      <c r="K139" s="100">
        <v>0</v>
      </c>
      <c r="L139" s="100">
        <v>0</v>
      </c>
      <c r="M139" s="100">
        <v>0</v>
      </c>
      <c r="N139" s="100">
        <v>0</v>
      </c>
      <c r="O139" s="100">
        <v>0</v>
      </c>
      <c r="P139" s="100">
        <v>3.1</v>
      </c>
      <c r="Q139" s="100">
        <v>6.3</v>
      </c>
      <c r="R139" s="100">
        <v>0.1</v>
      </c>
      <c r="S139" s="100">
        <v>0</v>
      </c>
      <c r="T139" s="100">
        <v>0</v>
      </c>
      <c r="U139" s="100">
        <v>0</v>
      </c>
    </row>
    <row r="140" spans="4:21">
      <c r="D140" s="97" t="s">
        <v>616</v>
      </c>
      <c r="E140" s="97" t="s">
        <v>606</v>
      </c>
      <c r="F140" s="94" t="s">
        <v>617</v>
      </c>
      <c r="G140" s="97">
        <v>2</v>
      </c>
      <c r="H140" s="98" t="s">
        <v>741</v>
      </c>
      <c r="I140" s="99" t="str">
        <f t="shared" si="2"/>
        <v>안동|2</v>
      </c>
      <c r="J140" s="100">
        <v>0</v>
      </c>
      <c r="K140" s="100">
        <v>0</v>
      </c>
      <c r="L140" s="100">
        <v>0</v>
      </c>
      <c r="M140" s="100">
        <v>0</v>
      </c>
      <c r="N140" s="100">
        <v>0</v>
      </c>
      <c r="O140" s="100">
        <v>0</v>
      </c>
      <c r="P140" s="100">
        <v>1.2</v>
      </c>
      <c r="Q140" s="100">
        <v>4.2</v>
      </c>
      <c r="R140" s="100">
        <v>0.2</v>
      </c>
      <c r="S140" s="100">
        <v>0</v>
      </c>
      <c r="T140" s="100">
        <v>0</v>
      </c>
      <c r="U140" s="100">
        <v>0</v>
      </c>
    </row>
    <row r="141" spans="4:21">
      <c r="D141" s="97" t="s">
        <v>618</v>
      </c>
      <c r="E141" s="97" t="s">
        <v>606</v>
      </c>
      <c r="F141" s="94" t="s">
        <v>619</v>
      </c>
      <c r="G141" s="97">
        <v>2</v>
      </c>
      <c r="H141" s="98" t="s">
        <v>741</v>
      </c>
      <c r="I141" s="99" t="str">
        <f t="shared" si="2"/>
        <v>영덕|2</v>
      </c>
      <c r="J141" s="100">
        <v>0</v>
      </c>
      <c r="K141" s="100">
        <v>0</v>
      </c>
      <c r="L141" s="100">
        <v>0</v>
      </c>
      <c r="M141" s="100">
        <v>0</v>
      </c>
      <c r="N141" s="100">
        <v>0</v>
      </c>
      <c r="O141" s="100">
        <v>0.1</v>
      </c>
      <c r="P141" s="100">
        <v>2.7</v>
      </c>
      <c r="Q141" s="100">
        <v>2.5</v>
      </c>
      <c r="R141" s="100">
        <v>0</v>
      </c>
      <c r="S141" s="100">
        <v>0</v>
      </c>
      <c r="T141" s="100">
        <v>0</v>
      </c>
      <c r="U141" s="100">
        <v>0</v>
      </c>
    </row>
    <row r="142" spans="4:21">
      <c r="D142" s="97" t="s">
        <v>620</v>
      </c>
      <c r="E142" s="97" t="s">
        <v>606</v>
      </c>
      <c r="F142" s="94" t="s">
        <v>621</v>
      </c>
      <c r="G142" s="97">
        <v>2</v>
      </c>
      <c r="H142" s="98" t="s">
        <v>741</v>
      </c>
      <c r="I142" s="99" t="str">
        <f t="shared" si="2"/>
        <v>영주|2</v>
      </c>
      <c r="J142" s="100">
        <v>0</v>
      </c>
      <c r="K142" s="100">
        <v>0</v>
      </c>
      <c r="L142" s="100">
        <v>0</v>
      </c>
      <c r="M142" s="100">
        <v>0</v>
      </c>
      <c r="N142" s="100">
        <v>0</v>
      </c>
      <c r="O142" s="100">
        <v>0</v>
      </c>
      <c r="P142" s="100">
        <v>0.9</v>
      </c>
      <c r="Q142" s="100">
        <v>0.9</v>
      </c>
      <c r="R142" s="100">
        <v>0</v>
      </c>
      <c r="S142" s="100">
        <v>0</v>
      </c>
      <c r="T142" s="100">
        <v>0</v>
      </c>
      <c r="U142" s="100">
        <v>0</v>
      </c>
    </row>
    <row r="143" spans="4:21">
      <c r="D143" s="97" t="s">
        <v>622</v>
      </c>
      <c r="E143" s="97" t="s">
        <v>606</v>
      </c>
      <c r="F143" s="94" t="s">
        <v>623</v>
      </c>
      <c r="G143" s="97">
        <v>2</v>
      </c>
      <c r="H143" s="98" t="s">
        <v>741</v>
      </c>
      <c r="I143" s="99" t="str">
        <f t="shared" si="2"/>
        <v>영천|2</v>
      </c>
      <c r="J143" s="100">
        <v>0</v>
      </c>
      <c r="K143" s="100">
        <v>0</v>
      </c>
      <c r="L143" s="100">
        <v>0</v>
      </c>
      <c r="M143" s="100">
        <v>0</v>
      </c>
      <c r="N143" s="100">
        <v>0</v>
      </c>
      <c r="O143" s="100">
        <v>0</v>
      </c>
      <c r="P143" s="100">
        <v>2.2000000000000002</v>
      </c>
      <c r="Q143" s="100">
        <v>3.3</v>
      </c>
      <c r="R143" s="100">
        <v>0</v>
      </c>
      <c r="S143" s="100">
        <v>0</v>
      </c>
      <c r="T143" s="100">
        <v>0</v>
      </c>
      <c r="U143" s="100">
        <v>0</v>
      </c>
    </row>
    <row r="144" spans="4:21">
      <c r="D144" s="97" t="s">
        <v>624</v>
      </c>
      <c r="E144" s="97" t="s">
        <v>606</v>
      </c>
      <c r="F144" s="94" t="s">
        <v>625</v>
      </c>
      <c r="G144" s="97">
        <v>2</v>
      </c>
      <c r="H144" s="98" t="s">
        <v>741</v>
      </c>
      <c r="I144" s="99" t="str">
        <f t="shared" si="2"/>
        <v>울릉도|2</v>
      </c>
      <c r="J144" s="100">
        <v>0</v>
      </c>
      <c r="K144" s="100">
        <v>0</v>
      </c>
      <c r="L144" s="100">
        <v>0</v>
      </c>
      <c r="M144" s="100">
        <v>0</v>
      </c>
      <c r="N144" s="100">
        <v>0</v>
      </c>
      <c r="O144" s="100">
        <v>0</v>
      </c>
      <c r="P144" s="100">
        <v>0</v>
      </c>
      <c r="Q144" s="100">
        <v>0.2</v>
      </c>
      <c r="R144" s="100">
        <v>0</v>
      </c>
      <c r="S144" s="100">
        <v>0</v>
      </c>
      <c r="T144" s="100">
        <v>0</v>
      </c>
      <c r="U144" s="100">
        <v>0</v>
      </c>
    </row>
    <row r="145" spans="4:21">
      <c r="D145" s="97" t="s">
        <v>626</v>
      </c>
      <c r="E145" s="97" t="s">
        <v>606</v>
      </c>
      <c r="F145" s="94" t="s">
        <v>627</v>
      </c>
      <c r="G145" s="97">
        <v>2</v>
      </c>
      <c r="H145" s="98" t="s">
        <v>741</v>
      </c>
      <c r="I145" s="99" t="str">
        <f t="shared" si="2"/>
        <v>울진|2</v>
      </c>
      <c r="J145" s="100">
        <v>0</v>
      </c>
      <c r="K145" s="100">
        <v>0</v>
      </c>
      <c r="L145" s="100">
        <v>0</v>
      </c>
      <c r="M145" s="100">
        <v>0</v>
      </c>
      <c r="N145" s="100">
        <v>0</v>
      </c>
      <c r="O145" s="100">
        <v>0</v>
      </c>
      <c r="P145" s="100">
        <v>1</v>
      </c>
      <c r="Q145" s="100">
        <v>0.8</v>
      </c>
      <c r="R145" s="100">
        <v>0</v>
      </c>
      <c r="S145" s="100">
        <v>0</v>
      </c>
      <c r="T145" s="100">
        <v>0</v>
      </c>
      <c r="U145" s="100">
        <v>0</v>
      </c>
    </row>
    <row r="146" spans="4:21">
      <c r="D146" s="97" t="s">
        <v>628</v>
      </c>
      <c r="E146" s="97" t="s">
        <v>606</v>
      </c>
      <c r="F146" s="94" t="s">
        <v>629</v>
      </c>
      <c r="G146" s="97">
        <v>2</v>
      </c>
      <c r="H146" s="98" t="s">
        <v>741</v>
      </c>
      <c r="I146" s="99" t="str">
        <f t="shared" si="2"/>
        <v>의성|2</v>
      </c>
      <c r="J146" s="100">
        <v>0</v>
      </c>
      <c r="K146" s="100">
        <v>0</v>
      </c>
      <c r="L146" s="100">
        <v>0</v>
      </c>
      <c r="M146" s="100">
        <v>0</v>
      </c>
      <c r="N146" s="100">
        <v>0</v>
      </c>
      <c r="O146" s="100">
        <v>0</v>
      </c>
      <c r="P146" s="100">
        <v>1.9</v>
      </c>
      <c r="Q146" s="100">
        <v>5.3</v>
      </c>
      <c r="R146" s="100">
        <v>0.2</v>
      </c>
      <c r="S146" s="100">
        <v>0</v>
      </c>
      <c r="T146" s="100">
        <v>0</v>
      </c>
      <c r="U146" s="100">
        <v>0</v>
      </c>
    </row>
    <row r="147" spans="4:21">
      <c r="D147" s="97" t="s">
        <v>630</v>
      </c>
      <c r="E147" s="97" t="s">
        <v>606</v>
      </c>
      <c r="F147" s="94" t="s">
        <v>631</v>
      </c>
      <c r="G147" s="97">
        <v>2</v>
      </c>
      <c r="H147" s="98" t="s">
        <v>741</v>
      </c>
      <c r="I147" s="99" t="str">
        <f t="shared" si="2"/>
        <v>청송군|2</v>
      </c>
      <c r="J147" s="100">
        <v>0</v>
      </c>
      <c r="K147" s="100">
        <v>0</v>
      </c>
      <c r="L147" s="100">
        <v>0</v>
      </c>
      <c r="M147" s="100">
        <v>0</v>
      </c>
      <c r="N147" s="100">
        <v>0</v>
      </c>
      <c r="O147" s="100">
        <v>0</v>
      </c>
      <c r="P147" s="100">
        <v>1.4</v>
      </c>
      <c r="Q147" s="100">
        <v>5.2</v>
      </c>
      <c r="R147" s="100">
        <v>0.3</v>
      </c>
      <c r="S147" s="100">
        <v>0</v>
      </c>
      <c r="T147" s="100">
        <v>0</v>
      </c>
      <c r="U147" s="100">
        <v>0</v>
      </c>
    </row>
    <row r="148" spans="4:21">
      <c r="D148" s="97" t="s">
        <v>632</v>
      </c>
      <c r="E148" s="97" t="s">
        <v>606</v>
      </c>
      <c r="F148" s="94" t="s">
        <v>633</v>
      </c>
      <c r="G148" s="97">
        <v>2</v>
      </c>
      <c r="H148" s="98" t="s">
        <v>741</v>
      </c>
      <c r="I148" s="99" t="str">
        <f t="shared" si="2"/>
        <v>포항|2</v>
      </c>
      <c r="J148" s="100">
        <v>0</v>
      </c>
      <c r="K148" s="100">
        <v>0</v>
      </c>
      <c r="L148" s="100">
        <v>0</v>
      </c>
      <c r="M148" s="100">
        <v>0</v>
      </c>
      <c r="N148" s="100">
        <v>0</v>
      </c>
      <c r="O148" s="100">
        <v>0.1</v>
      </c>
      <c r="P148" s="100">
        <v>3.6</v>
      </c>
      <c r="Q148" s="100">
        <v>4.5</v>
      </c>
      <c r="R148" s="100">
        <v>0</v>
      </c>
      <c r="S148" s="100">
        <v>0</v>
      </c>
      <c r="T148" s="100">
        <v>0</v>
      </c>
      <c r="U148" s="100">
        <v>0</v>
      </c>
    </row>
    <row r="149" spans="4:21">
      <c r="D149" s="97" t="s">
        <v>634</v>
      </c>
      <c r="E149" s="97" t="s">
        <v>635</v>
      </c>
      <c r="F149" s="94" t="s">
        <v>636</v>
      </c>
      <c r="G149" s="97">
        <v>2</v>
      </c>
      <c r="H149" s="98" t="s">
        <v>741</v>
      </c>
      <c r="I149" s="99" t="str">
        <f t="shared" si="2"/>
        <v>광주|2</v>
      </c>
      <c r="J149" s="100">
        <v>0</v>
      </c>
      <c r="K149" s="100">
        <v>0</v>
      </c>
      <c r="L149" s="100">
        <v>0</v>
      </c>
      <c r="M149" s="100">
        <v>0</v>
      </c>
      <c r="N149" s="100">
        <v>0</v>
      </c>
      <c r="O149" s="100">
        <v>0</v>
      </c>
      <c r="P149" s="100">
        <v>4</v>
      </c>
      <c r="Q149" s="100">
        <v>6.9</v>
      </c>
      <c r="R149" s="100">
        <v>0.4</v>
      </c>
      <c r="S149" s="100">
        <v>0</v>
      </c>
      <c r="T149" s="100">
        <v>0</v>
      </c>
      <c r="U149" s="100">
        <v>0</v>
      </c>
    </row>
    <row r="150" spans="4:21">
      <c r="D150" s="97" t="s">
        <v>637</v>
      </c>
      <c r="E150" s="97" t="s">
        <v>638</v>
      </c>
      <c r="F150" s="94" t="s">
        <v>639</v>
      </c>
      <c r="G150" s="97">
        <v>2</v>
      </c>
      <c r="H150" s="98" t="s">
        <v>741</v>
      </c>
      <c r="I150" s="99" t="str">
        <f t="shared" si="2"/>
        <v>대구|2</v>
      </c>
      <c r="J150" s="100">
        <v>0</v>
      </c>
      <c r="K150" s="100">
        <v>0</v>
      </c>
      <c r="L150" s="100">
        <v>0</v>
      </c>
      <c r="M150" s="100">
        <v>0</v>
      </c>
      <c r="N150" s="100">
        <v>0</v>
      </c>
      <c r="O150" s="100">
        <v>0.1</v>
      </c>
      <c r="P150" s="100">
        <v>2.7</v>
      </c>
      <c r="Q150" s="100">
        <v>5.9</v>
      </c>
      <c r="R150" s="100">
        <v>0.2</v>
      </c>
      <c r="S150" s="100">
        <v>0</v>
      </c>
      <c r="T150" s="100">
        <v>0</v>
      </c>
      <c r="U150" s="100">
        <v>0</v>
      </c>
    </row>
    <row r="151" spans="4:21">
      <c r="D151" s="97" t="s">
        <v>640</v>
      </c>
      <c r="E151" s="97" t="s">
        <v>641</v>
      </c>
      <c r="F151" s="94" t="s">
        <v>642</v>
      </c>
      <c r="G151" s="97">
        <v>2</v>
      </c>
      <c r="H151" s="98" t="s">
        <v>741</v>
      </c>
      <c r="I151" s="99" t="str">
        <f t="shared" si="2"/>
        <v>대전|2</v>
      </c>
      <c r="J151" s="100">
        <v>0</v>
      </c>
      <c r="K151" s="100">
        <v>0</v>
      </c>
      <c r="L151" s="100">
        <v>0</v>
      </c>
      <c r="M151" s="100">
        <v>0</v>
      </c>
      <c r="N151" s="100">
        <v>0</v>
      </c>
      <c r="O151" s="100">
        <v>0</v>
      </c>
      <c r="P151" s="100">
        <v>3.4</v>
      </c>
      <c r="Q151" s="100">
        <v>6.7</v>
      </c>
      <c r="R151" s="100">
        <v>0.1</v>
      </c>
      <c r="S151" s="100">
        <v>0</v>
      </c>
      <c r="T151" s="100">
        <v>0</v>
      </c>
      <c r="U151" s="100">
        <v>0</v>
      </c>
    </row>
    <row r="152" spans="4:21">
      <c r="D152" s="97" t="s">
        <v>643</v>
      </c>
      <c r="E152" s="97" t="s">
        <v>644</v>
      </c>
      <c r="F152" s="94" t="s">
        <v>645</v>
      </c>
      <c r="G152" s="97">
        <v>2</v>
      </c>
      <c r="H152" s="98" t="s">
        <v>741</v>
      </c>
      <c r="I152" s="99" t="str">
        <f t="shared" si="2"/>
        <v>부산|2</v>
      </c>
      <c r="J152" s="100">
        <v>0</v>
      </c>
      <c r="K152" s="100">
        <v>0</v>
      </c>
      <c r="L152" s="100">
        <v>0</v>
      </c>
      <c r="M152" s="100">
        <v>0</v>
      </c>
      <c r="N152" s="100">
        <v>0</v>
      </c>
      <c r="O152" s="100">
        <v>0</v>
      </c>
      <c r="P152" s="100">
        <v>0.2</v>
      </c>
      <c r="Q152" s="100">
        <v>1.7</v>
      </c>
      <c r="R152" s="100">
        <v>0.2</v>
      </c>
      <c r="S152" s="100">
        <v>0</v>
      </c>
      <c r="T152" s="100">
        <v>0</v>
      </c>
      <c r="U152" s="100">
        <v>0</v>
      </c>
    </row>
    <row r="153" spans="4:21">
      <c r="D153" s="97" t="s">
        <v>64</v>
      </c>
      <c r="E153" s="97" t="s">
        <v>646</v>
      </c>
      <c r="F153" s="94" t="s">
        <v>647</v>
      </c>
      <c r="G153" s="97">
        <v>2</v>
      </c>
      <c r="H153" s="98" t="s">
        <v>741</v>
      </c>
      <c r="I153" s="99" t="str">
        <f t="shared" si="2"/>
        <v>서울|2</v>
      </c>
      <c r="J153" s="100">
        <v>0</v>
      </c>
      <c r="K153" s="100">
        <v>0</v>
      </c>
      <c r="L153" s="100">
        <v>0</v>
      </c>
      <c r="M153" s="100">
        <v>0</v>
      </c>
      <c r="N153" s="100">
        <v>0</v>
      </c>
      <c r="O153" s="100">
        <v>0</v>
      </c>
      <c r="P153" s="100">
        <v>1.8</v>
      </c>
      <c r="Q153" s="100">
        <v>2.7</v>
      </c>
      <c r="R153" s="100">
        <v>0</v>
      </c>
      <c r="S153" s="100">
        <v>0</v>
      </c>
      <c r="T153" s="100">
        <v>0</v>
      </c>
      <c r="U153" s="100">
        <v>0</v>
      </c>
    </row>
    <row r="154" spans="4:21">
      <c r="D154" s="97" t="s">
        <v>648</v>
      </c>
      <c r="E154" s="97" t="s">
        <v>649</v>
      </c>
      <c r="F154" s="94" t="s">
        <v>650</v>
      </c>
      <c r="G154" s="97">
        <v>2</v>
      </c>
      <c r="H154" s="98" t="s">
        <v>741</v>
      </c>
      <c r="I154" s="99" t="str">
        <f t="shared" si="2"/>
        <v>세종|2</v>
      </c>
      <c r="J154" s="100">
        <v>0</v>
      </c>
      <c r="K154" s="100">
        <v>0</v>
      </c>
      <c r="L154" s="100">
        <v>0</v>
      </c>
      <c r="M154" s="100">
        <v>0</v>
      </c>
      <c r="N154" s="100">
        <v>0</v>
      </c>
      <c r="O154" s="100">
        <v>0</v>
      </c>
      <c r="P154" s="100">
        <v>0</v>
      </c>
      <c r="Q154" s="100">
        <v>2.7</v>
      </c>
      <c r="R154" s="100">
        <v>0</v>
      </c>
      <c r="S154" s="100">
        <v>0</v>
      </c>
      <c r="T154" s="100">
        <v>0</v>
      </c>
      <c r="U154" s="100">
        <v>0</v>
      </c>
    </row>
    <row r="155" spans="4:21">
      <c r="D155" s="97" t="s">
        <v>651</v>
      </c>
      <c r="E155" s="97" t="s">
        <v>652</v>
      </c>
      <c r="F155" s="94" t="s">
        <v>653</v>
      </c>
      <c r="G155" s="97">
        <v>2</v>
      </c>
      <c r="H155" s="98" t="s">
        <v>741</v>
      </c>
      <c r="I155" s="99" t="str">
        <f t="shared" si="2"/>
        <v>울산|2</v>
      </c>
      <c r="J155" s="100">
        <v>0</v>
      </c>
      <c r="K155" s="100">
        <v>0</v>
      </c>
      <c r="L155" s="100">
        <v>0</v>
      </c>
      <c r="M155" s="100">
        <v>0</v>
      </c>
      <c r="N155" s="100">
        <v>0</v>
      </c>
      <c r="O155" s="100">
        <v>0</v>
      </c>
      <c r="P155" s="100">
        <v>1.8</v>
      </c>
      <c r="Q155" s="100">
        <v>3</v>
      </c>
      <c r="R155" s="100">
        <v>0</v>
      </c>
      <c r="S155" s="100">
        <v>0</v>
      </c>
      <c r="T155" s="100">
        <v>0</v>
      </c>
      <c r="U155" s="100">
        <v>0</v>
      </c>
    </row>
    <row r="156" spans="4:21">
      <c r="D156" s="97" t="s">
        <v>654</v>
      </c>
      <c r="E156" s="97" t="s">
        <v>655</v>
      </c>
      <c r="F156" s="94" t="s">
        <v>656</v>
      </c>
      <c r="G156" s="97">
        <v>2</v>
      </c>
      <c r="H156" s="98" t="s">
        <v>741</v>
      </c>
      <c r="I156" s="99" t="str">
        <f t="shared" si="2"/>
        <v>강화|2</v>
      </c>
      <c r="J156" s="100">
        <v>0</v>
      </c>
      <c r="K156" s="100">
        <v>0</v>
      </c>
      <c r="L156" s="100">
        <v>0</v>
      </c>
      <c r="M156" s="100">
        <v>0</v>
      </c>
      <c r="N156" s="100">
        <v>0</v>
      </c>
      <c r="O156" s="100">
        <v>0</v>
      </c>
      <c r="P156" s="100">
        <v>0.3</v>
      </c>
      <c r="Q156" s="100">
        <v>0.6</v>
      </c>
      <c r="R156" s="100">
        <v>0</v>
      </c>
      <c r="S156" s="100">
        <v>0</v>
      </c>
      <c r="T156" s="100">
        <v>0</v>
      </c>
      <c r="U156" s="100">
        <v>0</v>
      </c>
    </row>
    <row r="157" spans="4:21">
      <c r="D157" s="97" t="s">
        <v>657</v>
      </c>
      <c r="E157" s="97" t="s">
        <v>655</v>
      </c>
      <c r="F157" s="94" t="s">
        <v>658</v>
      </c>
      <c r="G157" s="97">
        <v>2</v>
      </c>
      <c r="H157" s="98" t="s">
        <v>741</v>
      </c>
      <c r="I157" s="99" t="str">
        <f t="shared" si="2"/>
        <v>백령도|2</v>
      </c>
      <c r="J157" s="100">
        <v>0</v>
      </c>
      <c r="K157" s="100">
        <v>0</v>
      </c>
      <c r="L157" s="100">
        <v>0</v>
      </c>
      <c r="M157" s="100">
        <v>0</v>
      </c>
      <c r="N157" s="100">
        <v>0</v>
      </c>
      <c r="O157" s="100">
        <v>0</v>
      </c>
      <c r="P157" s="100">
        <v>0</v>
      </c>
      <c r="Q157" s="100">
        <v>0</v>
      </c>
      <c r="R157" s="100">
        <v>0</v>
      </c>
      <c r="S157" s="100">
        <v>0</v>
      </c>
      <c r="T157" s="100">
        <v>0</v>
      </c>
      <c r="U157" s="100">
        <v>0</v>
      </c>
    </row>
    <row r="158" spans="4:21">
      <c r="D158" s="97" t="s">
        <v>659</v>
      </c>
      <c r="E158" s="97" t="s">
        <v>655</v>
      </c>
      <c r="F158" s="94" t="s">
        <v>660</v>
      </c>
      <c r="G158" s="97">
        <v>2</v>
      </c>
      <c r="H158" s="98" t="s">
        <v>741</v>
      </c>
      <c r="I158" s="99" t="str">
        <f t="shared" si="2"/>
        <v>인천|2</v>
      </c>
      <c r="J158" s="100">
        <v>0</v>
      </c>
      <c r="K158" s="100">
        <v>0</v>
      </c>
      <c r="L158" s="100">
        <v>0</v>
      </c>
      <c r="M158" s="100">
        <v>0</v>
      </c>
      <c r="N158" s="100">
        <v>0</v>
      </c>
      <c r="O158" s="100">
        <v>0</v>
      </c>
      <c r="P158" s="100">
        <v>0.1</v>
      </c>
      <c r="Q158" s="100">
        <v>2.1</v>
      </c>
      <c r="R158" s="100">
        <v>0</v>
      </c>
      <c r="S158" s="100">
        <v>0</v>
      </c>
      <c r="T158" s="100">
        <v>0</v>
      </c>
      <c r="U158" s="100">
        <v>0</v>
      </c>
    </row>
    <row r="159" spans="4:21">
      <c r="D159" s="97" t="s">
        <v>661</v>
      </c>
      <c r="E159" s="97" t="s">
        <v>662</v>
      </c>
      <c r="F159" s="94" t="s">
        <v>663</v>
      </c>
      <c r="G159" s="97">
        <v>2</v>
      </c>
      <c r="H159" s="98" t="s">
        <v>741</v>
      </c>
      <c r="I159" s="99" t="str">
        <f t="shared" si="2"/>
        <v>강진군|2</v>
      </c>
      <c r="J159" s="100">
        <v>0</v>
      </c>
      <c r="K159" s="100">
        <v>0</v>
      </c>
      <c r="L159" s="100">
        <v>0</v>
      </c>
      <c r="M159" s="100">
        <v>0</v>
      </c>
      <c r="N159" s="100">
        <v>0</v>
      </c>
      <c r="O159" s="100">
        <v>0</v>
      </c>
      <c r="P159" s="100">
        <v>1.8</v>
      </c>
      <c r="Q159" s="100">
        <v>4.8</v>
      </c>
      <c r="R159" s="100">
        <v>0.4</v>
      </c>
      <c r="S159" s="100">
        <v>0</v>
      </c>
      <c r="T159" s="100">
        <v>0</v>
      </c>
      <c r="U159" s="100">
        <v>0</v>
      </c>
    </row>
    <row r="160" spans="4:21">
      <c r="D160" s="97" t="s">
        <v>664</v>
      </c>
      <c r="E160" s="97" t="s">
        <v>662</v>
      </c>
      <c r="F160" s="94" t="s">
        <v>665</v>
      </c>
      <c r="G160" s="97">
        <v>2</v>
      </c>
      <c r="H160" s="98" t="s">
        <v>741</v>
      </c>
      <c r="I160" s="99" t="str">
        <f t="shared" si="2"/>
        <v>고흥|2</v>
      </c>
      <c r="J160" s="100">
        <v>0</v>
      </c>
      <c r="K160" s="100">
        <v>0</v>
      </c>
      <c r="L160" s="100">
        <v>0</v>
      </c>
      <c r="M160" s="100">
        <v>0</v>
      </c>
      <c r="N160" s="100">
        <v>0</v>
      </c>
      <c r="O160" s="100">
        <v>0</v>
      </c>
      <c r="P160" s="100">
        <v>1.3</v>
      </c>
      <c r="Q160" s="100">
        <v>2.2000000000000002</v>
      </c>
      <c r="R160" s="100">
        <v>0.3</v>
      </c>
      <c r="S160" s="100">
        <v>0</v>
      </c>
      <c r="T160" s="100">
        <v>0</v>
      </c>
      <c r="U160" s="100">
        <v>0</v>
      </c>
    </row>
    <row r="161" spans="4:21">
      <c r="D161" s="97" t="s">
        <v>666</v>
      </c>
      <c r="E161" s="97" t="s">
        <v>662</v>
      </c>
      <c r="F161" s="94" t="s">
        <v>667</v>
      </c>
      <c r="G161" s="97">
        <v>2</v>
      </c>
      <c r="H161" s="98" t="s">
        <v>741</v>
      </c>
      <c r="I161" s="99" t="str">
        <f t="shared" si="2"/>
        <v>광양시|2</v>
      </c>
      <c r="J161" s="100">
        <v>0</v>
      </c>
      <c r="K161" s="100">
        <v>0</v>
      </c>
      <c r="L161" s="100">
        <v>0</v>
      </c>
      <c r="M161" s="100">
        <v>0</v>
      </c>
      <c r="N161" s="100">
        <v>0</v>
      </c>
      <c r="O161" s="100">
        <v>0</v>
      </c>
      <c r="P161" s="100">
        <v>3.8</v>
      </c>
      <c r="Q161" s="100">
        <v>6.3</v>
      </c>
      <c r="R161" s="100">
        <v>0.4</v>
      </c>
      <c r="S161" s="100">
        <v>0</v>
      </c>
      <c r="T161" s="100">
        <v>0</v>
      </c>
      <c r="U161" s="100">
        <v>0</v>
      </c>
    </row>
    <row r="162" spans="4:21">
      <c r="D162" s="97" t="s">
        <v>668</v>
      </c>
      <c r="E162" s="97" t="s">
        <v>662</v>
      </c>
      <c r="F162" s="94" t="s">
        <v>669</v>
      </c>
      <c r="G162" s="97">
        <v>2</v>
      </c>
      <c r="H162" s="98" t="s">
        <v>741</v>
      </c>
      <c r="I162" s="99" t="str">
        <f t="shared" si="2"/>
        <v>목포|2</v>
      </c>
      <c r="J162" s="100">
        <v>0</v>
      </c>
      <c r="K162" s="100">
        <v>0</v>
      </c>
      <c r="L162" s="100">
        <v>0</v>
      </c>
      <c r="M162" s="100">
        <v>0</v>
      </c>
      <c r="N162" s="100">
        <v>0</v>
      </c>
      <c r="O162" s="100">
        <v>0</v>
      </c>
      <c r="P162" s="100">
        <v>0.9</v>
      </c>
      <c r="Q162" s="100">
        <v>3.2</v>
      </c>
      <c r="R162" s="100">
        <v>0</v>
      </c>
      <c r="S162" s="100">
        <v>0</v>
      </c>
      <c r="T162" s="100">
        <v>0</v>
      </c>
      <c r="U162" s="100">
        <v>0</v>
      </c>
    </row>
    <row r="163" spans="4:21">
      <c r="D163" s="97" t="s">
        <v>670</v>
      </c>
      <c r="E163" s="97" t="s">
        <v>662</v>
      </c>
      <c r="F163" s="94" t="s">
        <v>671</v>
      </c>
      <c r="G163" s="97">
        <v>2</v>
      </c>
      <c r="H163" s="98" t="s">
        <v>741</v>
      </c>
      <c r="I163" s="99" t="str">
        <f t="shared" si="2"/>
        <v>보성군|2</v>
      </c>
      <c r="J163" s="100">
        <v>0</v>
      </c>
      <c r="K163" s="100">
        <v>0</v>
      </c>
      <c r="L163" s="100">
        <v>0</v>
      </c>
      <c r="M163" s="100">
        <v>0</v>
      </c>
      <c r="N163" s="100">
        <v>0</v>
      </c>
      <c r="O163" s="100">
        <v>0</v>
      </c>
      <c r="P163" s="100">
        <v>1.5</v>
      </c>
      <c r="Q163" s="100">
        <v>4.7</v>
      </c>
      <c r="R163" s="100">
        <v>0.3</v>
      </c>
      <c r="S163" s="100">
        <v>0</v>
      </c>
      <c r="T163" s="100">
        <v>0</v>
      </c>
      <c r="U163" s="100">
        <v>0</v>
      </c>
    </row>
    <row r="164" spans="4:21">
      <c r="D164" s="97" t="s">
        <v>672</v>
      </c>
      <c r="E164" s="97" t="s">
        <v>662</v>
      </c>
      <c r="F164" s="94" t="s">
        <v>673</v>
      </c>
      <c r="G164" s="97">
        <v>2</v>
      </c>
      <c r="H164" s="98" t="s">
        <v>741</v>
      </c>
      <c r="I164" s="99" t="str">
        <f t="shared" si="2"/>
        <v>순천|2</v>
      </c>
      <c r="J164" s="100">
        <v>0</v>
      </c>
      <c r="K164" s="100">
        <v>0</v>
      </c>
      <c r="L164" s="100">
        <v>0</v>
      </c>
      <c r="M164" s="100">
        <v>0</v>
      </c>
      <c r="N164" s="100">
        <v>0</v>
      </c>
      <c r="O164" s="100">
        <v>0</v>
      </c>
      <c r="P164" s="100">
        <v>1.3</v>
      </c>
      <c r="Q164" s="100">
        <v>2.6</v>
      </c>
      <c r="R164" s="100">
        <v>0</v>
      </c>
      <c r="S164" s="100">
        <v>0</v>
      </c>
      <c r="T164" s="100">
        <v>0</v>
      </c>
      <c r="U164" s="100">
        <v>0</v>
      </c>
    </row>
    <row r="165" spans="4:21">
      <c r="D165" s="97" t="s">
        <v>674</v>
      </c>
      <c r="E165" s="97" t="s">
        <v>662</v>
      </c>
      <c r="F165" s="94" t="s">
        <v>675</v>
      </c>
      <c r="G165" s="97">
        <v>2</v>
      </c>
      <c r="H165" s="98" t="s">
        <v>741</v>
      </c>
      <c r="I165" s="99" t="str">
        <f t="shared" si="2"/>
        <v>여수|2</v>
      </c>
      <c r="J165" s="100">
        <v>0</v>
      </c>
      <c r="K165" s="100">
        <v>0</v>
      </c>
      <c r="L165" s="100">
        <v>0</v>
      </c>
      <c r="M165" s="100">
        <v>0</v>
      </c>
      <c r="N165" s="100">
        <v>0</v>
      </c>
      <c r="O165" s="100">
        <v>0</v>
      </c>
      <c r="P165" s="100">
        <v>0.2</v>
      </c>
      <c r="Q165" s="100">
        <v>0.4</v>
      </c>
      <c r="R165" s="100">
        <v>0</v>
      </c>
      <c r="S165" s="100">
        <v>0</v>
      </c>
      <c r="T165" s="100">
        <v>0</v>
      </c>
      <c r="U165" s="100">
        <v>0</v>
      </c>
    </row>
    <row r="166" spans="4:21">
      <c r="D166" s="97" t="s">
        <v>676</v>
      </c>
      <c r="E166" s="97" t="s">
        <v>662</v>
      </c>
      <c r="F166" s="94" t="s">
        <v>677</v>
      </c>
      <c r="G166" s="97">
        <v>2</v>
      </c>
      <c r="H166" s="98" t="s">
        <v>741</v>
      </c>
      <c r="I166" s="99" t="str">
        <f t="shared" si="2"/>
        <v>영광군|2</v>
      </c>
      <c r="J166" s="100">
        <v>0</v>
      </c>
      <c r="K166" s="100">
        <v>0</v>
      </c>
      <c r="L166" s="100">
        <v>0</v>
      </c>
      <c r="M166" s="100">
        <v>0</v>
      </c>
      <c r="N166" s="100">
        <v>0</v>
      </c>
      <c r="O166" s="100">
        <v>0</v>
      </c>
      <c r="P166" s="100">
        <v>1.4</v>
      </c>
      <c r="Q166" s="100">
        <v>4</v>
      </c>
      <c r="R166" s="100">
        <v>0.3</v>
      </c>
      <c r="S166" s="100">
        <v>0</v>
      </c>
      <c r="T166" s="100">
        <v>0</v>
      </c>
      <c r="U166" s="100">
        <v>0</v>
      </c>
    </row>
    <row r="167" spans="4:21">
      <c r="D167" s="97" t="s">
        <v>678</v>
      </c>
      <c r="E167" s="97" t="s">
        <v>662</v>
      </c>
      <c r="F167" s="94" t="s">
        <v>679</v>
      </c>
      <c r="G167" s="97">
        <v>2</v>
      </c>
      <c r="H167" s="98" t="s">
        <v>741</v>
      </c>
      <c r="I167" s="99" t="str">
        <f t="shared" si="2"/>
        <v>완도|2</v>
      </c>
      <c r="J167" s="100">
        <v>0</v>
      </c>
      <c r="K167" s="100">
        <v>0</v>
      </c>
      <c r="L167" s="100">
        <v>0</v>
      </c>
      <c r="M167" s="100">
        <v>0</v>
      </c>
      <c r="N167" s="100">
        <v>0</v>
      </c>
      <c r="O167" s="100">
        <v>0</v>
      </c>
      <c r="P167" s="100">
        <v>2.2000000000000002</v>
      </c>
      <c r="Q167" s="100">
        <v>5.6</v>
      </c>
      <c r="R167" s="100">
        <v>0.9</v>
      </c>
      <c r="S167" s="100">
        <v>0</v>
      </c>
      <c r="T167" s="100">
        <v>0</v>
      </c>
      <c r="U167" s="100">
        <v>0</v>
      </c>
    </row>
    <row r="168" spans="4:21">
      <c r="D168" s="97" t="s">
        <v>680</v>
      </c>
      <c r="E168" s="97" t="s">
        <v>662</v>
      </c>
      <c r="F168" s="94" t="s">
        <v>681</v>
      </c>
      <c r="G168" s="97">
        <v>2</v>
      </c>
      <c r="H168" s="98" t="s">
        <v>741</v>
      </c>
      <c r="I168" s="99" t="str">
        <f t="shared" si="2"/>
        <v>장흥|2</v>
      </c>
      <c r="J168" s="100">
        <v>0</v>
      </c>
      <c r="K168" s="100">
        <v>0</v>
      </c>
      <c r="L168" s="100">
        <v>0</v>
      </c>
      <c r="M168" s="100">
        <v>0</v>
      </c>
      <c r="N168" s="100">
        <v>0</v>
      </c>
      <c r="O168" s="100">
        <v>0</v>
      </c>
      <c r="P168" s="100">
        <v>1.2</v>
      </c>
      <c r="Q168" s="100">
        <v>3.6</v>
      </c>
      <c r="R168" s="100">
        <v>0</v>
      </c>
      <c r="S168" s="100">
        <v>0</v>
      </c>
      <c r="T168" s="100">
        <v>0</v>
      </c>
      <c r="U168" s="100">
        <v>0</v>
      </c>
    </row>
    <row r="169" spans="4:21">
      <c r="D169" s="97" t="s">
        <v>682</v>
      </c>
      <c r="E169" s="97" t="s">
        <v>662</v>
      </c>
      <c r="F169" s="94" t="s">
        <v>683</v>
      </c>
      <c r="G169" s="97">
        <v>2</v>
      </c>
      <c r="H169" s="98" t="s">
        <v>741</v>
      </c>
      <c r="I169" s="99" t="str">
        <f t="shared" si="2"/>
        <v>진도군|2</v>
      </c>
      <c r="J169" s="100">
        <v>0</v>
      </c>
      <c r="K169" s="100">
        <v>0</v>
      </c>
      <c r="L169" s="100">
        <v>0</v>
      </c>
      <c r="M169" s="100">
        <v>0</v>
      </c>
      <c r="N169" s="100">
        <v>0</v>
      </c>
      <c r="O169" s="100">
        <v>0</v>
      </c>
      <c r="P169" s="100">
        <v>0.1</v>
      </c>
      <c r="Q169" s="100">
        <v>1</v>
      </c>
      <c r="R169" s="100">
        <v>0.1</v>
      </c>
      <c r="S169" s="100">
        <v>0</v>
      </c>
      <c r="T169" s="100">
        <v>0</v>
      </c>
      <c r="U169" s="100">
        <v>0</v>
      </c>
    </row>
    <row r="170" spans="4:21">
      <c r="D170" s="97" t="s">
        <v>684</v>
      </c>
      <c r="E170" s="97" t="s">
        <v>662</v>
      </c>
      <c r="F170" s="94" t="s">
        <v>685</v>
      </c>
      <c r="G170" s="97">
        <v>2</v>
      </c>
      <c r="H170" s="98" t="s">
        <v>741</v>
      </c>
      <c r="I170" s="99" t="str">
        <f t="shared" si="2"/>
        <v>해남|2</v>
      </c>
      <c r="J170" s="100">
        <v>0</v>
      </c>
      <c r="K170" s="100">
        <v>0</v>
      </c>
      <c r="L170" s="100">
        <v>0</v>
      </c>
      <c r="M170" s="100">
        <v>0</v>
      </c>
      <c r="N170" s="100">
        <v>0</v>
      </c>
      <c r="O170" s="100">
        <v>0</v>
      </c>
      <c r="P170" s="100">
        <v>1.5</v>
      </c>
      <c r="Q170" s="100">
        <v>5.5</v>
      </c>
      <c r="R170" s="100">
        <v>0.3</v>
      </c>
      <c r="S170" s="100">
        <v>0</v>
      </c>
      <c r="T170" s="100">
        <v>0</v>
      </c>
      <c r="U170" s="100">
        <v>0</v>
      </c>
    </row>
    <row r="171" spans="4:21">
      <c r="D171" s="97" t="s">
        <v>686</v>
      </c>
      <c r="E171" s="97" t="s">
        <v>662</v>
      </c>
      <c r="F171" s="94" t="s">
        <v>687</v>
      </c>
      <c r="G171" s="97">
        <v>2</v>
      </c>
      <c r="H171" s="98" t="s">
        <v>741</v>
      </c>
      <c r="I171" s="99" t="str">
        <f t="shared" si="2"/>
        <v>흑산도|2</v>
      </c>
      <c r="J171" s="100">
        <v>0</v>
      </c>
      <c r="K171" s="100">
        <v>0</v>
      </c>
      <c r="L171" s="100">
        <v>0</v>
      </c>
      <c r="M171" s="100">
        <v>0</v>
      </c>
      <c r="N171" s="100">
        <v>0</v>
      </c>
      <c r="O171" s="100">
        <v>0</v>
      </c>
      <c r="P171" s="100">
        <v>0.1</v>
      </c>
      <c r="Q171" s="100">
        <v>2.1</v>
      </c>
      <c r="R171" s="100">
        <v>0.4</v>
      </c>
      <c r="S171" s="100">
        <v>0</v>
      </c>
      <c r="T171" s="100">
        <v>0</v>
      </c>
      <c r="U171" s="100">
        <v>0</v>
      </c>
    </row>
    <row r="172" spans="4:21">
      <c r="D172" s="97" t="s">
        <v>688</v>
      </c>
      <c r="E172" s="97" t="s">
        <v>689</v>
      </c>
      <c r="F172" s="94" t="s">
        <v>690</v>
      </c>
      <c r="G172" s="97">
        <v>2</v>
      </c>
      <c r="H172" s="98" t="s">
        <v>741</v>
      </c>
      <c r="I172" s="99" t="str">
        <f t="shared" si="2"/>
        <v>고창|2</v>
      </c>
      <c r="J172" s="100">
        <v>0</v>
      </c>
      <c r="K172" s="100">
        <v>0</v>
      </c>
      <c r="L172" s="100">
        <v>0</v>
      </c>
      <c r="M172" s="100">
        <v>0</v>
      </c>
      <c r="N172" s="100">
        <v>0</v>
      </c>
      <c r="O172" s="100">
        <v>0</v>
      </c>
      <c r="P172" s="100">
        <v>1.7</v>
      </c>
      <c r="Q172" s="100">
        <v>4.4000000000000004</v>
      </c>
      <c r="R172" s="100">
        <v>0.5</v>
      </c>
      <c r="S172" s="100">
        <v>0</v>
      </c>
      <c r="T172" s="100">
        <v>0</v>
      </c>
      <c r="U172" s="100">
        <v>0</v>
      </c>
    </row>
    <row r="173" spans="4:21">
      <c r="D173" s="97" t="s">
        <v>691</v>
      </c>
      <c r="E173" s="97" t="s">
        <v>689</v>
      </c>
      <c r="F173" s="94" t="s">
        <v>692</v>
      </c>
      <c r="G173" s="97">
        <v>2</v>
      </c>
      <c r="H173" s="98" t="s">
        <v>741</v>
      </c>
      <c r="I173" s="99" t="str">
        <f t="shared" si="2"/>
        <v>고창군|2</v>
      </c>
      <c r="J173" s="100">
        <v>0</v>
      </c>
      <c r="K173" s="100">
        <v>0</v>
      </c>
      <c r="L173" s="100">
        <v>0</v>
      </c>
      <c r="M173" s="100">
        <v>0</v>
      </c>
      <c r="N173" s="100">
        <v>0</v>
      </c>
      <c r="O173" s="100">
        <v>0</v>
      </c>
      <c r="P173" s="100">
        <v>2.7</v>
      </c>
      <c r="Q173" s="100">
        <v>5.5</v>
      </c>
      <c r="R173" s="100">
        <v>0.6</v>
      </c>
      <c r="S173" s="100">
        <v>0</v>
      </c>
      <c r="T173" s="100">
        <v>0</v>
      </c>
      <c r="U173" s="100">
        <v>0</v>
      </c>
    </row>
    <row r="174" spans="4:21">
      <c r="D174" s="97" t="s">
        <v>693</v>
      </c>
      <c r="E174" s="97" t="s">
        <v>689</v>
      </c>
      <c r="F174" s="94" t="s">
        <v>694</v>
      </c>
      <c r="G174" s="97">
        <v>2</v>
      </c>
      <c r="H174" s="98" t="s">
        <v>741</v>
      </c>
      <c r="I174" s="99" t="str">
        <f t="shared" si="2"/>
        <v>군산|2</v>
      </c>
      <c r="J174" s="100">
        <v>0</v>
      </c>
      <c r="K174" s="100">
        <v>0</v>
      </c>
      <c r="L174" s="100">
        <v>0</v>
      </c>
      <c r="M174" s="100">
        <v>0</v>
      </c>
      <c r="N174" s="100">
        <v>0</v>
      </c>
      <c r="O174" s="100">
        <v>0</v>
      </c>
      <c r="P174" s="100">
        <v>1.5</v>
      </c>
      <c r="Q174" s="100">
        <v>4.3</v>
      </c>
      <c r="R174" s="100">
        <v>0.1</v>
      </c>
      <c r="S174" s="100">
        <v>0</v>
      </c>
      <c r="T174" s="100">
        <v>0</v>
      </c>
      <c r="U174" s="100">
        <v>0</v>
      </c>
    </row>
    <row r="175" spans="4:21">
      <c r="D175" s="97" t="s">
        <v>695</v>
      </c>
      <c r="E175" s="97" t="s">
        <v>689</v>
      </c>
      <c r="F175" s="94" t="s">
        <v>696</v>
      </c>
      <c r="G175" s="97">
        <v>2</v>
      </c>
      <c r="H175" s="98" t="s">
        <v>741</v>
      </c>
      <c r="I175" s="99" t="str">
        <f t="shared" si="2"/>
        <v>남원|2</v>
      </c>
      <c r="J175" s="100">
        <v>0</v>
      </c>
      <c r="K175" s="100">
        <v>0</v>
      </c>
      <c r="L175" s="100">
        <v>0</v>
      </c>
      <c r="M175" s="100">
        <v>0</v>
      </c>
      <c r="N175" s="100">
        <v>0</v>
      </c>
      <c r="O175" s="100">
        <v>0</v>
      </c>
      <c r="P175" s="100">
        <v>0.7</v>
      </c>
      <c r="Q175" s="100">
        <v>2.2000000000000002</v>
      </c>
      <c r="R175" s="100">
        <v>0.4</v>
      </c>
      <c r="S175" s="100">
        <v>0</v>
      </c>
      <c r="T175" s="100">
        <v>0</v>
      </c>
      <c r="U175" s="100">
        <v>0</v>
      </c>
    </row>
    <row r="176" spans="4:21">
      <c r="D176" s="97" t="s">
        <v>697</v>
      </c>
      <c r="E176" s="97" t="s">
        <v>689</v>
      </c>
      <c r="F176" s="94" t="s">
        <v>698</v>
      </c>
      <c r="G176" s="97">
        <v>2</v>
      </c>
      <c r="H176" s="98" t="s">
        <v>741</v>
      </c>
      <c r="I176" s="99" t="str">
        <f t="shared" si="2"/>
        <v>부안|2</v>
      </c>
      <c r="J176" s="100">
        <v>0</v>
      </c>
      <c r="K176" s="100">
        <v>0</v>
      </c>
      <c r="L176" s="100">
        <v>0</v>
      </c>
      <c r="M176" s="100">
        <v>0</v>
      </c>
      <c r="N176" s="100">
        <v>0</v>
      </c>
      <c r="O176" s="100">
        <v>0</v>
      </c>
      <c r="P176" s="100">
        <v>1.5</v>
      </c>
      <c r="Q176" s="100">
        <v>3.4</v>
      </c>
      <c r="R176" s="100">
        <v>0.2</v>
      </c>
      <c r="S176" s="100">
        <v>0</v>
      </c>
      <c r="T176" s="100">
        <v>0</v>
      </c>
      <c r="U176" s="100">
        <v>0</v>
      </c>
    </row>
    <row r="177" spans="4:21">
      <c r="D177" s="97" t="s">
        <v>699</v>
      </c>
      <c r="E177" s="97" t="s">
        <v>689</v>
      </c>
      <c r="F177" s="94" t="s">
        <v>700</v>
      </c>
      <c r="G177" s="97">
        <v>2</v>
      </c>
      <c r="H177" s="98" t="s">
        <v>741</v>
      </c>
      <c r="I177" s="99" t="str">
        <f t="shared" si="2"/>
        <v>순창군|2</v>
      </c>
      <c r="J177" s="100">
        <v>0</v>
      </c>
      <c r="K177" s="100">
        <v>0</v>
      </c>
      <c r="L177" s="100">
        <v>0</v>
      </c>
      <c r="M177" s="100">
        <v>0</v>
      </c>
      <c r="N177" s="100">
        <v>0</v>
      </c>
      <c r="O177" s="100">
        <v>0</v>
      </c>
      <c r="P177" s="100">
        <v>1.4</v>
      </c>
      <c r="Q177" s="100">
        <v>3.9</v>
      </c>
      <c r="R177" s="100">
        <v>0.2</v>
      </c>
      <c r="S177" s="100">
        <v>0</v>
      </c>
      <c r="T177" s="100">
        <v>0</v>
      </c>
      <c r="U177" s="100">
        <v>0</v>
      </c>
    </row>
    <row r="178" spans="4:21">
      <c r="D178" s="97" t="s">
        <v>701</v>
      </c>
      <c r="E178" s="97" t="s">
        <v>689</v>
      </c>
      <c r="F178" s="94" t="s">
        <v>702</v>
      </c>
      <c r="G178" s="97">
        <v>2</v>
      </c>
      <c r="H178" s="98" t="s">
        <v>741</v>
      </c>
      <c r="I178" s="99" t="str">
        <f t="shared" si="2"/>
        <v>임실|2</v>
      </c>
      <c r="J178" s="100">
        <v>0</v>
      </c>
      <c r="K178" s="100">
        <v>0</v>
      </c>
      <c r="L178" s="100">
        <v>0</v>
      </c>
      <c r="M178" s="100">
        <v>0</v>
      </c>
      <c r="N178" s="100">
        <v>0</v>
      </c>
      <c r="O178" s="100">
        <v>0</v>
      </c>
      <c r="P178" s="100">
        <v>0.9</v>
      </c>
      <c r="Q178" s="100">
        <v>1.6</v>
      </c>
      <c r="R178" s="100">
        <v>0</v>
      </c>
      <c r="S178" s="100">
        <v>0</v>
      </c>
      <c r="T178" s="100">
        <v>0</v>
      </c>
      <c r="U178" s="100">
        <v>0</v>
      </c>
    </row>
    <row r="179" spans="4:21">
      <c r="D179" s="97" t="s">
        <v>703</v>
      </c>
      <c r="E179" s="97" t="s">
        <v>689</v>
      </c>
      <c r="F179" s="94" t="s">
        <v>704</v>
      </c>
      <c r="G179" s="97">
        <v>2</v>
      </c>
      <c r="H179" s="98" t="s">
        <v>741</v>
      </c>
      <c r="I179" s="99" t="str">
        <f t="shared" si="2"/>
        <v>장수|2</v>
      </c>
      <c r="J179" s="100">
        <v>0</v>
      </c>
      <c r="K179" s="100">
        <v>0</v>
      </c>
      <c r="L179" s="100">
        <v>0</v>
      </c>
      <c r="M179" s="100">
        <v>0</v>
      </c>
      <c r="N179" s="100">
        <v>0</v>
      </c>
      <c r="O179" s="100">
        <v>0</v>
      </c>
      <c r="P179" s="100">
        <v>0.1</v>
      </c>
      <c r="Q179" s="100">
        <v>0</v>
      </c>
      <c r="R179" s="100">
        <v>0</v>
      </c>
      <c r="S179" s="100">
        <v>0</v>
      </c>
      <c r="T179" s="100">
        <v>0</v>
      </c>
      <c r="U179" s="100">
        <v>0</v>
      </c>
    </row>
    <row r="180" spans="4:21">
      <c r="D180" s="97" t="s">
        <v>705</v>
      </c>
      <c r="E180" s="97" t="s">
        <v>689</v>
      </c>
      <c r="F180" s="94" t="s">
        <v>706</v>
      </c>
      <c r="G180" s="97">
        <v>2</v>
      </c>
      <c r="H180" s="98" t="s">
        <v>741</v>
      </c>
      <c r="I180" s="99" t="str">
        <f t="shared" si="2"/>
        <v>전주|2</v>
      </c>
      <c r="J180" s="100">
        <v>0</v>
      </c>
      <c r="K180" s="100">
        <v>0</v>
      </c>
      <c r="L180" s="100">
        <v>0</v>
      </c>
      <c r="M180" s="100">
        <v>0</v>
      </c>
      <c r="N180" s="100">
        <v>0</v>
      </c>
      <c r="O180" s="100">
        <v>0</v>
      </c>
      <c r="P180" s="100">
        <v>2.7</v>
      </c>
      <c r="Q180" s="100">
        <v>6.6</v>
      </c>
      <c r="R180" s="100">
        <v>0.4</v>
      </c>
      <c r="S180" s="100">
        <v>0</v>
      </c>
      <c r="T180" s="100">
        <v>0</v>
      </c>
      <c r="U180" s="100">
        <v>0</v>
      </c>
    </row>
    <row r="181" spans="4:21">
      <c r="D181" s="97" t="s">
        <v>707</v>
      </c>
      <c r="E181" s="97" t="s">
        <v>689</v>
      </c>
      <c r="F181" s="94" t="s">
        <v>708</v>
      </c>
      <c r="G181" s="97">
        <v>2</v>
      </c>
      <c r="H181" s="98" t="s">
        <v>741</v>
      </c>
      <c r="I181" s="99" t="str">
        <f t="shared" si="2"/>
        <v>정읍|2</v>
      </c>
      <c r="J181" s="100">
        <v>0</v>
      </c>
      <c r="K181" s="100">
        <v>0</v>
      </c>
      <c r="L181" s="100">
        <v>0</v>
      </c>
      <c r="M181" s="100">
        <v>0</v>
      </c>
      <c r="N181" s="100">
        <v>0</v>
      </c>
      <c r="O181" s="100">
        <v>0</v>
      </c>
      <c r="P181" s="100">
        <v>2.8</v>
      </c>
      <c r="Q181" s="100">
        <v>6.3</v>
      </c>
      <c r="R181" s="100">
        <v>0.6</v>
      </c>
      <c r="S181" s="100">
        <v>0</v>
      </c>
      <c r="T181" s="100">
        <v>0</v>
      </c>
      <c r="U181" s="100">
        <v>0</v>
      </c>
    </row>
    <row r="182" spans="4:21">
      <c r="D182" s="97" t="s">
        <v>709</v>
      </c>
      <c r="E182" s="97" t="s">
        <v>710</v>
      </c>
      <c r="F182" s="94" t="s">
        <v>711</v>
      </c>
      <c r="G182" s="97">
        <v>2</v>
      </c>
      <c r="H182" s="98" t="s">
        <v>741</v>
      </c>
      <c r="I182" s="99" t="str">
        <f t="shared" si="2"/>
        <v>고산|2</v>
      </c>
      <c r="J182" s="100">
        <v>0</v>
      </c>
      <c r="K182" s="100">
        <v>0</v>
      </c>
      <c r="L182" s="100">
        <v>0</v>
      </c>
      <c r="M182" s="100">
        <v>0</v>
      </c>
      <c r="N182" s="100">
        <v>0</v>
      </c>
      <c r="O182" s="100">
        <v>0</v>
      </c>
      <c r="P182" s="100">
        <v>1.1000000000000001</v>
      </c>
      <c r="Q182" s="100">
        <v>2.1</v>
      </c>
      <c r="R182" s="100">
        <v>0</v>
      </c>
      <c r="S182" s="100">
        <v>0</v>
      </c>
      <c r="T182" s="100">
        <v>0</v>
      </c>
      <c r="U182" s="100">
        <v>0</v>
      </c>
    </row>
    <row r="183" spans="4:21">
      <c r="D183" s="97" t="s">
        <v>712</v>
      </c>
      <c r="E183" s="97" t="s">
        <v>710</v>
      </c>
      <c r="F183" s="94" t="s">
        <v>713</v>
      </c>
      <c r="G183" s="97">
        <v>2</v>
      </c>
      <c r="H183" s="98" t="s">
        <v>741</v>
      </c>
      <c r="I183" s="99" t="str">
        <f t="shared" si="2"/>
        <v>서귀포|2</v>
      </c>
      <c r="J183" s="100">
        <v>0</v>
      </c>
      <c r="K183" s="100">
        <v>0</v>
      </c>
      <c r="L183" s="100">
        <v>0</v>
      </c>
      <c r="M183" s="100">
        <v>0</v>
      </c>
      <c r="N183" s="100">
        <v>0</v>
      </c>
      <c r="O183" s="100">
        <v>0</v>
      </c>
      <c r="P183" s="100">
        <v>0.5</v>
      </c>
      <c r="Q183" s="100">
        <v>1.9</v>
      </c>
      <c r="R183" s="100">
        <v>0</v>
      </c>
      <c r="S183" s="100">
        <v>0</v>
      </c>
      <c r="T183" s="100">
        <v>0</v>
      </c>
      <c r="U183" s="100">
        <v>0</v>
      </c>
    </row>
    <row r="184" spans="4:21">
      <c r="D184" s="97" t="s">
        <v>714</v>
      </c>
      <c r="E184" s="97" t="s">
        <v>710</v>
      </c>
      <c r="F184" s="94" t="s">
        <v>715</v>
      </c>
      <c r="G184" s="97">
        <v>2</v>
      </c>
      <c r="H184" s="98" t="s">
        <v>741</v>
      </c>
      <c r="I184" s="99" t="str">
        <f t="shared" si="2"/>
        <v>성산|2</v>
      </c>
      <c r="J184" s="100">
        <v>0</v>
      </c>
      <c r="K184" s="100">
        <v>0</v>
      </c>
      <c r="L184" s="100">
        <v>0</v>
      </c>
      <c r="M184" s="100">
        <v>0</v>
      </c>
      <c r="N184" s="100">
        <v>0</v>
      </c>
      <c r="O184" s="100">
        <v>0</v>
      </c>
      <c r="P184" s="100">
        <v>0.8</v>
      </c>
      <c r="Q184" s="100">
        <v>1.3</v>
      </c>
      <c r="R184" s="100">
        <v>0</v>
      </c>
      <c r="S184" s="100">
        <v>0</v>
      </c>
      <c r="T184" s="100">
        <v>0</v>
      </c>
      <c r="U184" s="100">
        <v>0</v>
      </c>
    </row>
    <row r="185" spans="4:21">
      <c r="D185" s="97" t="s">
        <v>716</v>
      </c>
      <c r="E185" s="97" t="s">
        <v>710</v>
      </c>
      <c r="F185" s="94" t="s">
        <v>717</v>
      </c>
      <c r="G185" s="97">
        <v>2</v>
      </c>
      <c r="H185" s="98" t="s">
        <v>741</v>
      </c>
      <c r="I185" s="99" t="str">
        <f t="shared" si="2"/>
        <v>제주|2</v>
      </c>
      <c r="J185" s="100">
        <v>0</v>
      </c>
      <c r="K185" s="100">
        <v>0</v>
      </c>
      <c r="L185" s="100">
        <v>0</v>
      </c>
      <c r="M185" s="100">
        <v>0</v>
      </c>
      <c r="N185" s="100">
        <v>0</v>
      </c>
      <c r="O185" s="100">
        <v>0</v>
      </c>
      <c r="P185" s="100">
        <v>2.1</v>
      </c>
      <c r="Q185" s="100">
        <v>3.3</v>
      </c>
      <c r="R185" s="100">
        <v>0</v>
      </c>
      <c r="S185" s="100">
        <v>0</v>
      </c>
      <c r="T185" s="100">
        <v>0</v>
      </c>
      <c r="U185" s="100">
        <v>0</v>
      </c>
    </row>
    <row r="186" spans="4:21">
      <c r="D186" s="97" t="s">
        <v>718</v>
      </c>
      <c r="E186" s="97" t="s">
        <v>719</v>
      </c>
      <c r="F186" s="94" t="s">
        <v>720</v>
      </c>
      <c r="G186" s="97">
        <v>2</v>
      </c>
      <c r="H186" s="98" t="s">
        <v>741</v>
      </c>
      <c r="I186" s="99" t="str">
        <f t="shared" si="2"/>
        <v>금산|2</v>
      </c>
      <c r="J186" s="100">
        <v>0</v>
      </c>
      <c r="K186" s="100">
        <v>0</v>
      </c>
      <c r="L186" s="100">
        <v>0</v>
      </c>
      <c r="M186" s="100">
        <v>0</v>
      </c>
      <c r="N186" s="100">
        <v>0</v>
      </c>
      <c r="O186" s="100">
        <v>0</v>
      </c>
      <c r="P186" s="100">
        <v>0.9</v>
      </c>
      <c r="Q186" s="100">
        <v>2.7</v>
      </c>
      <c r="R186" s="100">
        <v>0.1</v>
      </c>
      <c r="S186" s="100">
        <v>0</v>
      </c>
      <c r="T186" s="100">
        <v>0</v>
      </c>
      <c r="U186" s="100">
        <v>0</v>
      </c>
    </row>
    <row r="187" spans="4:21">
      <c r="D187" s="97" t="s">
        <v>721</v>
      </c>
      <c r="E187" s="97" t="s">
        <v>719</v>
      </c>
      <c r="F187" s="94" t="s">
        <v>722</v>
      </c>
      <c r="G187" s="97">
        <v>2</v>
      </c>
      <c r="H187" s="98" t="s">
        <v>741</v>
      </c>
      <c r="I187" s="99" t="str">
        <f t="shared" si="2"/>
        <v>보령|2</v>
      </c>
      <c r="J187" s="100">
        <v>0</v>
      </c>
      <c r="K187" s="100">
        <v>0</v>
      </c>
      <c r="L187" s="100">
        <v>0</v>
      </c>
      <c r="M187" s="100">
        <v>0</v>
      </c>
      <c r="N187" s="100">
        <v>0</v>
      </c>
      <c r="O187" s="100">
        <v>0</v>
      </c>
      <c r="P187" s="100">
        <v>1</v>
      </c>
      <c r="Q187" s="100">
        <v>4.3</v>
      </c>
      <c r="R187" s="100">
        <v>0.5</v>
      </c>
      <c r="S187" s="100">
        <v>0</v>
      </c>
      <c r="T187" s="100">
        <v>0</v>
      </c>
      <c r="U187" s="100">
        <v>0</v>
      </c>
    </row>
    <row r="188" spans="4:21">
      <c r="D188" s="97" t="s">
        <v>723</v>
      </c>
      <c r="E188" s="97" t="s">
        <v>719</v>
      </c>
      <c r="F188" s="94" t="s">
        <v>724</v>
      </c>
      <c r="G188" s="97">
        <v>2</v>
      </c>
      <c r="H188" s="98" t="s">
        <v>741</v>
      </c>
      <c r="I188" s="99" t="str">
        <f t="shared" si="2"/>
        <v>부여|2</v>
      </c>
      <c r="J188" s="100">
        <v>0</v>
      </c>
      <c r="K188" s="100">
        <v>0</v>
      </c>
      <c r="L188" s="100">
        <v>0</v>
      </c>
      <c r="M188" s="100">
        <v>0</v>
      </c>
      <c r="N188" s="100">
        <v>0</v>
      </c>
      <c r="O188" s="100">
        <v>0</v>
      </c>
      <c r="P188" s="100">
        <v>1.3</v>
      </c>
      <c r="Q188" s="100">
        <v>4.7</v>
      </c>
      <c r="R188" s="100">
        <v>0.3</v>
      </c>
      <c r="S188" s="100">
        <v>0</v>
      </c>
      <c r="T188" s="100">
        <v>0</v>
      </c>
      <c r="U188" s="100">
        <v>0</v>
      </c>
    </row>
    <row r="189" spans="4:21">
      <c r="D189" s="97" t="s">
        <v>91</v>
      </c>
      <c r="E189" s="97" t="s">
        <v>719</v>
      </c>
      <c r="F189" s="94" t="s">
        <v>725</v>
      </c>
      <c r="G189" s="97">
        <v>2</v>
      </c>
      <c r="H189" s="98" t="s">
        <v>741</v>
      </c>
      <c r="I189" s="99" t="str">
        <f t="shared" si="2"/>
        <v>서산|2</v>
      </c>
      <c r="J189" s="100">
        <v>0</v>
      </c>
      <c r="K189" s="100">
        <v>0</v>
      </c>
      <c r="L189" s="100">
        <v>0</v>
      </c>
      <c r="M189" s="100">
        <v>0</v>
      </c>
      <c r="N189" s="100">
        <v>0</v>
      </c>
      <c r="O189" s="100">
        <v>0</v>
      </c>
      <c r="P189" s="100">
        <v>1.3</v>
      </c>
      <c r="Q189" s="100">
        <v>4.5999999999999996</v>
      </c>
      <c r="R189" s="100">
        <v>0</v>
      </c>
      <c r="S189" s="100">
        <v>0</v>
      </c>
      <c r="T189" s="100">
        <v>0</v>
      </c>
      <c r="U189" s="100">
        <v>0</v>
      </c>
    </row>
    <row r="190" spans="4:21">
      <c r="D190" s="97" t="s">
        <v>726</v>
      </c>
      <c r="E190" s="97" t="s">
        <v>719</v>
      </c>
      <c r="F190" s="94" t="s">
        <v>727</v>
      </c>
      <c r="G190" s="97">
        <v>2</v>
      </c>
      <c r="H190" s="98" t="s">
        <v>741</v>
      </c>
      <c r="I190" s="99" t="str">
        <f t="shared" si="2"/>
        <v>천안|2</v>
      </c>
      <c r="J190" s="100">
        <v>0</v>
      </c>
      <c r="K190" s="100">
        <v>0</v>
      </c>
      <c r="L190" s="100">
        <v>0</v>
      </c>
      <c r="M190" s="100">
        <v>0</v>
      </c>
      <c r="N190" s="100">
        <v>0</v>
      </c>
      <c r="O190" s="100">
        <v>0</v>
      </c>
      <c r="P190" s="100">
        <v>0.1</v>
      </c>
      <c r="Q190" s="100">
        <v>0.8</v>
      </c>
      <c r="R190" s="100">
        <v>0</v>
      </c>
      <c r="S190" s="100">
        <v>0</v>
      </c>
      <c r="T190" s="100">
        <v>0</v>
      </c>
      <c r="U190" s="100">
        <v>0</v>
      </c>
    </row>
    <row r="191" spans="4:21">
      <c r="D191" s="97" t="s">
        <v>728</v>
      </c>
      <c r="E191" s="97" t="s">
        <v>719</v>
      </c>
      <c r="F191" s="94" t="s">
        <v>729</v>
      </c>
      <c r="G191" s="97">
        <v>2</v>
      </c>
      <c r="H191" s="98" t="s">
        <v>741</v>
      </c>
      <c r="I191" s="99" t="str">
        <f t="shared" si="2"/>
        <v>홍성|2</v>
      </c>
      <c r="J191" s="100">
        <v>0</v>
      </c>
      <c r="K191" s="100">
        <v>0</v>
      </c>
      <c r="L191" s="100">
        <v>0</v>
      </c>
      <c r="M191" s="100">
        <v>0</v>
      </c>
      <c r="N191" s="100">
        <v>0</v>
      </c>
      <c r="O191" s="100">
        <v>0</v>
      </c>
      <c r="P191" s="100">
        <v>1.9</v>
      </c>
      <c r="Q191" s="100">
        <v>5.8</v>
      </c>
      <c r="R191" s="100">
        <v>0</v>
      </c>
      <c r="S191" s="100">
        <v>0</v>
      </c>
      <c r="T191" s="100">
        <v>0</v>
      </c>
      <c r="U191" s="100">
        <v>0</v>
      </c>
    </row>
    <row r="192" spans="4:21">
      <c r="D192" s="97" t="s">
        <v>730</v>
      </c>
      <c r="E192" s="97" t="s">
        <v>731</v>
      </c>
      <c r="F192" s="94" t="s">
        <v>732</v>
      </c>
      <c r="G192" s="97">
        <v>2</v>
      </c>
      <c r="H192" s="98" t="s">
        <v>741</v>
      </c>
      <c r="I192" s="99" t="str">
        <f t="shared" si="2"/>
        <v>보은|2</v>
      </c>
      <c r="J192" s="100">
        <v>0</v>
      </c>
      <c r="K192" s="100">
        <v>0</v>
      </c>
      <c r="L192" s="100">
        <v>0</v>
      </c>
      <c r="M192" s="100">
        <v>0</v>
      </c>
      <c r="N192" s="100">
        <v>0</v>
      </c>
      <c r="O192" s="100">
        <v>0</v>
      </c>
      <c r="P192" s="100">
        <v>1</v>
      </c>
      <c r="Q192" s="100">
        <v>1.8</v>
      </c>
      <c r="R192" s="100">
        <v>0</v>
      </c>
      <c r="S192" s="100">
        <v>0</v>
      </c>
      <c r="T192" s="100">
        <v>0</v>
      </c>
      <c r="U192" s="100">
        <v>0</v>
      </c>
    </row>
    <row r="193" spans="4:21">
      <c r="D193" s="97" t="s">
        <v>733</v>
      </c>
      <c r="E193" s="97" t="s">
        <v>731</v>
      </c>
      <c r="F193" s="94" t="s">
        <v>734</v>
      </c>
      <c r="G193" s="97">
        <v>2</v>
      </c>
      <c r="H193" s="98" t="s">
        <v>741</v>
      </c>
      <c r="I193" s="99" t="str">
        <f t="shared" si="2"/>
        <v>제천|2</v>
      </c>
      <c r="J193" s="100">
        <v>0</v>
      </c>
      <c r="K193" s="100">
        <v>0</v>
      </c>
      <c r="L193" s="100">
        <v>0</v>
      </c>
      <c r="M193" s="100">
        <v>0</v>
      </c>
      <c r="N193" s="100">
        <v>0</v>
      </c>
      <c r="O193" s="100">
        <v>0</v>
      </c>
      <c r="P193" s="100">
        <v>0.6</v>
      </c>
      <c r="Q193" s="100">
        <v>1.3</v>
      </c>
      <c r="R193" s="100">
        <v>0</v>
      </c>
      <c r="S193" s="100">
        <v>0</v>
      </c>
      <c r="T193" s="100">
        <v>0</v>
      </c>
      <c r="U193" s="100">
        <v>0</v>
      </c>
    </row>
    <row r="194" spans="4:21">
      <c r="D194" s="97" t="s">
        <v>735</v>
      </c>
      <c r="E194" s="97" t="s">
        <v>731</v>
      </c>
      <c r="F194" s="94" t="s">
        <v>736</v>
      </c>
      <c r="G194" s="97">
        <v>2</v>
      </c>
      <c r="H194" s="98" t="s">
        <v>741</v>
      </c>
      <c r="I194" s="99" t="str">
        <f t="shared" si="2"/>
        <v>청주|2</v>
      </c>
      <c r="J194" s="100">
        <v>0</v>
      </c>
      <c r="K194" s="100">
        <v>0</v>
      </c>
      <c r="L194" s="100">
        <v>0</v>
      </c>
      <c r="M194" s="100">
        <v>0</v>
      </c>
      <c r="N194" s="100">
        <v>0</v>
      </c>
      <c r="O194" s="100">
        <v>0</v>
      </c>
      <c r="P194" s="100">
        <v>1</v>
      </c>
      <c r="Q194" s="100">
        <v>3.7</v>
      </c>
      <c r="R194" s="100">
        <v>0</v>
      </c>
      <c r="S194" s="100">
        <v>0</v>
      </c>
      <c r="T194" s="100">
        <v>0</v>
      </c>
      <c r="U194" s="100">
        <v>0</v>
      </c>
    </row>
    <row r="195" spans="4:21">
      <c r="D195" s="97" t="s">
        <v>737</v>
      </c>
      <c r="E195" s="97" t="s">
        <v>731</v>
      </c>
      <c r="F195" s="94" t="s">
        <v>738</v>
      </c>
      <c r="G195" s="97">
        <v>2</v>
      </c>
      <c r="H195" s="98" t="s">
        <v>741</v>
      </c>
      <c r="I195" s="99" t="str">
        <f t="shared" si="2"/>
        <v>추풍령|2</v>
      </c>
      <c r="J195" s="100">
        <v>0</v>
      </c>
      <c r="K195" s="100">
        <v>0</v>
      </c>
      <c r="L195" s="100">
        <v>0</v>
      </c>
      <c r="M195" s="100">
        <v>0</v>
      </c>
      <c r="N195" s="100">
        <v>0</v>
      </c>
      <c r="O195" s="100">
        <v>0</v>
      </c>
      <c r="P195" s="100">
        <v>0.5</v>
      </c>
      <c r="Q195" s="100">
        <v>0.5</v>
      </c>
      <c r="R195" s="100">
        <v>0</v>
      </c>
      <c r="S195" s="100">
        <v>0</v>
      </c>
      <c r="T195" s="100">
        <v>0</v>
      </c>
      <c r="U195" s="100">
        <v>0</v>
      </c>
    </row>
    <row r="196" spans="4:21">
      <c r="D196" s="97" t="s">
        <v>739</v>
      </c>
      <c r="E196" s="97" t="s">
        <v>731</v>
      </c>
      <c r="F196" s="94" t="s">
        <v>740</v>
      </c>
      <c r="G196" s="97">
        <v>2</v>
      </c>
      <c r="H196" s="98" t="s">
        <v>741</v>
      </c>
      <c r="I196" s="99" t="str">
        <f t="shared" si="2"/>
        <v>충주|2</v>
      </c>
      <c r="J196" s="100">
        <v>0</v>
      </c>
      <c r="K196" s="100">
        <v>0</v>
      </c>
      <c r="L196" s="100">
        <v>0</v>
      </c>
      <c r="M196" s="100">
        <v>0</v>
      </c>
      <c r="N196" s="100">
        <v>0</v>
      </c>
      <c r="O196" s="100">
        <v>0</v>
      </c>
      <c r="P196" s="100">
        <v>0.9</v>
      </c>
      <c r="Q196" s="100">
        <v>2.6</v>
      </c>
      <c r="R196" s="100">
        <v>0</v>
      </c>
      <c r="S196" s="100">
        <v>0</v>
      </c>
      <c r="T196" s="100">
        <v>0</v>
      </c>
      <c r="U196" s="100">
        <v>0</v>
      </c>
    </row>
    <row r="197" spans="4:21">
      <c r="D197" s="97" t="s">
        <v>535</v>
      </c>
      <c r="E197" s="97" t="s">
        <v>536</v>
      </c>
      <c r="F197" s="94" t="s">
        <v>537</v>
      </c>
      <c r="G197" s="97">
        <v>3</v>
      </c>
      <c r="H197" s="98" t="s">
        <v>742</v>
      </c>
      <c r="I197" s="99" t="str">
        <f t="shared" si="2"/>
        <v>강릉|3</v>
      </c>
      <c r="J197" s="100">
        <v>0</v>
      </c>
      <c r="K197" s="100">
        <v>0</v>
      </c>
      <c r="L197" s="100">
        <v>0</v>
      </c>
      <c r="M197" s="100">
        <v>0</v>
      </c>
      <c r="N197" s="100">
        <v>1</v>
      </c>
      <c r="O197" s="100">
        <v>1.7</v>
      </c>
      <c r="P197" s="100">
        <v>7.5</v>
      </c>
      <c r="Q197" s="100">
        <v>6.9</v>
      </c>
      <c r="R197" s="100">
        <v>0.4</v>
      </c>
      <c r="S197" s="100">
        <v>0</v>
      </c>
      <c r="T197" s="100">
        <v>0</v>
      </c>
      <c r="U197" s="100">
        <v>0</v>
      </c>
    </row>
    <row r="198" spans="4:21">
      <c r="D198" s="97" t="s">
        <v>539</v>
      </c>
      <c r="E198" s="97" t="s">
        <v>536</v>
      </c>
      <c r="F198" s="94" t="s">
        <v>540</v>
      </c>
      <c r="G198" s="97">
        <v>3</v>
      </c>
      <c r="H198" s="98" t="s">
        <v>742</v>
      </c>
      <c r="I198" s="99" t="str">
        <f t="shared" si="2"/>
        <v>대관령|3</v>
      </c>
      <c r="J198" s="100">
        <v>0</v>
      </c>
      <c r="K198" s="100">
        <v>0</v>
      </c>
      <c r="L198" s="100">
        <v>0</v>
      </c>
      <c r="M198" s="100">
        <v>0</v>
      </c>
      <c r="N198" s="100">
        <v>0</v>
      </c>
      <c r="O198" s="100">
        <v>0</v>
      </c>
      <c r="P198" s="100">
        <v>0</v>
      </c>
      <c r="Q198" s="100">
        <v>0</v>
      </c>
      <c r="R198" s="100">
        <v>0</v>
      </c>
      <c r="S198" s="100">
        <v>0</v>
      </c>
      <c r="T198" s="100">
        <v>0</v>
      </c>
      <c r="U198" s="100">
        <v>0</v>
      </c>
    </row>
    <row r="199" spans="4:21">
      <c r="D199" s="97" t="s">
        <v>541</v>
      </c>
      <c r="E199" s="97" t="s">
        <v>536</v>
      </c>
      <c r="F199" s="94" t="s">
        <v>542</v>
      </c>
      <c r="G199" s="97">
        <v>3</v>
      </c>
      <c r="H199" s="98" t="s">
        <v>742</v>
      </c>
      <c r="I199" s="99" t="str">
        <f t="shared" ref="I199:I262" si="3">$D199&amp;"|"&amp;$G199</f>
        <v>동해|3</v>
      </c>
      <c r="J199" s="100">
        <v>0</v>
      </c>
      <c r="K199" s="100">
        <v>0</v>
      </c>
      <c r="L199" s="100">
        <v>0</v>
      </c>
      <c r="M199" s="100">
        <v>0</v>
      </c>
      <c r="N199" s="100">
        <v>0.3</v>
      </c>
      <c r="O199" s="100">
        <v>0.4</v>
      </c>
      <c r="P199" s="100">
        <v>2.4</v>
      </c>
      <c r="Q199" s="100">
        <v>2</v>
      </c>
      <c r="R199" s="100">
        <v>0.1</v>
      </c>
      <c r="S199" s="100">
        <v>0</v>
      </c>
      <c r="T199" s="100">
        <v>0</v>
      </c>
      <c r="U199" s="100">
        <v>0</v>
      </c>
    </row>
    <row r="200" spans="4:21">
      <c r="D200" s="97" t="s">
        <v>543</v>
      </c>
      <c r="E200" s="97" t="s">
        <v>536</v>
      </c>
      <c r="F200" s="94" t="s">
        <v>544</v>
      </c>
      <c r="G200" s="97">
        <v>3</v>
      </c>
      <c r="H200" s="98" t="s">
        <v>742</v>
      </c>
      <c r="I200" s="99" t="str">
        <f t="shared" si="3"/>
        <v>북강릉|3</v>
      </c>
      <c r="J200" s="100">
        <v>0</v>
      </c>
      <c r="K200" s="100">
        <v>0</v>
      </c>
      <c r="L200" s="100">
        <v>0</v>
      </c>
      <c r="M200" s="100">
        <v>0</v>
      </c>
      <c r="N200" s="100">
        <v>0.4</v>
      </c>
      <c r="O200" s="100">
        <v>0.5</v>
      </c>
      <c r="P200" s="100">
        <v>3.6</v>
      </c>
      <c r="Q200" s="100">
        <v>3.1</v>
      </c>
      <c r="R200" s="100">
        <v>0</v>
      </c>
      <c r="S200" s="100">
        <v>0</v>
      </c>
      <c r="T200" s="100">
        <v>0</v>
      </c>
      <c r="U200" s="100">
        <v>0</v>
      </c>
    </row>
    <row r="201" spans="4:21">
      <c r="D201" s="97" t="s">
        <v>545</v>
      </c>
      <c r="E201" s="97" t="s">
        <v>536</v>
      </c>
      <c r="F201" s="94" t="s">
        <v>546</v>
      </c>
      <c r="G201" s="97">
        <v>3</v>
      </c>
      <c r="H201" s="98" t="s">
        <v>742</v>
      </c>
      <c r="I201" s="99" t="str">
        <f t="shared" si="3"/>
        <v>북춘천|3</v>
      </c>
      <c r="J201" s="100">
        <v>0</v>
      </c>
      <c r="K201" s="100">
        <v>0</v>
      </c>
      <c r="L201" s="100">
        <v>0</v>
      </c>
      <c r="M201" s="100">
        <v>0</v>
      </c>
      <c r="N201" s="100">
        <v>0.1</v>
      </c>
      <c r="O201" s="100">
        <v>3</v>
      </c>
      <c r="P201" s="100">
        <v>8.8000000000000007</v>
      </c>
      <c r="Q201" s="100">
        <v>8.8000000000000007</v>
      </c>
      <c r="R201" s="100">
        <v>0.4</v>
      </c>
      <c r="S201" s="100">
        <v>0</v>
      </c>
      <c r="T201" s="100">
        <v>0</v>
      </c>
      <c r="U201" s="100">
        <v>0</v>
      </c>
    </row>
    <row r="202" spans="4:21">
      <c r="D202" s="97" t="s">
        <v>547</v>
      </c>
      <c r="E202" s="97" t="s">
        <v>536</v>
      </c>
      <c r="F202" s="94" t="s">
        <v>548</v>
      </c>
      <c r="G202" s="97">
        <v>3</v>
      </c>
      <c r="H202" s="98" t="s">
        <v>742</v>
      </c>
      <c r="I202" s="99" t="str">
        <f t="shared" si="3"/>
        <v>속초|3</v>
      </c>
      <c r="J202" s="100">
        <v>0</v>
      </c>
      <c r="K202" s="100">
        <v>0</v>
      </c>
      <c r="L202" s="100">
        <v>0</v>
      </c>
      <c r="M202" s="100">
        <v>0</v>
      </c>
      <c r="N202" s="100">
        <v>0.5</v>
      </c>
      <c r="O202" s="100">
        <v>0.8</v>
      </c>
      <c r="P202" s="100">
        <v>4.0999999999999996</v>
      </c>
      <c r="Q202" s="100">
        <v>3.3</v>
      </c>
      <c r="R202" s="100">
        <v>0</v>
      </c>
      <c r="S202" s="100">
        <v>0</v>
      </c>
      <c r="T202" s="100">
        <v>0</v>
      </c>
      <c r="U202" s="100">
        <v>0</v>
      </c>
    </row>
    <row r="203" spans="4:21">
      <c r="D203" s="97" t="s">
        <v>549</v>
      </c>
      <c r="E203" s="97" t="s">
        <v>536</v>
      </c>
      <c r="F203" s="94" t="s">
        <v>550</v>
      </c>
      <c r="G203" s="97">
        <v>3</v>
      </c>
      <c r="H203" s="98" t="s">
        <v>742</v>
      </c>
      <c r="I203" s="99" t="str">
        <f t="shared" si="3"/>
        <v>영월|3</v>
      </c>
      <c r="J203" s="100">
        <v>0</v>
      </c>
      <c r="K203" s="100">
        <v>0</v>
      </c>
      <c r="L203" s="100">
        <v>0</v>
      </c>
      <c r="M203" s="100">
        <v>0</v>
      </c>
      <c r="N203" s="100">
        <v>0.5</v>
      </c>
      <c r="O203" s="100">
        <v>3.3</v>
      </c>
      <c r="P203" s="100">
        <v>6</v>
      </c>
      <c r="Q203" s="100">
        <v>8.9</v>
      </c>
      <c r="R203" s="100">
        <v>0.5</v>
      </c>
      <c r="S203" s="100">
        <v>0</v>
      </c>
      <c r="T203" s="100">
        <v>0</v>
      </c>
      <c r="U203" s="100">
        <v>0</v>
      </c>
    </row>
    <row r="204" spans="4:21">
      <c r="D204" s="97" t="s">
        <v>551</v>
      </c>
      <c r="E204" s="97" t="s">
        <v>536</v>
      </c>
      <c r="F204" s="94" t="s">
        <v>552</v>
      </c>
      <c r="G204" s="97">
        <v>3</v>
      </c>
      <c r="H204" s="98" t="s">
        <v>742</v>
      </c>
      <c r="I204" s="99" t="str">
        <f t="shared" si="3"/>
        <v>원주|3</v>
      </c>
      <c r="J204" s="100">
        <v>0</v>
      </c>
      <c r="K204" s="100">
        <v>0</v>
      </c>
      <c r="L204" s="100">
        <v>0</v>
      </c>
      <c r="M204" s="100">
        <v>0</v>
      </c>
      <c r="N204" s="100">
        <v>0.1</v>
      </c>
      <c r="O204" s="100">
        <v>1.1000000000000001</v>
      </c>
      <c r="P204" s="100">
        <v>6</v>
      </c>
      <c r="Q204" s="100">
        <v>8.8000000000000007</v>
      </c>
      <c r="R204" s="100">
        <v>0.4</v>
      </c>
      <c r="S204" s="100">
        <v>0</v>
      </c>
      <c r="T204" s="100">
        <v>0</v>
      </c>
      <c r="U204" s="100">
        <v>0</v>
      </c>
    </row>
    <row r="205" spans="4:21">
      <c r="D205" s="97" t="s">
        <v>553</v>
      </c>
      <c r="E205" s="97" t="s">
        <v>536</v>
      </c>
      <c r="F205" s="94" t="s">
        <v>554</v>
      </c>
      <c r="G205" s="97">
        <v>3</v>
      </c>
      <c r="H205" s="98" t="s">
        <v>742</v>
      </c>
      <c r="I205" s="99" t="str">
        <f t="shared" si="3"/>
        <v>인제|3</v>
      </c>
      <c r="J205" s="100">
        <v>0</v>
      </c>
      <c r="K205" s="100">
        <v>0</v>
      </c>
      <c r="L205" s="100">
        <v>0</v>
      </c>
      <c r="M205" s="100">
        <v>0</v>
      </c>
      <c r="N205" s="100">
        <v>0</v>
      </c>
      <c r="O205" s="100">
        <v>1.5</v>
      </c>
      <c r="P205" s="100">
        <v>5</v>
      </c>
      <c r="Q205" s="100">
        <v>6.9</v>
      </c>
      <c r="R205" s="100">
        <v>0.2</v>
      </c>
      <c r="S205" s="100">
        <v>0</v>
      </c>
      <c r="T205" s="100">
        <v>0</v>
      </c>
      <c r="U205" s="100">
        <v>0</v>
      </c>
    </row>
    <row r="206" spans="4:21">
      <c r="D206" s="97" t="s">
        <v>555</v>
      </c>
      <c r="E206" s="97" t="s">
        <v>536</v>
      </c>
      <c r="F206" s="94" t="s">
        <v>556</v>
      </c>
      <c r="G206" s="97">
        <v>3</v>
      </c>
      <c r="H206" s="98" t="s">
        <v>742</v>
      </c>
      <c r="I206" s="99" t="str">
        <f t="shared" si="3"/>
        <v>정선군|3</v>
      </c>
      <c r="J206" s="100">
        <v>0</v>
      </c>
      <c r="K206" s="100">
        <v>0</v>
      </c>
      <c r="L206" s="100">
        <v>0</v>
      </c>
      <c r="M206" s="100">
        <v>0</v>
      </c>
      <c r="N206" s="100">
        <v>0.1</v>
      </c>
      <c r="O206" s="100">
        <v>2.8</v>
      </c>
      <c r="P206" s="100">
        <v>8.4</v>
      </c>
      <c r="Q206" s="100">
        <v>9.1999999999999993</v>
      </c>
      <c r="R206" s="100">
        <v>0.6</v>
      </c>
      <c r="S206" s="100">
        <v>0</v>
      </c>
      <c r="T206" s="100">
        <v>0</v>
      </c>
      <c r="U206" s="100">
        <v>0</v>
      </c>
    </row>
    <row r="207" spans="4:21">
      <c r="D207" s="97" t="s">
        <v>557</v>
      </c>
      <c r="E207" s="97" t="s">
        <v>536</v>
      </c>
      <c r="F207" s="94" t="s">
        <v>558</v>
      </c>
      <c r="G207" s="97">
        <v>3</v>
      </c>
      <c r="H207" s="98" t="s">
        <v>742</v>
      </c>
      <c r="I207" s="99" t="str">
        <f t="shared" si="3"/>
        <v>철원|3</v>
      </c>
      <c r="J207" s="100">
        <v>0</v>
      </c>
      <c r="K207" s="100">
        <v>0</v>
      </c>
      <c r="L207" s="100">
        <v>0</v>
      </c>
      <c r="M207" s="100">
        <v>0</v>
      </c>
      <c r="N207" s="100">
        <v>0</v>
      </c>
      <c r="O207" s="100">
        <v>0.7</v>
      </c>
      <c r="P207" s="100">
        <v>3.7</v>
      </c>
      <c r="Q207" s="100">
        <v>6</v>
      </c>
      <c r="R207" s="100">
        <v>0.1</v>
      </c>
      <c r="S207" s="100">
        <v>0</v>
      </c>
      <c r="T207" s="100">
        <v>0</v>
      </c>
      <c r="U207" s="100">
        <v>0</v>
      </c>
    </row>
    <row r="208" spans="4:21">
      <c r="D208" s="97" t="s">
        <v>559</v>
      </c>
      <c r="E208" s="97" t="s">
        <v>536</v>
      </c>
      <c r="F208" s="94" t="s">
        <v>560</v>
      </c>
      <c r="G208" s="97">
        <v>3</v>
      </c>
      <c r="H208" s="98" t="s">
        <v>742</v>
      </c>
      <c r="I208" s="99" t="str">
        <f t="shared" si="3"/>
        <v>춘천|3</v>
      </c>
      <c r="J208" s="100">
        <v>0</v>
      </c>
      <c r="K208" s="100">
        <v>0</v>
      </c>
      <c r="L208" s="100">
        <v>0</v>
      </c>
      <c r="M208" s="100">
        <v>0</v>
      </c>
      <c r="N208" s="100">
        <v>0.1</v>
      </c>
      <c r="O208" s="100">
        <v>2.4</v>
      </c>
      <c r="P208" s="100">
        <v>7.4</v>
      </c>
      <c r="Q208" s="100">
        <v>8.9</v>
      </c>
      <c r="R208" s="100">
        <v>0.2</v>
      </c>
      <c r="S208" s="100">
        <v>0</v>
      </c>
      <c r="T208" s="100">
        <v>0</v>
      </c>
      <c r="U208" s="100">
        <v>0</v>
      </c>
    </row>
    <row r="209" spans="4:21">
      <c r="D209" s="97" t="s">
        <v>561</v>
      </c>
      <c r="E209" s="97" t="s">
        <v>536</v>
      </c>
      <c r="F209" s="94" t="s">
        <v>562</v>
      </c>
      <c r="G209" s="97">
        <v>3</v>
      </c>
      <c r="H209" s="98" t="s">
        <v>742</v>
      </c>
      <c r="I209" s="99" t="str">
        <f t="shared" si="3"/>
        <v>태백|3</v>
      </c>
      <c r="J209" s="100">
        <v>0</v>
      </c>
      <c r="K209" s="100">
        <v>0</v>
      </c>
      <c r="L209" s="100">
        <v>0</v>
      </c>
      <c r="M209" s="100">
        <v>0</v>
      </c>
      <c r="N209" s="100">
        <v>0</v>
      </c>
      <c r="O209" s="100">
        <v>0.3</v>
      </c>
      <c r="P209" s="100">
        <v>1.6</v>
      </c>
      <c r="Q209" s="100">
        <v>1.4</v>
      </c>
      <c r="R209" s="100">
        <v>0</v>
      </c>
      <c r="S209" s="100">
        <v>0</v>
      </c>
      <c r="T209" s="100">
        <v>0</v>
      </c>
      <c r="U209" s="100">
        <v>0</v>
      </c>
    </row>
    <row r="210" spans="4:21">
      <c r="D210" s="97" t="s">
        <v>563</v>
      </c>
      <c r="E210" s="97" t="s">
        <v>536</v>
      </c>
      <c r="F210" s="94" t="s">
        <v>564</v>
      </c>
      <c r="G210" s="97">
        <v>3</v>
      </c>
      <c r="H210" s="98" t="s">
        <v>742</v>
      </c>
      <c r="I210" s="99" t="str">
        <f t="shared" si="3"/>
        <v>홍천|3</v>
      </c>
      <c r="J210" s="100">
        <v>0</v>
      </c>
      <c r="K210" s="100">
        <v>0</v>
      </c>
      <c r="L210" s="100">
        <v>0</v>
      </c>
      <c r="M210" s="100">
        <v>0</v>
      </c>
      <c r="N210" s="100">
        <v>0.3</v>
      </c>
      <c r="O210" s="100">
        <v>2.5</v>
      </c>
      <c r="P210" s="100">
        <v>8.8000000000000007</v>
      </c>
      <c r="Q210" s="100">
        <v>10.3</v>
      </c>
      <c r="R210" s="100">
        <v>0.2</v>
      </c>
      <c r="S210" s="100">
        <v>0</v>
      </c>
      <c r="T210" s="100">
        <v>0</v>
      </c>
      <c r="U210" s="100">
        <v>0</v>
      </c>
    </row>
    <row r="211" spans="4:21">
      <c r="D211" s="97" t="s">
        <v>565</v>
      </c>
      <c r="E211" s="97" t="s">
        <v>566</v>
      </c>
      <c r="F211" s="94" t="s">
        <v>567</v>
      </c>
      <c r="G211" s="97">
        <v>3</v>
      </c>
      <c r="H211" s="98" t="s">
        <v>742</v>
      </c>
      <c r="I211" s="99" t="str">
        <f t="shared" si="3"/>
        <v>동두천|3</v>
      </c>
      <c r="J211" s="100">
        <v>0</v>
      </c>
      <c r="K211" s="100">
        <v>0</v>
      </c>
      <c r="L211" s="100">
        <v>0</v>
      </c>
      <c r="M211" s="100">
        <v>0</v>
      </c>
      <c r="N211" s="100">
        <v>0.1</v>
      </c>
      <c r="O211" s="100">
        <v>1.2</v>
      </c>
      <c r="P211" s="100">
        <v>5.8</v>
      </c>
      <c r="Q211" s="100">
        <v>7.7</v>
      </c>
      <c r="R211" s="100">
        <v>0.2</v>
      </c>
      <c r="S211" s="100">
        <v>0</v>
      </c>
      <c r="T211" s="100">
        <v>0</v>
      </c>
      <c r="U211" s="100">
        <v>0</v>
      </c>
    </row>
    <row r="212" spans="4:21">
      <c r="D212" s="97" t="s">
        <v>568</v>
      </c>
      <c r="E212" s="97" t="s">
        <v>566</v>
      </c>
      <c r="F212" s="94" t="s">
        <v>569</v>
      </c>
      <c r="G212" s="97">
        <v>3</v>
      </c>
      <c r="H212" s="98" t="s">
        <v>742</v>
      </c>
      <c r="I212" s="99" t="str">
        <f t="shared" si="3"/>
        <v>수원|3</v>
      </c>
      <c r="J212" s="100">
        <v>0</v>
      </c>
      <c r="K212" s="100">
        <v>0</v>
      </c>
      <c r="L212" s="100">
        <v>0</v>
      </c>
      <c r="M212" s="100">
        <v>0</v>
      </c>
      <c r="N212" s="100">
        <v>0</v>
      </c>
      <c r="O212" s="100">
        <v>0.8</v>
      </c>
      <c r="P212" s="100">
        <v>7.1</v>
      </c>
      <c r="Q212" s="100">
        <v>10.199999999999999</v>
      </c>
      <c r="R212" s="100">
        <v>0.6</v>
      </c>
      <c r="S212" s="100">
        <v>0</v>
      </c>
      <c r="T212" s="100">
        <v>0</v>
      </c>
      <c r="U212" s="100">
        <v>0</v>
      </c>
    </row>
    <row r="213" spans="4:21">
      <c r="D213" s="97" t="s">
        <v>570</v>
      </c>
      <c r="E213" s="97" t="s">
        <v>566</v>
      </c>
      <c r="F213" s="94" t="s">
        <v>571</v>
      </c>
      <c r="G213" s="97">
        <v>3</v>
      </c>
      <c r="H213" s="98" t="s">
        <v>742</v>
      </c>
      <c r="I213" s="99" t="str">
        <f t="shared" si="3"/>
        <v>양평|3</v>
      </c>
      <c r="J213" s="100">
        <v>0</v>
      </c>
      <c r="K213" s="100">
        <v>0</v>
      </c>
      <c r="L213" s="100">
        <v>0</v>
      </c>
      <c r="M213" s="100">
        <v>0</v>
      </c>
      <c r="N213" s="100">
        <v>0</v>
      </c>
      <c r="O213" s="100">
        <v>1.2</v>
      </c>
      <c r="P213" s="100">
        <v>6.3</v>
      </c>
      <c r="Q213" s="100">
        <v>9.1999999999999993</v>
      </c>
      <c r="R213" s="100">
        <v>0.4</v>
      </c>
      <c r="S213" s="100">
        <v>0</v>
      </c>
      <c r="T213" s="100">
        <v>0</v>
      </c>
      <c r="U213" s="100">
        <v>0</v>
      </c>
    </row>
    <row r="214" spans="4:21">
      <c r="D214" s="97" t="s">
        <v>572</v>
      </c>
      <c r="E214" s="97" t="s">
        <v>566</v>
      </c>
      <c r="F214" s="94" t="s">
        <v>573</v>
      </c>
      <c r="G214" s="97">
        <v>3</v>
      </c>
      <c r="H214" s="98" t="s">
        <v>742</v>
      </c>
      <c r="I214" s="99" t="str">
        <f t="shared" si="3"/>
        <v>이천|3</v>
      </c>
      <c r="J214" s="100">
        <v>0</v>
      </c>
      <c r="K214" s="100">
        <v>0</v>
      </c>
      <c r="L214" s="100">
        <v>0</v>
      </c>
      <c r="M214" s="100">
        <v>0</v>
      </c>
      <c r="N214" s="100">
        <v>0.1</v>
      </c>
      <c r="O214" s="100">
        <v>1.8</v>
      </c>
      <c r="P214" s="100">
        <v>7.2</v>
      </c>
      <c r="Q214" s="100">
        <v>10.8</v>
      </c>
      <c r="R214" s="100">
        <v>0.5</v>
      </c>
      <c r="S214" s="100">
        <v>0</v>
      </c>
      <c r="T214" s="100">
        <v>0</v>
      </c>
      <c r="U214" s="100">
        <v>0</v>
      </c>
    </row>
    <row r="215" spans="4:21">
      <c r="D215" s="97" t="s">
        <v>574</v>
      </c>
      <c r="E215" s="97" t="s">
        <v>566</v>
      </c>
      <c r="F215" s="94" t="s">
        <v>575</v>
      </c>
      <c r="G215" s="97">
        <v>3</v>
      </c>
      <c r="H215" s="98" t="s">
        <v>742</v>
      </c>
      <c r="I215" s="99" t="str">
        <f t="shared" si="3"/>
        <v>파주|3</v>
      </c>
      <c r="J215" s="100">
        <v>0</v>
      </c>
      <c r="K215" s="100">
        <v>0</v>
      </c>
      <c r="L215" s="100">
        <v>0</v>
      </c>
      <c r="M215" s="100">
        <v>0</v>
      </c>
      <c r="N215" s="100">
        <v>0</v>
      </c>
      <c r="O215" s="100">
        <v>0.4</v>
      </c>
      <c r="P215" s="100">
        <v>3.9</v>
      </c>
      <c r="Q215" s="100">
        <v>6.5</v>
      </c>
      <c r="R215" s="100">
        <v>0.1</v>
      </c>
      <c r="S215" s="100">
        <v>0</v>
      </c>
      <c r="T215" s="100">
        <v>0</v>
      </c>
      <c r="U215" s="100">
        <v>0</v>
      </c>
    </row>
    <row r="216" spans="4:21">
      <c r="D216" s="97" t="s">
        <v>576</v>
      </c>
      <c r="E216" s="97" t="s">
        <v>577</v>
      </c>
      <c r="F216" s="94" t="s">
        <v>578</v>
      </c>
      <c r="G216" s="97">
        <v>3</v>
      </c>
      <c r="H216" s="98" t="s">
        <v>742</v>
      </c>
      <c r="I216" s="99" t="str">
        <f t="shared" si="3"/>
        <v>거제|3</v>
      </c>
      <c r="J216" s="100">
        <v>0</v>
      </c>
      <c r="K216" s="100">
        <v>0</v>
      </c>
      <c r="L216" s="100">
        <v>0</v>
      </c>
      <c r="M216" s="100">
        <v>0</v>
      </c>
      <c r="N216" s="100">
        <v>0.2</v>
      </c>
      <c r="O216" s="100">
        <v>0.1</v>
      </c>
      <c r="P216" s="100">
        <v>3.3</v>
      </c>
      <c r="Q216" s="100">
        <v>8.1999999999999993</v>
      </c>
      <c r="R216" s="100">
        <v>0.5</v>
      </c>
      <c r="S216" s="100">
        <v>0</v>
      </c>
      <c r="T216" s="100">
        <v>0</v>
      </c>
      <c r="U216" s="100">
        <v>0</v>
      </c>
    </row>
    <row r="217" spans="4:21">
      <c r="D217" s="97" t="s">
        <v>579</v>
      </c>
      <c r="E217" s="97" t="s">
        <v>577</v>
      </c>
      <c r="F217" s="94" t="s">
        <v>580</v>
      </c>
      <c r="G217" s="97">
        <v>3</v>
      </c>
      <c r="H217" s="98" t="s">
        <v>742</v>
      </c>
      <c r="I217" s="99" t="str">
        <f t="shared" si="3"/>
        <v>거창|3</v>
      </c>
      <c r="J217" s="100">
        <v>0</v>
      </c>
      <c r="K217" s="100">
        <v>0</v>
      </c>
      <c r="L217" s="100">
        <v>0</v>
      </c>
      <c r="M217" s="100">
        <v>0</v>
      </c>
      <c r="N217" s="100">
        <v>0.1</v>
      </c>
      <c r="O217" s="100">
        <v>1.6</v>
      </c>
      <c r="P217" s="100">
        <v>6.1</v>
      </c>
      <c r="Q217" s="100">
        <v>9.6999999999999993</v>
      </c>
      <c r="R217" s="100">
        <v>0.6</v>
      </c>
      <c r="S217" s="100">
        <v>0</v>
      </c>
      <c r="T217" s="100">
        <v>0</v>
      </c>
      <c r="U217" s="100">
        <v>0</v>
      </c>
    </row>
    <row r="218" spans="4:21">
      <c r="D218" s="97" t="s">
        <v>581</v>
      </c>
      <c r="E218" s="97" t="s">
        <v>577</v>
      </c>
      <c r="F218" s="94" t="s">
        <v>582</v>
      </c>
      <c r="G218" s="97">
        <v>3</v>
      </c>
      <c r="H218" s="98" t="s">
        <v>742</v>
      </c>
      <c r="I218" s="99" t="str">
        <f t="shared" si="3"/>
        <v>김해시|3</v>
      </c>
      <c r="J218" s="100">
        <v>0</v>
      </c>
      <c r="K218" s="100">
        <v>0</v>
      </c>
      <c r="L218" s="100">
        <v>0</v>
      </c>
      <c r="M218" s="100">
        <v>0</v>
      </c>
      <c r="N218" s="100">
        <v>0.3</v>
      </c>
      <c r="O218" s="100">
        <v>0.7</v>
      </c>
      <c r="P218" s="100">
        <v>7.6</v>
      </c>
      <c r="Q218" s="100">
        <v>13.2</v>
      </c>
      <c r="R218" s="100">
        <v>1.7</v>
      </c>
      <c r="S218" s="100">
        <v>0</v>
      </c>
      <c r="T218" s="100">
        <v>0</v>
      </c>
      <c r="U218" s="100">
        <v>0</v>
      </c>
    </row>
    <row r="219" spans="4:21">
      <c r="D219" s="97" t="s">
        <v>583</v>
      </c>
      <c r="E219" s="97" t="s">
        <v>577</v>
      </c>
      <c r="F219" s="94" t="s">
        <v>584</v>
      </c>
      <c r="G219" s="97">
        <v>3</v>
      </c>
      <c r="H219" s="98" t="s">
        <v>742</v>
      </c>
      <c r="I219" s="99" t="str">
        <f t="shared" si="3"/>
        <v>남해|3</v>
      </c>
      <c r="J219" s="100">
        <v>0</v>
      </c>
      <c r="K219" s="100">
        <v>0</v>
      </c>
      <c r="L219" s="100">
        <v>0</v>
      </c>
      <c r="M219" s="100">
        <v>0</v>
      </c>
      <c r="N219" s="100">
        <v>0.3</v>
      </c>
      <c r="O219" s="100">
        <v>0.2</v>
      </c>
      <c r="P219" s="100">
        <v>4.8</v>
      </c>
      <c r="Q219" s="100">
        <v>10.7</v>
      </c>
      <c r="R219" s="100">
        <v>0.6</v>
      </c>
      <c r="S219" s="100">
        <v>0</v>
      </c>
      <c r="T219" s="100">
        <v>0</v>
      </c>
      <c r="U219" s="100">
        <v>0</v>
      </c>
    </row>
    <row r="220" spans="4:21">
      <c r="D220" s="97" t="s">
        <v>585</v>
      </c>
      <c r="E220" s="97" t="s">
        <v>577</v>
      </c>
      <c r="F220" s="94" t="s">
        <v>586</v>
      </c>
      <c r="G220" s="97">
        <v>3</v>
      </c>
      <c r="H220" s="98" t="s">
        <v>742</v>
      </c>
      <c r="I220" s="99" t="str">
        <f t="shared" si="3"/>
        <v>밀양|3</v>
      </c>
      <c r="J220" s="100">
        <v>0</v>
      </c>
      <c r="K220" s="100">
        <v>0</v>
      </c>
      <c r="L220" s="100">
        <v>0</v>
      </c>
      <c r="M220" s="100">
        <v>0</v>
      </c>
      <c r="N220" s="100">
        <v>0.8</v>
      </c>
      <c r="O220" s="100">
        <v>3.6</v>
      </c>
      <c r="P220" s="100">
        <v>11.9</v>
      </c>
      <c r="Q220" s="100">
        <v>16</v>
      </c>
      <c r="R220" s="100">
        <v>1.3</v>
      </c>
      <c r="S220" s="100">
        <v>0</v>
      </c>
      <c r="T220" s="100">
        <v>0</v>
      </c>
      <c r="U220" s="100">
        <v>0</v>
      </c>
    </row>
    <row r="221" spans="4:21">
      <c r="D221" s="97" t="s">
        <v>587</v>
      </c>
      <c r="E221" s="97" t="s">
        <v>577</v>
      </c>
      <c r="F221" s="94" t="s">
        <v>588</v>
      </c>
      <c r="G221" s="97">
        <v>3</v>
      </c>
      <c r="H221" s="98" t="s">
        <v>742</v>
      </c>
      <c r="I221" s="99" t="str">
        <f t="shared" si="3"/>
        <v>북창원|3</v>
      </c>
      <c r="J221" s="100">
        <v>0</v>
      </c>
      <c r="K221" s="100">
        <v>0</v>
      </c>
      <c r="L221" s="100">
        <v>0</v>
      </c>
      <c r="M221" s="100">
        <v>0</v>
      </c>
      <c r="N221" s="100">
        <v>0.3</v>
      </c>
      <c r="O221" s="100">
        <v>1.4</v>
      </c>
      <c r="P221" s="100">
        <v>9.9</v>
      </c>
      <c r="Q221" s="100">
        <v>14.3</v>
      </c>
      <c r="R221" s="100">
        <v>1.5</v>
      </c>
      <c r="S221" s="100">
        <v>0</v>
      </c>
      <c r="T221" s="100">
        <v>0</v>
      </c>
      <c r="U221" s="100">
        <v>0</v>
      </c>
    </row>
    <row r="222" spans="4:21">
      <c r="D222" s="97" t="s">
        <v>589</v>
      </c>
      <c r="E222" s="97" t="s">
        <v>577</v>
      </c>
      <c r="F222" s="94" t="s">
        <v>590</v>
      </c>
      <c r="G222" s="97">
        <v>3</v>
      </c>
      <c r="H222" s="98" t="s">
        <v>742</v>
      </c>
      <c r="I222" s="99" t="str">
        <f t="shared" si="3"/>
        <v>산청|3</v>
      </c>
      <c r="J222" s="100">
        <v>0</v>
      </c>
      <c r="K222" s="100">
        <v>0</v>
      </c>
      <c r="L222" s="100">
        <v>0</v>
      </c>
      <c r="M222" s="100">
        <v>0</v>
      </c>
      <c r="N222" s="100">
        <v>0.4</v>
      </c>
      <c r="O222" s="100">
        <v>1.5</v>
      </c>
      <c r="P222" s="100">
        <v>7.4</v>
      </c>
      <c r="Q222" s="100">
        <v>12.1</v>
      </c>
      <c r="R222" s="100">
        <v>0.6</v>
      </c>
      <c r="S222" s="100">
        <v>0</v>
      </c>
      <c r="T222" s="100">
        <v>0</v>
      </c>
      <c r="U222" s="100">
        <v>0</v>
      </c>
    </row>
    <row r="223" spans="4:21">
      <c r="D223" s="97" t="s">
        <v>591</v>
      </c>
      <c r="E223" s="97" t="s">
        <v>577</v>
      </c>
      <c r="F223" s="94" t="s">
        <v>592</v>
      </c>
      <c r="G223" s="97">
        <v>3</v>
      </c>
      <c r="H223" s="98" t="s">
        <v>742</v>
      </c>
      <c r="I223" s="99" t="str">
        <f t="shared" si="3"/>
        <v>양산시|3</v>
      </c>
      <c r="J223" s="100">
        <v>0</v>
      </c>
      <c r="K223" s="100">
        <v>0</v>
      </c>
      <c r="L223" s="100">
        <v>0</v>
      </c>
      <c r="M223" s="100">
        <v>0</v>
      </c>
      <c r="N223" s="100">
        <v>0.5</v>
      </c>
      <c r="O223" s="100">
        <v>1.4</v>
      </c>
      <c r="P223" s="100">
        <v>10.1</v>
      </c>
      <c r="Q223" s="100">
        <v>15.9</v>
      </c>
      <c r="R223" s="100">
        <v>1.6</v>
      </c>
      <c r="S223" s="100">
        <v>0</v>
      </c>
      <c r="T223" s="100">
        <v>0</v>
      </c>
      <c r="U223" s="100">
        <v>0</v>
      </c>
    </row>
    <row r="224" spans="4:21">
      <c r="D224" s="97" t="s">
        <v>593</v>
      </c>
      <c r="E224" s="97" t="s">
        <v>577</v>
      </c>
      <c r="F224" s="94" t="s">
        <v>594</v>
      </c>
      <c r="G224" s="97">
        <v>3</v>
      </c>
      <c r="H224" s="98" t="s">
        <v>742</v>
      </c>
      <c r="I224" s="99" t="str">
        <f t="shared" si="3"/>
        <v>의령군|3</v>
      </c>
      <c r="J224" s="100">
        <v>0</v>
      </c>
      <c r="K224" s="100">
        <v>0</v>
      </c>
      <c r="L224" s="100">
        <v>0</v>
      </c>
      <c r="M224" s="100">
        <v>0</v>
      </c>
      <c r="N224" s="100">
        <v>0.6</v>
      </c>
      <c r="O224" s="100">
        <v>3.4</v>
      </c>
      <c r="P224" s="100">
        <v>9.8000000000000007</v>
      </c>
      <c r="Q224" s="100">
        <v>14.5</v>
      </c>
      <c r="R224" s="100">
        <v>1.6</v>
      </c>
      <c r="S224" s="100">
        <v>0</v>
      </c>
      <c r="T224" s="100">
        <v>0</v>
      </c>
      <c r="U224" s="100">
        <v>0</v>
      </c>
    </row>
    <row r="225" spans="4:21">
      <c r="D225" s="97" t="s">
        <v>595</v>
      </c>
      <c r="E225" s="97" t="s">
        <v>577</v>
      </c>
      <c r="F225" s="94" t="s">
        <v>596</v>
      </c>
      <c r="G225" s="97">
        <v>3</v>
      </c>
      <c r="H225" s="98" t="s">
        <v>742</v>
      </c>
      <c r="I225" s="99" t="str">
        <f t="shared" si="3"/>
        <v>진주|3</v>
      </c>
      <c r="J225" s="100">
        <v>0</v>
      </c>
      <c r="K225" s="100">
        <v>0</v>
      </c>
      <c r="L225" s="100">
        <v>0</v>
      </c>
      <c r="M225" s="100">
        <v>0</v>
      </c>
      <c r="N225" s="100">
        <v>0.2</v>
      </c>
      <c r="O225" s="100">
        <v>0.6</v>
      </c>
      <c r="P225" s="100">
        <v>6.3</v>
      </c>
      <c r="Q225" s="100">
        <v>12.2</v>
      </c>
      <c r="R225" s="100">
        <v>1</v>
      </c>
      <c r="S225" s="100">
        <v>0</v>
      </c>
      <c r="T225" s="100">
        <v>0</v>
      </c>
      <c r="U225" s="100">
        <v>0</v>
      </c>
    </row>
    <row r="226" spans="4:21">
      <c r="D226" s="97" t="s">
        <v>597</v>
      </c>
      <c r="E226" s="97" t="s">
        <v>577</v>
      </c>
      <c r="F226" s="94" t="s">
        <v>598</v>
      </c>
      <c r="G226" s="97">
        <v>3</v>
      </c>
      <c r="H226" s="98" t="s">
        <v>742</v>
      </c>
      <c r="I226" s="99" t="str">
        <f t="shared" si="3"/>
        <v>창원|3</v>
      </c>
      <c r="J226" s="100">
        <v>0</v>
      </c>
      <c r="K226" s="100">
        <v>0</v>
      </c>
      <c r="L226" s="100">
        <v>0</v>
      </c>
      <c r="M226" s="100">
        <v>0</v>
      </c>
      <c r="N226" s="100">
        <v>0.2</v>
      </c>
      <c r="O226" s="100">
        <v>0.4</v>
      </c>
      <c r="P226" s="100">
        <v>6.3</v>
      </c>
      <c r="Q226" s="100">
        <v>12</v>
      </c>
      <c r="R226" s="100">
        <v>1.1000000000000001</v>
      </c>
      <c r="S226" s="100">
        <v>0</v>
      </c>
      <c r="T226" s="100">
        <v>0</v>
      </c>
      <c r="U226" s="100">
        <v>0</v>
      </c>
    </row>
    <row r="227" spans="4:21">
      <c r="D227" s="97" t="s">
        <v>599</v>
      </c>
      <c r="E227" s="97" t="s">
        <v>577</v>
      </c>
      <c r="F227" s="94" t="s">
        <v>600</v>
      </c>
      <c r="G227" s="97">
        <v>3</v>
      </c>
      <c r="H227" s="98" t="s">
        <v>742</v>
      </c>
      <c r="I227" s="99" t="str">
        <f t="shared" si="3"/>
        <v>통영|3</v>
      </c>
      <c r="J227" s="100">
        <v>0</v>
      </c>
      <c r="K227" s="100">
        <v>0</v>
      </c>
      <c r="L227" s="100">
        <v>0</v>
      </c>
      <c r="M227" s="100">
        <v>0</v>
      </c>
      <c r="N227" s="100">
        <v>0</v>
      </c>
      <c r="O227" s="100">
        <v>0</v>
      </c>
      <c r="P227" s="100">
        <v>1.5</v>
      </c>
      <c r="Q227" s="100">
        <v>7</v>
      </c>
      <c r="R227" s="100">
        <v>0.7</v>
      </c>
      <c r="S227" s="100">
        <v>0</v>
      </c>
      <c r="T227" s="100">
        <v>0</v>
      </c>
      <c r="U227" s="100">
        <v>0</v>
      </c>
    </row>
    <row r="228" spans="4:21">
      <c r="D228" s="97" t="s">
        <v>601</v>
      </c>
      <c r="E228" s="97" t="s">
        <v>577</v>
      </c>
      <c r="F228" s="94" t="s">
        <v>602</v>
      </c>
      <c r="G228" s="97">
        <v>3</v>
      </c>
      <c r="H228" s="98" t="s">
        <v>742</v>
      </c>
      <c r="I228" s="99" t="str">
        <f t="shared" si="3"/>
        <v>함양군|3</v>
      </c>
      <c r="J228" s="100">
        <v>0</v>
      </c>
      <c r="K228" s="100">
        <v>0</v>
      </c>
      <c r="L228" s="100">
        <v>0</v>
      </c>
      <c r="M228" s="100">
        <v>0</v>
      </c>
      <c r="N228" s="100">
        <v>0.2</v>
      </c>
      <c r="O228" s="100">
        <v>2.9</v>
      </c>
      <c r="P228" s="100">
        <v>9</v>
      </c>
      <c r="Q228" s="100">
        <v>13.7</v>
      </c>
      <c r="R228" s="100">
        <v>1</v>
      </c>
      <c r="S228" s="100">
        <v>0</v>
      </c>
      <c r="T228" s="100">
        <v>0</v>
      </c>
      <c r="U228" s="100">
        <v>0</v>
      </c>
    </row>
    <row r="229" spans="4:21">
      <c r="D229" s="97" t="s">
        <v>603</v>
      </c>
      <c r="E229" s="97" t="s">
        <v>577</v>
      </c>
      <c r="F229" s="94" t="s">
        <v>604</v>
      </c>
      <c r="G229" s="97">
        <v>3</v>
      </c>
      <c r="H229" s="98" t="s">
        <v>742</v>
      </c>
      <c r="I229" s="99" t="str">
        <f t="shared" si="3"/>
        <v>합천|3</v>
      </c>
      <c r="J229" s="100">
        <v>0</v>
      </c>
      <c r="K229" s="100">
        <v>0</v>
      </c>
      <c r="L229" s="100">
        <v>0</v>
      </c>
      <c r="M229" s="100">
        <v>0</v>
      </c>
      <c r="N229" s="100">
        <v>0.7</v>
      </c>
      <c r="O229" s="100">
        <v>3.9</v>
      </c>
      <c r="P229" s="100">
        <v>10.7</v>
      </c>
      <c r="Q229" s="100">
        <v>14.2</v>
      </c>
      <c r="R229" s="100">
        <v>1</v>
      </c>
      <c r="S229" s="100">
        <v>0</v>
      </c>
      <c r="T229" s="100">
        <v>0</v>
      </c>
      <c r="U229" s="100">
        <v>0</v>
      </c>
    </row>
    <row r="230" spans="4:21">
      <c r="D230" s="97" t="s">
        <v>605</v>
      </c>
      <c r="E230" s="97" t="s">
        <v>606</v>
      </c>
      <c r="F230" s="94" t="s">
        <v>607</v>
      </c>
      <c r="G230" s="97">
        <v>3</v>
      </c>
      <c r="H230" s="98" t="s">
        <v>742</v>
      </c>
      <c r="I230" s="99" t="str">
        <f t="shared" si="3"/>
        <v>경주시|3</v>
      </c>
      <c r="J230" s="100">
        <v>0</v>
      </c>
      <c r="K230" s="100">
        <v>0</v>
      </c>
      <c r="L230" s="100">
        <v>0</v>
      </c>
      <c r="M230" s="100">
        <v>0</v>
      </c>
      <c r="N230" s="100">
        <v>1.4</v>
      </c>
      <c r="O230" s="100">
        <v>3.6</v>
      </c>
      <c r="P230" s="100">
        <v>11</v>
      </c>
      <c r="Q230" s="100">
        <v>14.7</v>
      </c>
      <c r="R230" s="100">
        <v>1</v>
      </c>
      <c r="S230" s="100">
        <v>0</v>
      </c>
      <c r="T230" s="100">
        <v>0</v>
      </c>
      <c r="U230" s="100">
        <v>0</v>
      </c>
    </row>
    <row r="231" spans="4:21">
      <c r="D231" s="97" t="s">
        <v>608</v>
      </c>
      <c r="E231" s="97" t="s">
        <v>606</v>
      </c>
      <c r="F231" s="94" t="s">
        <v>609</v>
      </c>
      <c r="G231" s="97">
        <v>3</v>
      </c>
      <c r="H231" s="98" t="s">
        <v>742</v>
      </c>
      <c r="I231" s="99" t="str">
        <f t="shared" si="3"/>
        <v>구미|3</v>
      </c>
      <c r="J231" s="100">
        <v>0</v>
      </c>
      <c r="K231" s="100">
        <v>0</v>
      </c>
      <c r="L231" s="100">
        <v>0</v>
      </c>
      <c r="M231" s="100">
        <v>0</v>
      </c>
      <c r="N231" s="100">
        <v>0.5</v>
      </c>
      <c r="O231" s="100">
        <v>3.1</v>
      </c>
      <c r="P231" s="100">
        <v>9.8000000000000007</v>
      </c>
      <c r="Q231" s="100">
        <v>13.1</v>
      </c>
      <c r="R231" s="100">
        <v>0.7</v>
      </c>
      <c r="S231" s="100">
        <v>0</v>
      </c>
      <c r="T231" s="100">
        <v>0</v>
      </c>
      <c r="U231" s="100">
        <v>0</v>
      </c>
    </row>
    <row r="232" spans="4:21">
      <c r="D232" s="97" t="s">
        <v>610</v>
      </c>
      <c r="E232" s="97" t="s">
        <v>606</v>
      </c>
      <c r="F232" s="94" t="s">
        <v>611</v>
      </c>
      <c r="G232" s="97">
        <v>3</v>
      </c>
      <c r="H232" s="98" t="s">
        <v>742</v>
      </c>
      <c r="I232" s="99" t="str">
        <f t="shared" si="3"/>
        <v>문경|3</v>
      </c>
      <c r="J232" s="100">
        <v>0</v>
      </c>
      <c r="K232" s="100">
        <v>0</v>
      </c>
      <c r="L232" s="100">
        <v>0</v>
      </c>
      <c r="M232" s="100">
        <v>0</v>
      </c>
      <c r="N232" s="100">
        <v>0</v>
      </c>
      <c r="O232" s="100">
        <v>1.3</v>
      </c>
      <c r="P232" s="100">
        <v>5.4</v>
      </c>
      <c r="Q232" s="100">
        <v>9.1</v>
      </c>
      <c r="R232" s="100">
        <v>0.4</v>
      </c>
      <c r="S232" s="100">
        <v>0</v>
      </c>
      <c r="T232" s="100">
        <v>0</v>
      </c>
      <c r="U232" s="100">
        <v>0</v>
      </c>
    </row>
    <row r="233" spans="4:21">
      <c r="D233" s="97" t="s">
        <v>612</v>
      </c>
      <c r="E233" s="97" t="s">
        <v>606</v>
      </c>
      <c r="F233" s="94" t="s">
        <v>613</v>
      </c>
      <c r="G233" s="97">
        <v>3</v>
      </c>
      <c r="H233" s="98" t="s">
        <v>742</v>
      </c>
      <c r="I233" s="99" t="str">
        <f t="shared" si="3"/>
        <v>봉화|3</v>
      </c>
      <c r="J233" s="100">
        <v>0</v>
      </c>
      <c r="K233" s="100">
        <v>0</v>
      </c>
      <c r="L233" s="100">
        <v>0</v>
      </c>
      <c r="M233" s="100">
        <v>0</v>
      </c>
      <c r="N233" s="100">
        <v>0</v>
      </c>
      <c r="O233" s="100">
        <v>0.5</v>
      </c>
      <c r="P233" s="100">
        <v>1.8</v>
      </c>
      <c r="Q233" s="100">
        <v>3.7</v>
      </c>
      <c r="R233" s="100">
        <v>0.2</v>
      </c>
      <c r="S233" s="100">
        <v>0</v>
      </c>
      <c r="T233" s="100">
        <v>0</v>
      </c>
      <c r="U233" s="100">
        <v>0</v>
      </c>
    </row>
    <row r="234" spans="4:21">
      <c r="D234" s="97" t="s">
        <v>614</v>
      </c>
      <c r="E234" s="97" t="s">
        <v>606</v>
      </c>
      <c r="F234" s="94" t="s">
        <v>615</v>
      </c>
      <c r="G234" s="97">
        <v>3</v>
      </c>
      <c r="H234" s="98" t="s">
        <v>742</v>
      </c>
      <c r="I234" s="99" t="str">
        <f t="shared" si="3"/>
        <v>상주|3</v>
      </c>
      <c r="J234" s="100">
        <v>0</v>
      </c>
      <c r="K234" s="100">
        <v>0</v>
      </c>
      <c r="L234" s="100">
        <v>0</v>
      </c>
      <c r="M234" s="100">
        <v>0</v>
      </c>
      <c r="N234" s="100">
        <v>0.5</v>
      </c>
      <c r="O234" s="100">
        <v>3.6</v>
      </c>
      <c r="P234" s="100">
        <v>9.3000000000000007</v>
      </c>
      <c r="Q234" s="100">
        <v>12.3</v>
      </c>
      <c r="R234" s="100">
        <v>1</v>
      </c>
      <c r="S234" s="100">
        <v>0</v>
      </c>
      <c r="T234" s="100">
        <v>0</v>
      </c>
      <c r="U234" s="100">
        <v>0</v>
      </c>
    </row>
    <row r="235" spans="4:21">
      <c r="D235" s="97" t="s">
        <v>616</v>
      </c>
      <c r="E235" s="97" t="s">
        <v>606</v>
      </c>
      <c r="F235" s="94" t="s">
        <v>617</v>
      </c>
      <c r="G235" s="97">
        <v>3</v>
      </c>
      <c r="H235" s="98" t="s">
        <v>742</v>
      </c>
      <c r="I235" s="99" t="str">
        <f t="shared" si="3"/>
        <v>안동|3</v>
      </c>
      <c r="J235" s="100">
        <v>0</v>
      </c>
      <c r="K235" s="100">
        <v>0</v>
      </c>
      <c r="L235" s="100">
        <v>0</v>
      </c>
      <c r="M235" s="100">
        <v>0</v>
      </c>
      <c r="N235" s="100">
        <v>0.2</v>
      </c>
      <c r="O235" s="100">
        <v>2.8</v>
      </c>
      <c r="P235" s="100">
        <v>8.6</v>
      </c>
      <c r="Q235" s="100">
        <v>11.8</v>
      </c>
      <c r="R235" s="100">
        <v>0.8</v>
      </c>
      <c r="S235" s="100">
        <v>0</v>
      </c>
      <c r="T235" s="100">
        <v>0</v>
      </c>
      <c r="U235" s="100">
        <v>0</v>
      </c>
    </row>
    <row r="236" spans="4:21">
      <c r="D236" s="97" t="s">
        <v>618</v>
      </c>
      <c r="E236" s="97" t="s">
        <v>606</v>
      </c>
      <c r="F236" s="94" t="s">
        <v>619</v>
      </c>
      <c r="G236" s="97">
        <v>3</v>
      </c>
      <c r="H236" s="98" t="s">
        <v>742</v>
      </c>
      <c r="I236" s="99" t="str">
        <f t="shared" si="3"/>
        <v>영덕|3</v>
      </c>
      <c r="J236" s="100">
        <v>0</v>
      </c>
      <c r="K236" s="100">
        <v>0</v>
      </c>
      <c r="L236" s="100">
        <v>0</v>
      </c>
      <c r="M236" s="100">
        <v>0</v>
      </c>
      <c r="N236" s="100">
        <v>0.5</v>
      </c>
      <c r="O236" s="100">
        <v>1.8</v>
      </c>
      <c r="P236" s="100">
        <v>6.4</v>
      </c>
      <c r="Q236" s="100">
        <v>7</v>
      </c>
      <c r="R236" s="100">
        <v>0.3</v>
      </c>
      <c r="S236" s="100">
        <v>0</v>
      </c>
      <c r="T236" s="100">
        <v>0</v>
      </c>
      <c r="U236" s="100">
        <v>0</v>
      </c>
    </row>
    <row r="237" spans="4:21">
      <c r="D237" s="97" t="s">
        <v>620</v>
      </c>
      <c r="E237" s="97" t="s">
        <v>606</v>
      </c>
      <c r="F237" s="94" t="s">
        <v>621</v>
      </c>
      <c r="G237" s="97">
        <v>3</v>
      </c>
      <c r="H237" s="98" t="s">
        <v>742</v>
      </c>
      <c r="I237" s="99" t="str">
        <f t="shared" si="3"/>
        <v>영주|3</v>
      </c>
      <c r="J237" s="100">
        <v>0</v>
      </c>
      <c r="K237" s="100">
        <v>0</v>
      </c>
      <c r="L237" s="100">
        <v>0</v>
      </c>
      <c r="M237" s="100">
        <v>0</v>
      </c>
      <c r="N237" s="100">
        <v>0</v>
      </c>
      <c r="O237" s="100">
        <v>1</v>
      </c>
      <c r="P237" s="100">
        <v>4.5</v>
      </c>
      <c r="Q237" s="100">
        <v>7.8</v>
      </c>
      <c r="R237" s="100">
        <v>0.2</v>
      </c>
      <c r="S237" s="100">
        <v>0</v>
      </c>
      <c r="T237" s="100">
        <v>0</v>
      </c>
      <c r="U237" s="100">
        <v>0</v>
      </c>
    </row>
    <row r="238" spans="4:21">
      <c r="D238" s="97" t="s">
        <v>622</v>
      </c>
      <c r="E238" s="97" t="s">
        <v>606</v>
      </c>
      <c r="F238" s="94" t="s">
        <v>623</v>
      </c>
      <c r="G238" s="97">
        <v>3</v>
      </c>
      <c r="H238" s="98" t="s">
        <v>742</v>
      </c>
      <c r="I238" s="99" t="str">
        <f t="shared" si="3"/>
        <v>영천|3</v>
      </c>
      <c r="J238" s="100">
        <v>0</v>
      </c>
      <c r="K238" s="100">
        <v>0</v>
      </c>
      <c r="L238" s="100">
        <v>0</v>
      </c>
      <c r="M238" s="100">
        <v>0</v>
      </c>
      <c r="N238" s="100">
        <v>0.6</v>
      </c>
      <c r="O238" s="100">
        <v>2.7</v>
      </c>
      <c r="P238" s="100">
        <v>8.6999999999999993</v>
      </c>
      <c r="Q238" s="100">
        <v>12.2</v>
      </c>
      <c r="R238" s="100">
        <v>0.8</v>
      </c>
      <c r="S238" s="100">
        <v>0</v>
      </c>
      <c r="T238" s="100">
        <v>0</v>
      </c>
      <c r="U238" s="100">
        <v>0</v>
      </c>
    </row>
    <row r="239" spans="4:21">
      <c r="D239" s="97" t="s">
        <v>624</v>
      </c>
      <c r="E239" s="97" t="s">
        <v>606</v>
      </c>
      <c r="F239" s="94" t="s">
        <v>625</v>
      </c>
      <c r="G239" s="97">
        <v>3</v>
      </c>
      <c r="H239" s="98" t="s">
        <v>742</v>
      </c>
      <c r="I239" s="99" t="str">
        <f t="shared" si="3"/>
        <v>울릉도|3</v>
      </c>
      <c r="J239" s="100">
        <v>0</v>
      </c>
      <c r="K239" s="100">
        <v>0</v>
      </c>
      <c r="L239" s="100">
        <v>0</v>
      </c>
      <c r="M239" s="100">
        <v>0</v>
      </c>
      <c r="N239" s="100">
        <v>0</v>
      </c>
      <c r="O239" s="100">
        <v>0</v>
      </c>
      <c r="P239" s="100">
        <v>0.3</v>
      </c>
      <c r="Q239" s="100">
        <v>0.8</v>
      </c>
      <c r="R239" s="100">
        <v>0</v>
      </c>
      <c r="S239" s="100">
        <v>0</v>
      </c>
      <c r="T239" s="100">
        <v>0</v>
      </c>
      <c r="U239" s="100">
        <v>0</v>
      </c>
    </row>
    <row r="240" spans="4:21">
      <c r="D240" s="97" t="s">
        <v>626</v>
      </c>
      <c r="E240" s="97" t="s">
        <v>606</v>
      </c>
      <c r="F240" s="94" t="s">
        <v>627</v>
      </c>
      <c r="G240" s="97">
        <v>3</v>
      </c>
      <c r="H240" s="98" t="s">
        <v>742</v>
      </c>
      <c r="I240" s="99" t="str">
        <f t="shared" si="3"/>
        <v>울진|3</v>
      </c>
      <c r="J240" s="100">
        <v>0</v>
      </c>
      <c r="K240" s="100">
        <v>0</v>
      </c>
      <c r="L240" s="100">
        <v>0</v>
      </c>
      <c r="M240" s="100">
        <v>0.1</v>
      </c>
      <c r="N240" s="100">
        <v>0.3</v>
      </c>
      <c r="O240" s="100">
        <v>0.6</v>
      </c>
      <c r="P240" s="100">
        <v>3</v>
      </c>
      <c r="Q240" s="100">
        <v>2.5</v>
      </c>
      <c r="R240" s="100">
        <v>0.1</v>
      </c>
      <c r="S240" s="100">
        <v>0</v>
      </c>
      <c r="T240" s="100">
        <v>0</v>
      </c>
      <c r="U240" s="100">
        <v>0</v>
      </c>
    </row>
    <row r="241" spans="4:21">
      <c r="D241" s="97" t="s">
        <v>628</v>
      </c>
      <c r="E241" s="97" t="s">
        <v>606</v>
      </c>
      <c r="F241" s="94" t="s">
        <v>629</v>
      </c>
      <c r="G241" s="97">
        <v>3</v>
      </c>
      <c r="H241" s="98" t="s">
        <v>742</v>
      </c>
      <c r="I241" s="99" t="str">
        <f t="shared" si="3"/>
        <v>의성|3</v>
      </c>
      <c r="J241" s="100">
        <v>0</v>
      </c>
      <c r="K241" s="100">
        <v>0</v>
      </c>
      <c r="L241" s="100">
        <v>0</v>
      </c>
      <c r="M241" s="100">
        <v>0.1</v>
      </c>
      <c r="N241" s="100">
        <v>0.7</v>
      </c>
      <c r="O241" s="100">
        <v>4.4000000000000004</v>
      </c>
      <c r="P241" s="100">
        <v>11.3</v>
      </c>
      <c r="Q241" s="100">
        <v>14.8</v>
      </c>
      <c r="R241" s="100">
        <v>1.3</v>
      </c>
      <c r="S241" s="100">
        <v>0</v>
      </c>
      <c r="T241" s="100">
        <v>0</v>
      </c>
      <c r="U241" s="100">
        <v>0</v>
      </c>
    </row>
    <row r="242" spans="4:21">
      <c r="D242" s="97" t="s">
        <v>630</v>
      </c>
      <c r="E242" s="97" t="s">
        <v>606</v>
      </c>
      <c r="F242" s="94" t="s">
        <v>631</v>
      </c>
      <c r="G242" s="97">
        <v>3</v>
      </c>
      <c r="H242" s="98" t="s">
        <v>742</v>
      </c>
      <c r="I242" s="99" t="str">
        <f t="shared" si="3"/>
        <v>청송군|3</v>
      </c>
      <c r="J242" s="100">
        <v>0</v>
      </c>
      <c r="K242" s="100">
        <v>0</v>
      </c>
      <c r="L242" s="100">
        <v>0</v>
      </c>
      <c r="M242" s="100">
        <v>0</v>
      </c>
      <c r="N242" s="100">
        <v>0.5</v>
      </c>
      <c r="O242" s="100">
        <v>2.8</v>
      </c>
      <c r="P242" s="100">
        <v>7.7</v>
      </c>
      <c r="Q242" s="100">
        <v>11.9</v>
      </c>
      <c r="R242" s="100">
        <v>0.8</v>
      </c>
      <c r="S242" s="100">
        <v>0</v>
      </c>
      <c r="T242" s="100">
        <v>0</v>
      </c>
      <c r="U242" s="100">
        <v>0</v>
      </c>
    </row>
    <row r="243" spans="4:21">
      <c r="D243" s="97" t="s">
        <v>632</v>
      </c>
      <c r="E243" s="97" t="s">
        <v>606</v>
      </c>
      <c r="F243" s="94" t="s">
        <v>633</v>
      </c>
      <c r="G243" s="97">
        <v>3</v>
      </c>
      <c r="H243" s="98" t="s">
        <v>742</v>
      </c>
      <c r="I243" s="99" t="str">
        <f t="shared" si="3"/>
        <v>포항|3</v>
      </c>
      <c r="J243" s="100">
        <v>0</v>
      </c>
      <c r="K243" s="100">
        <v>0</v>
      </c>
      <c r="L243" s="100">
        <v>0</v>
      </c>
      <c r="M243" s="100">
        <v>0.1</v>
      </c>
      <c r="N243" s="100">
        <v>0.4</v>
      </c>
      <c r="O243" s="100">
        <v>1.7</v>
      </c>
      <c r="P243" s="100">
        <v>8.4</v>
      </c>
      <c r="Q243" s="100">
        <v>8.6</v>
      </c>
      <c r="R243" s="100">
        <v>0.2</v>
      </c>
      <c r="S243" s="100">
        <v>0</v>
      </c>
      <c r="T243" s="100">
        <v>0</v>
      </c>
      <c r="U243" s="100">
        <v>0</v>
      </c>
    </row>
    <row r="244" spans="4:21">
      <c r="D244" s="97" t="s">
        <v>634</v>
      </c>
      <c r="E244" s="97" t="s">
        <v>635</v>
      </c>
      <c r="F244" s="94" t="s">
        <v>636</v>
      </c>
      <c r="G244" s="97">
        <v>3</v>
      </c>
      <c r="H244" s="98" t="s">
        <v>742</v>
      </c>
      <c r="I244" s="99" t="str">
        <f t="shared" si="3"/>
        <v>광주|3</v>
      </c>
      <c r="J244" s="100">
        <v>0</v>
      </c>
      <c r="K244" s="100">
        <v>0</v>
      </c>
      <c r="L244" s="100">
        <v>0</v>
      </c>
      <c r="M244" s="100">
        <v>0</v>
      </c>
      <c r="N244" s="100">
        <v>0.2</v>
      </c>
      <c r="O244" s="100">
        <v>1.8</v>
      </c>
      <c r="P244" s="100">
        <v>7.6</v>
      </c>
      <c r="Q244" s="100">
        <v>12.5</v>
      </c>
      <c r="R244" s="100">
        <v>1.1000000000000001</v>
      </c>
      <c r="S244" s="100">
        <v>0</v>
      </c>
      <c r="T244" s="100">
        <v>0</v>
      </c>
      <c r="U244" s="100">
        <v>0</v>
      </c>
    </row>
    <row r="245" spans="4:21">
      <c r="D245" s="97" t="s">
        <v>637</v>
      </c>
      <c r="E245" s="97" t="s">
        <v>638</v>
      </c>
      <c r="F245" s="94" t="s">
        <v>639</v>
      </c>
      <c r="G245" s="97">
        <v>3</v>
      </c>
      <c r="H245" s="98" t="s">
        <v>742</v>
      </c>
      <c r="I245" s="99" t="str">
        <f t="shared" si="3"/>
        <v>대구|3</v>
      </c>
      <c r="J245" s="100">
        <v>0</v>
      </c>
      <c r="K245" s="100">
        <v>0</v>
      </c>
      <c r="L245" s="100">
        <v>0</v>
      </c>
      <c r="M245" s="100">
        <v>0</v>
      </c>
      <c r="N245" s="100">
        <v>1.1000000000000001</v>
      </c>
      <c r="O245" s="100">
        <v>4.9000000000000004</v>
      </c>
      <c r="P245" s="100">
        <v>11</v>
      </c>
      <c r="Q245" s="100">
        <v>15.5</v>
      </c>
      <c r="R245" s="100">
        <v>0.9</v>
      </c>
      <c r="S245" s="100">
        <v>0</v>
      </c>
      <c r="T245" s="100">
        <v>0</v>
      </c>
      <c r="U245" s="100">
        <v>0</v>
      </c>
    </row>
    <row r="246" spans="4:21">
      <c r="D246" s="97" t="s">
        <v>640</v>
      </c>
      <c r="E246" s="97" t="s">
        <v>641</v>
      </c>
      <c r="F246" s="94" t="s">
        <v>642</v>
      </c>
      <c r="G246" s="97">
        <v>3</v>
      </c>
      <c r="H246" s="98" t="s">
        <v>742</v>
      </c>
      <c r="I246" s="99" t="str">
        <f t="shared" si="3"/>
        <v>대전|3</v>
      </c>
      <c r="J246" s="100">
        <v>0</v>
      </c>
      <c r="K246" s="100">
        <v>0</v>
      </c>
      <c r="L246" s="100">
        <v>0</v>
      </c>
      <c r="M246" s="100">
        <v>0</v>
      </c>
      <c r="N246" s="100">
        <v>0</v>
      </c>
      <c r="O246" s="100">
        <v>2.2999999999999998</v>
      </c>
      <c r="P246" s="100">
        <v>7.4</v>
      </c>
      <c r="Q246" s="100">
        <v>12.4</v>
      </c>
      <c r="R246" s="100">
        <v>1.3</v>
      </c>
      <c r="S246" s="100">
        <v>0</v>
      </c>
      <c r="T246" s="100">
        <v>0</v>
      </c>
      <c r="U246" s="100">
        <v>0</v>
      </c>
    </row>
    <row r="247" spans="4:21">
      <c r="D247" s="97" t="s">
        <v>643</v>
      </c>
      <c r="E247" s="97" t="s">
        <v>644</v>
      </c>
      <c r="F247" s="94" t="s">
        <v>645</v>
      </c>
      <c r="G247" s="97">
        <v>3</v>
      </c>
      <c r="H247" s="98" t="s">
        <v>742</v>
      </c>
      <c r="I247" s="99" t="str">
        <f t="shared" si="3"/>
        <v>부산|3</v>
      </c>
      <c r="J247" s="100">
        <v>0</v>
      </c>
      <c r="K247" s="100">
        <v>0</v>
      </c>
      <c r="L247" s="100">
        <v>0</v>
      </c>
      <c r="M247" s="100">
        <v>0</v>
      </c>
      <c r="N247" s="100">
        <v>0</v>
      </c>
      <c r="O247" s="100">
        <v>0</v>
      </c>
      <c r="P247" s="100">
        <v>1</v>
      </c>
      <c r="Q247" s="100">
        <v>5.9</v>
      </c>
      <c r="R247" s="100">
        <v>0.7</v>
      </c>
      <c r="S247" s="100">
        <v>0</v>
      </c>
      <c r="T247" s="100">
        <v>0</v>
      </c>
      <c r="U247" s="100">
        <v>0</v>
      </c>
    </row>
    <row r="248" spans="4:21">
      <c r="D248" s="97" t="s">
        <v>64</v>
      </c>
      <c r="E248" s="97" t="s">
        <v>646</v>
      </c>
      <c r="F248" s="94" t="s">
        <v>647</v>
      </c>
      <c r="G248" s="97">
        <v>3</v>
      </c>
      <c r="H248" s="98" t="s">
        <v>742</v>
      </c>
      <c r="I248" s="99" t="str">
        <f t="shared" si="3"/>
        <v>서울|3</v>
      </c>
      <c r="J248" s="100">
        <v>0</v>
      </c>
      <c r="K248" s="100">
        <v>0</v>
      </c>
      <c r="L248" s="100">
        <v>0</v>
      </c>
      <c r="M248" s="100">
        <v>0</v>
      </c>
      <c r="N248" s="100">
        <v>0.1</v>
      </c>
      <c r="O248" s="100">
        <v>1</v>
      </c>
      <c r="P248" s="100">
        <v>6.6</v>
      </c>
      <c r="Q248" s="100">
        <v>9.6</v>
      </c>
      <c r="R248" s="100">
        <v>0.6</v>
      </c>
      <c r="S248" s="100">
        <v>0</v>
      </c>
      <c r="T248" s="100">
        <v>0</v>
      </c>
      <c r="U248" s="100">
        <v>0</v>
      </c>
    </row>
    <row r="249" spans="4:21">
      <c r="D249" s="97" t="s">
        <v>648</v>
      </c>
      <c r="E249" s="97" t="s">
        <v>649</v>
      </c>
      <c r="F249" s="94" t="s">
        <v>650</v>
      </c>
      <c r="G249" s="97">
        <v>3</v>
      </c>
      <c r="H249" s="98" t="s">
        <v>742</v>
      </c>
      <c r="I249" s="99" t="str">
        <f t="shared" si="3"/>
        <v>세종|3</v>
      </c>
      <c r="J249" s="100">
        <v>0</v>
      </c>
      <c r="K249" s="100">
        <v>0</v>
      </c>
      <c r="L249" s="100">
        <v>0</v>
      </c>
      <c r="M249" s="100">
        <v>0</v>
      </c>
      <c r="N249" s="100">
        <v>0</v>
      </c>
      <c r="O249" s="100">
        <v>1.2</v>
      </c>
      <c r="P249" s="100">
        <v>5.7</v>
      </c>
      <c r="Q249" s="100">
        <v>9.3000000000000007</v>
      </c>
      <c r="R249" s="100">
        <v>1.2</v>
      </c>
      <c r="S249" s="100">
        <v>0</v>
      </c>
      <c r="T249" s="100">
        <v>0</v>
      </c>
      <c r="U249" s="100">
        <v>0</v>
      </c>
    </row>
    <row r="250" spans="4:21">
      <c r="D250" s="97" t="s">
        <v>651</v>
      </c>
      <c r="E250" s="97" t="s">
        <v>652</v>
      </c>
      <c r="F250" s="94" t="s">
        <v>653</v>
      </c>
      <c r="G250" s="97">
        <v>3</v>
      </c>
      <c r="H250" s="98" t="s">
        <v>742</v>
      </c>
      <c r="I250" s="99" t="str">
        <f t="shared" si="3"/>
        <v>울산|3</v>
      </c>
      <c r="J250" s="100">
        <v>0</v>
      </c>
      <c r="K250" s="100">
        <v>0</v>
      </c>
      <c r="L250" s="100">
        <v>0</v>
      </c>
      <c r="M250" s="100">
        <v>0</v>
      </c>
      <c r="N250" s="100">
        <v>0.1</v>
      </c>
      <c r="O250" s="100">
        <v>0.2</v>
      </c>
      <c r="P250" s="100">
        <v>5.2</v>
      </c>
      <c r="Q250" s="100">
        <v>7.7</v>
      </c>
      <c r="R250" s="100">
        <v>0.5</v>
      </c>
      <c r="S250" s="100">
        <v>0</v>
      </c>
      <c r="T250" s="100">
        <v>0</v>
      </c>
      <c r="U250" s="100">
        <v>0</v>
      </c>
    </row>
    <row r="251" spans="4:21">
      <c r="D251" s="97" t="s">
        <v>654</v>
      </c>
      <c r="E251" s="97" t="s">
        <v>655</v>
      </c>
      <c r="F251" s="94" t="s">
        <v>656</v>
      </c>
      <c r="G251" s="97">
        <v>3</v>
      </c>
      <c r="H251" s="98" t="s">
        <v>742</v>
      </c>
      <c r="I251" s="99" t="str">
        <f t="shared" si="3"/>
        <v>강화|3</v>
      </c>
      <c r="J251" s="100">
        <v>0</v>
      </c>
      <c r="K251" s="100">
        <v>0</v>
      </c>
      <c r="L251" s="100">
        <v>0</v>
      </c>
      <c r="M251" s="100">
        <v>0</v>
      </c>
      <c r="N251" s="100">
        <v>0</v>
      </c>
      <c r="O251" s="100">
        <v>0</v>
      </c>
      <c r="P251" s="100">
        <v>2.1</v>
      </c>
      <c r="Q251" s="100">
        <v>3</v>
      </c>
      <c r="R251" s="100">
        <v>0.1</v>
      </c>
      <c r="S251" s="100">
        <v>0</v>
      </c>
      <c r="T251" s="100">
        <v>0</v>
      </c>
      <c r="U251" s="100">
        <v>0</v>
      </c>
    </row>
    <row r="252" spans="4:21">
      <c r="D252" s="97" t="s">
        <v>657</v>
      </c>
      <c r="E252" s="97" t="s">
        <v>655</v>
      </c>
      <c r="F252" s="94" t="s">
        <v>658</v>
      </c>
      <c r="G252" s="97">
        <v>3</v>
      </c>
      <c r="H252" s="98" t="s">
        <v>742</v>
      </c>
      <c r="I252" s="99" t="str">
        <f t="shared" si="3"/>
        <v>백령도|3</v>
      </c>
      <c r="J252" s="100">
        <v>0</v>
      </c>
      <c r="K252" s="100">
        <v>0</v>
      </c>
      <c r="L252" s="100">
        <v>0</v>
      </c>
      <c r="M252" s="100">
        <v>0</v>
      </c>
      <c r="N252" s="100">
        <v>0</v>
      </c>
      <c r="O252" s="100">
        <v>0</v>
      </c>
      <c r="P252" s="100">
        <v>0</v>
      </c>
      <c r="Q252" s="100">
        <v>0</v>
      </c>
      <c r="R252" s="100">
        <v>0</v>
      </c>
      <c r="S252" s="100">
        <v>0</v>
      </c>
      <c r="T252" s="100">
        <v>0</v>
      </c>
      <c r="U252" s="100">
        <v>0</v>
      </c>
    </row>
    <row r="253" spans="4:21">
      <c r="D253" s="97" t="s">
        <v>659</v>
      </c>
      <c r="E253" s="97" t="s">
        <v>655</v>
      </c>
      <c r="F253" s="94" t="s">
        <v>660</v>
      </c>
      <c r="G253" s="97">
        <v>3</v>
      </c>
      <c r="H253" s="98" t="s">
        <v>742</v>
      </c>
      <c r="I253" s="99" t="str">
        <f t="shared" si="3"/>
        <v>인천|3</v>
      </c>
      <c r="J253" s="100">
        <v>0</v>
      </c>
      <c r="K253" s="100">
        <v>0</v>
      </c>
      <c r="L253" s="100">
        <v>0</v>
      </c>
      <c r="M253" s="100">
        <v>0</v>
      </c>
      <c r="N253" s="100">
        <v>0</v>
      </c>
      <c r="O253" s="100">
        <v>0</v>
      </c>
      <c r="P253" s="100">
        <v>2</v>
      </c>
      <c r="Q253" s="100">
        <v>4.5999999999999996</v>
      </c>
      <c r="R253" s="100">
        <v>0.1</v>
      </c>
      <c r="S253" s="100">
        <v>0</v>
      </c>
      <c r="T253" s="100">
        <v>0</v>
      </c>
      <c r="U253" s="100">
        <v>0</v>
      </c>
    </row>
    <row r="254" spans="4:21">
      <c r="D254" s="97" t="s">
        <v>661</v>
      </c>
      <c r="E254" s="97" t="s">
        <v>662</v>
      </c>
      <c r="F254" s="94" t="s">
        <v>663</v>
      </c>
      <c r="G254" s="97">
        <v>3</v>
      </c>
      <c r="H254" s="98" t="s">
        <v>742</v>
      </c>
      <c r="I254" s="99" t="str">
        <f t="shared" si="3"/>
        <v>강진군|3</v>
      </c>
      <c r="J254" s="100">
        <v>0</v>
      </c>
      <c r="K254" s="100">
        <v>0</v>
      </c>
      <c r="L254" s="100">
        <v>0</v>
      </c>
      <c r="M254" s="100">
        <v>0</v>
      </c>
      <c r="N254" s="100">
        <v>0</v>
      </c>
      <c r="O254" s="100">
        <v>0.2</v>
      </c>
      <c r="P254" s="100">
        <v>4.8</v>
      </c>
      <c r="Q254" s="100">
        <v>11.7</v>
      </c>
      <c r="R254" s="100">
        <v>1.4</v>
      </c>
      <c r="S254" s="100">
        <v>0</v>
      </c>
      <c r="T254" s="100">
        <v>0</v>
      </c>
      <c r="U254" s="100">
        <v>0</v>
      </c>
    </row>
    <row r="255" spans="4:21">
      <c r="D255" s="97" t="s">
        <v>664</v>
      </c>
      <c r="E255" s="97" t="s">
        <v>662</v>
      </c>
      <c r="F255" s="94" t="s">
        <v>665</v>
      </c>
      <c r="G255" s="97">
        <v>3</v>
      </c>
      <c r="H255" s="98" t="s">
        <v>742</v>
      </c>
      <c r="I255" s="99" t="str">
        <f t="shared" si="3"/>
        <v>고흥|3</v>
      </c>
      <c r="J255" s="100">
        <v>0</v>
      </c>
      <c r="K255" s="100">
        <v>0</v>
      </c>
      <c r="L255" s="100">
        <v>0</v>
      </c>
      <c r="M255" s="100">
        <v>0</v>
      </c>
      <c r="N255" s="100">
        <v>0</v>
      </c>
      <c r="O255" s="100">
        <v>0.2</v>
      </c>
      <c r="P255" s="100">
        <v>2.4</v>
      </c>
      <c r="Q255" s="100">
        <v>7.9</v>
      </c>
      <c r="R255" s="100">
        <v>1.2</v>
      </c>
      <c r="S255" s="100">
        <v>0</v>
      </c>
      <c r="T255" s="100">
        <v>0</v>
      </c>
      <c r="U255" s="100">
        <v>0</v>
      </c>
    </row>
    <row r="256" spans="4:21">
      <c r="D256" s="97" t="s">
        <v>666</v>
      </c>
      <c r="E256" s="97" t="s">
        <v>662</v>
      </c>
      <c r="F256" s="94" t="s">
        <v>667</v>
      </c>
      <c r="G256" s="97">
        <v>3</v>
      </c>
      <c r="H256" s="98" t="s">
        <v>742</v>
      </c>
      <c r="I256" s="99" t="str">
        <f t="shared" si="3"/>
        <v>광양시|3</v>
      </c>
      <c r="J256" s="100">
        <v>0</v>
      </c>
      <c r="K256" s="100">
        <v>0</v>
      </c>
      <c r="L256" s="100">
        <v>0</v>
      </c>
      <c r="M256" s="100">
        <v>0</v>
      </c>
      <c r="N256" s="100">
        <v>0.3</v>
      </c>
      <c r="O256" s="100">
        <v>0.4</v>
      </c>
      <c r="P256" s="100">
        <v>6.3</v>
      </c>
      <c r="Q256" s="100">
        <v>12</v>
      </c>
      <c r="R256" s="100">
        <v>1.5</v>
      </c>
      <c r="S256" s="100">
        <v>0</v>
      </c>
      <c r="T256" s="100">
        <v>0</v>
      </c>
      <c r="U256" s="100">
        <v>0</v>
      </c>
    </row>
    <row r="257" spans="4:21">
      <c r="D257" s="97" t="s">
        <v>668</v>
      </c>
      <c r="E257" s="97" t="s">
        <v>662</v>
      </c>
      <c r="F257" s="94" t="s">
        <v>669</v>
      </c>
      <c r="G257" s="97">
        <v>3</v>
      </c>
      <c r="H257" s="98" t="s">
        <v>742</v>
      </c>
      <c r="I257" s="99" t="str">
        <f t="shared" si="3"/>
        <v>목포|3</v>
      </c>
      <c r="J257" s="100">
        <v>0</v>
      </c>
      <c r="K257" s="100">
        <v>0</v>
      </c>
      <c r="L257" s="100">
        <v>0</v>
      </c>
      <c r="M257" s="100">
        <v>0</v>
      </c>
      <c r="N257" s="100">
        <v>0</v>
      </c>
      <c r="O257" s="100">
        <v>0</v>
      </c>
      <c r="P257" s="100">
        <v>2.2000000000000002</v>
      </c>
      <c r="Q257" s="100">
        <v>6.9</v>
      </c>
      <c r="R257" s="100">
        <v>0.7</v>
      </c>
      <c r="S257" s="100">
        <v>0</v>
      </c>
      <c r="T257" s="100">
        <v>0</v>
      </c>
      <c r="U257" s="100">
        <v>0</v>
      </c>
    </row>
    <row r="258" spans="4:21">
      <c r="D258" s="97" t="s">
        <v>670</v>
      </c>
      <c r="E258" s="97" t="s">
        <v>662</v>
      </c>
      <c r="F258" s="94" t="s">
        <v>671</v>
      </c>
      <c r="G258" s="97">
        <v>3</v>
      </c>
      <c r="H258" s="98" t="s">
        <v>742</v>
      </c>
      <c r="I258" s="99" t="str">
        <f t="shared" si="3"/>
        <v>보성군|3</v>
      </c>
      <c r="J258" s="100">
        <v>0</v>
      </c>
      <c r="K258" s="100">
        <v>0</v>
      </c>
      <c r="L258" s="100">
        <v>0</v>
      </c>
      <c r="M258" s="100">
        <v>0</v>
      </c>
      <c r="N258" s="100">
        <v>0.1</v>
      </c>
      <c r="O258" s="100">
        <v>0.2</v>
      </c>
      <c r="P258" s="100">
        <v>4</v>
      </c>
      <c r="Q258" s="100">
        <v>10.6</v>
      </c>
      <c r="R258" s="100">
        <v>0.8</v>
      </c>
      <c r="S258" s="100">
        <v>0</v>
      </c>
      <c r="T258" s="100">
        <v>0</v>
      </c>
      <c r="U258" s="100">
        <v>0</v>
      </c>
    </row>
    <row r="259" spans="4:21">
      <c r="D259" s="97" t="s">
        <v>672</v>
      </c>
      <c r="E259" s="97" t="s">
        <v>662</v>
      </c>
      <c r="F259" s="94" t="s">
        <v>673</v>
      </c>
      <c r="G259" s="97">
        <v>3</v>
      </c>
      <c r="H259" s="98" t="s">
        <v>742</v>
      </c>
      <c r="I259" s="99" t="str">
        <f t="shared" si="3"/>
        <v>순천|3</v>
      </c>
      <c r="J259" s="100">
        <v>0</v>
      </c>
      <c r="K259" s="100">
        <v>0</v>
      </c>
      <c r="L259" s="100">
        <v>0</v>
      </c>
      <c r="M259" s="100">
        <v>0</v>
      </c>
      <c r="N259" s="100">
        <v>0</v>
      </c>
      <c r="O259" s="100">
        <v>0.4</v>
      </c>
      <c r="P259" s="100">
        <v>3.9</v>
      </c>
      <c r="Q259" s="100">
        <v>8.3000000000000007</v>
      </c>
      <c r="R259" s="100">
        <v>0.4</v>
      </c>
      <c r="S259" s="100">
        <v>0</v>
      </c>
      <c r="T259" s="100">
        <v>0</v>
      </c>
      <c r="U259" s="100">
        <v>0</v>
      </c>
    </row>
    <row r="260" spans="4:21">
      <c r="D260" s="97" t="s">
        <v>674</v>
      </c>
      <c r="E260" s="97" t="s">
        <v>662</v>
      </c>
      <c r="F260" s="94" t="s">
        <v>675</v>
      </c>
      <c r="G260" s="97">
        <v>3</v>
      </c>
      <c r="H260" s="98" t="s">
        <v>742</v>
      </c>
      <c r="I260" s="99" t="str">
        <f t="shared" si="3"/>
        <v>여수|3</v>
      </c>
      <c r="J260" s="100">
        <v>0</v>
      </c>
      <c r="K260" s="100">
        <v>0</v>
      </c>
      <c r="L260" s="100">
        <v>0</v>
      </c>
      <c r="M260" s="100">
        <v>0</v>
      </c>
      <c r="N260" s="100">
        <v>0</v>
      </c>
      <c r="O260" s="100">
        <v>0</v>
      </c>
      <c r="P260" s="100">
        <v>0.7</v>
      </c>
      <c r="Q260" s="100">
        <v>3.1</v>
      </c>
      <c r="R260" s="100">
        <v>0.5</v>
      </c>
      <c r="S260" s="100">
        <v>0</v>
      </c>
      <c r="T260" s="100">
        <v>0</v>
      </c>
      <c r="U260" s="100">
        <v>0</v>
      </c>
    </row>
    <row r="261" spans="4:21">
      <c r="D261" s="97" t="s">
        <v>676</v>
      </c>
      <c r="E261" s="97" t="s">
        <v>662</v>
      </c>
      <c r="F261" s="94" t="s">
        <v>677</v>
      </c>
      <c r="G261" s="97">
        <v>3</v>
      </c>
      <c r="H261" s="98" t="s">
        <v>742</v>
      </c>
      <c r="I261" s="99" t="str">
        <f t="shared" si="3"/>
        <v>영광군|3</v>
      </c>
      <c r="J261" s="100">
        <v>0</v>
      </c>
      <c r="K261" s="100">
        <v>0</v>
      </c>
      <c r="L261" s="100">
        <v>0</v>
      </c>
      <c r="M261" s="100">
        <v>0</v>
      </c>
      <c r="N261" s="100">
        <v>0</v>
      </c>
      <c r="O261" s="100">
        <v>0.3</v>
      </c>
      <c r="P261" s="100">
        <v>6.2</v>
      </c>
      <c r="Q261" s="100">
        <v>10.3</v>
      </c>
      <c r="R261" s="100">
        <v>0.9</v>
      </c>
      <c r="S261" s="100">
        <v>0</v>
      </c>
      <c r="T261" s="100">
        <v>0</v>
      </c>
      <c r="U261" s="100">
        <v>0</v>
      </c>
    </row>
    <row r="262" spans="4:21">
      <c r="D262" s="97" t="s">
        <v>678</v>
      </c>
      <c r="E262" s="97" t="s">
        <v>662</v>
      </c>
      <c r="F262" s="94" t="s">
        <v>679</v>
      </c>
      <c r="G262" s="97">
        <v>3</v>
      </c>
      <c r="H262" s="98" t="s">
        <v>742</v>
      </c>
      <c r="I262" s="99" t="str">
        <f t="shared" si="3"/>
        <v>완도|3</v>
      </c>
      <c r="J262" s="100">
        <v>0</v>
      </c>
      <c r="K262" s="100">
        <v>0</v>
      </c>
      <c r="L262" s="100">
        <v>0</v>
      </c>
      <c r="M262" s="100">
        <v>0</v>
      </c>
      <c r="N262" s="100">
        <v>0</v>
      </c>
      <c r="O262" s="100">
        <v>0.1</v>
      </c>
      <c r="P262" s="100">
        <v>2</v>
      </c>
      <c r="Q262" s="100">
        <v>7.2</v>
      </c>
      <c r="R262" s="100">
        <v>1.4</v>
      </c>
      <c r="S262" s="100">
        <v>0</v>
      </c>
      <c r="T262" s="100">
        <v>0</v>
      </c>
      <c r="U262" s="100">
        <v>0</v>
      </c>
    </row>
    <row r="263" spans="4:21">
      <c r="D263" s="97" t="s">
        <v>680</v>
      </c>
      <c r="E263" s="97" t="s">
        <v>662</v>
      </c>
      <c r="F263" s="94" t="s">
        <v>681</v>
      </c>
      <c r="G263" s="97">
        <v>3</v>
      </c>
      <c r="H263" s="98" t="s">
        <v>742</v>
      </c>
      <c r="I263" s="99" t="str">
        <f t="shared" ref="I263:I326" si="4">$D263&amp;"|"&amp;$G263</f>
        <v>장흥|3</v>
      </c>
      <c r="J263" s="100">
        <v>0</v>
      </c>
      <c r="K263" s="100">
        <v>0</v>
      </c>
      <c r="L263" s="100">
        <v>0</v>
      </c>
      <c r="M263" s="100">
        <v>0</v>
      </c>
      <c r="N263" s="100">
        <v>0.1</v>
      </c>
      <c r="O263" s="100">
        <v>0.2</v>
      </c>
      <c r="P263" s="100">
        <v>3.3</v>
      </c>
      <c r="Q263" s="100">
        <v>9.1</v>
      </c>
      <c r="R263" s="100">
        <v>0.9</v>
      </c>
      <c r="S263" s="100">
        <v>0</v>
      </c>
      <c r="T263" s="100">
        <v>0</v>
      </c>
      <c r="U263" s="100">
        <v>0</v>
      </c>
    </row>
    <row r="264" spans="4:21">
      <c r="D264" s="97" t="s">
        <v>682</v>
      </c>
      <c r="E264" s="97" t="s">
        <v>662</v>
      </c>
      <c r="F264" s="94" t="s">
        <v>683</v>
      </c>
      <c r="G264" s="97">
        <v>3</v>
      </c>
      <c r="H264" s="98" t="s">
        <v>742</v>
      </c>
      <c r="I264" s="99" t="str">
        <f t="shared" si="4"/>
        <v>진도군|3</v>
      </c>
      <c r="J264" s="100">
        <v>0</v>
      </c>
      <c r="K264" s="100">
        <v>0</v>
      </c>
      <c r="L264" s="100">
        <v>0</v>
      </c>
      <c r="M264" s="100">
        <v>0</v>
      </c>
      <c r="N264" s="100">
        <v>0</v>
      </c>
      <c r="O264" s="100">
        <v>0</v>
      </c>
      <c r="P264" s="100">
        <v>0.8</v>
      </c>
      <c r="Q264" s="100">
        <v>5.3</v>
      </c>
      <c r="R264" s="100">
        <v>0.8</v>
      </c>
      <c r="S264" s="100">
        <v>0</v>
      </c>
      <c r="T264" s="100">
        <v>0</v>
      </c>
      <c r="U264" s="100">
        <v>0</v>
      </c>
    </row>
    <row r="265" spans="4:21">
      <c r="D265" s="97" t="s">
        <v>684</v>
      </c>
      <c r="E265" s="97" t="s">
        <v>662</v>
      </c>
      <c r="F265" s="94" t="s">
        <v>685</v>
      </c>
      <c r="G265" s="97">
        <v>3</v>
      </c>
      <c r="H265" s="98" t="s">
        <v>742</v>
      </c>
      <c r="I265" s="99" t="str">
        <f t="shared" si="4"/>
        <v>해남|3</v>
      </c>
      <c r="J265" s="100">
        <v>0</v>
      </c>
      <c r="K265" s="100">
        <v>0</v>
      </c>
      <c r="L265" s="100">
        <v>0</v>
      </c>
      <c r="M265" s="100">
        <v>0</v>
      </c>
      <c r="N265" s="100">
        <v>0</v>
      </c>
      <c r="O265" s="100">
        <v>0.3</v>
      </c>
      <c r="P265" s="100">
        <v>2.8</v>
      </c>
      <c r="Q265" s="100">
        <v>10.9</v>
      </c>
      <c r="R265" s="100">
        <v>1</v>
      </c>
      <c r="S265" s="100">
        <v>0</v>
      </c>
      <c r="T265" s="100">
        <v>0</v>
      </c>
      <c r="U265" s="100">
        <v>0</v>
      </c>
    </row>
    <row r="266" spans="4:21">
      <c r="D266" s="97" t="s">
        <v>686</v>
      </c>
      <c r="E266" s="97" t="s">
        <v>662</v>
      </c>
      <c r="F266" s="94" t="s">
        <v>687</v>
      </c>
      <c r="G266" s="97">
        <v>3</v>
      </c>
      <c r="H266" s="98" t="s">
        <v>742</v>
      </c>
      <c r="I266" s="99" t="str">
        <f t="shared" si="4"/>
        <v>흑산도|3</v>
      </c>
      <c r="J266" s="100">
        <v>0</v>
      </c>
      <c r="K266" s="100">
        <v>0</v>
      </c>
      <c r="L266" s="100">
        <v>0</v>
      </c>
      <c r="M266" s="100">
        <v>0</v>
      </c>
      <c r="N266" s="100">
        <v>0</v>
      </c>
      <c r="O266" s="100">
        <v>0</v>
      </c>
      <c r="P266" s="100">
        <v>0.1</v>
      </c>
      <c r="Q266" s="100">
        <v>2.5</v>
      </c>
      <c r="R266" s="100">
        <v>0.7</v>
      </c>
      <c r="S266" s="100">
        <v>0</v>
      </c>
      <c r="T266" s="100">
        <v>0</v>
      </c>
      <c r="U266" s="100">
        <v>0</v>
      </c>
    </row>
    <row r="267" spans="4:21">
      <c r="D267" s="97" t="s">
        <v>688</v>
      </c>
      <c r="E267" s="97" t="s">
        <v>689</v>
      </c>
      <c r="F267" s="94" t="s">
        <v>690</v>
      </c>
      <c r="G267" s="97">
        <v>3</v>
      </c>
      <c r="H267" s="98" t="s">
        <v>742</v>
      </c>
      <c r="I267" s="99" t="str">
        <f t="shared" si="4"/>
        <v>고창|3</v>
      </c>
      <c r="J267" s="100">
        <v>0</v>
      </c>
      <c r="K267" s="100">
        <v>0</v>
      </c>
      <c r="L267" s="100">
        <v>0</v>
      </c>
      <c r="M267" s="100">
        <v>0</v>
      </c>
      <c r="N267" s="100">
        <v>0</v>
      </c>
      <c r="O267" s="100">
        <v>0.3</v>
      </c>
      <c r="P267" s="100">
        <v>5.7</v>
      </c>
      <c r="Q267" s="100">
        <v>10.1</v>
      </c>
      <c r="R267" s="100">
        <v>1</v>
      </c>
      <c r="S267" s="100">
        <v>0</v>
      </c>
      <c r="T267" s="100">
        <v>0</v>
      </c>
      <c r="U267" s="100">
        <v>0</v>
      </c>
    </row>
    <row r="268" spans="4:21">
      <c r="D268" s="97" t="s">
        <v>691</v>
      </c>
      <c r="E268" s="97" t="s">
        <v>689</v>
      </c>
      <c r="F268" s="94" t="s">
        <v>692</v>
      </c>
      <c r="G268" s="97">
        <v>3</v>
      </c>
      <c r="H268" s="98" t="s">
        <v>742</v>
      </c>
      <c r="I268" s="99" t="str">
        <f t="shared" si="4"/>
        <v>고창군|3</v>
      </c>
      <c r="J268" s="100">
        <v>0</v>
      </c>
      <c r="K268" s="100">
        <v>0</v>
      </c>
      <c r="L268" s="100">
        <v>0</v>
      </c>
      <c r="M268" s="100">
        <v>0</v>
      </c>
      <c r="N268" s="100">
        <v>0</v>
      </c>
      <c r="O268" s="100">
        <v>0.6</v>
      </c>
      <c r="P268" s="100">
        <v>7.6</v>
      </c>
      <c r="Q268" s="100">
        <v>13.1</v>
      </c>
      <c r="R268" s="100">
        <v>1.2</v>
      </c>
      <c r="S268" s="100">
        <v>0</v>
      </c>
      <c r="T268" s="100">
        <v>0</v>
      </c>
      <c r="U268" s="100">
        <v>0</v>
      </c>
    </row>
    <row r="269" spans="4:21">
      <c r="D269" s="97" t="s">
        <v>693</v>
      </c>
      <c r="E269" s="97" t="s">
        <v>689</v>
      </c>
      <c r="F269" s="94" t="s">
        <v>694</v>
      </c>
      <c r="G269" s="97">
        <v>3</v>
      </c>
      <c r="H269" s="98" t="s">
        <v>742</v>
      </c>
      <c r="I269" s="99" t="str">
        <f t="shared" si="4"/>
        <v>군산|3</v>
      </c>
      <c r="J269" s="100">
        <v>0</v>
      </c>
      <c r="K269" s="100">
        <v>0</v>
      </c>
      <c r="L269" s="100">
        <v>0</v>
      </c>
      <c r="M269" s="100">
        <v>0</v>
      </c>
      <c r="N269" s="100">
        <v>0</v>
      </c>
      <c r="O269" s="100">
        <v>0.3</v>
      </c>
      <c r="P269" s="100">
        <v>3.2</v>
      </c>
      <c r="Q269" s="100">
        <v>7.4</v>
      </c>
      <c r="R269" s="100">
        <v>0.9</v>
      </c>
      <c r="S269" s="100">
        <v>0</v>
      </c>
      <c r="T269" s="100">
        <v>0</v>
      </c>
      <c r="U269" s="100">
        <v>0</v>
      </c>
    </row>
    <row r="270" spans="4:21">
      <c r="D270" s="97" t="s">
        <v>695</v>
      </c>
      <c r="E270" s="97" t="s">
        <v>689</v>
      </c>
      <c r="F270" s="94" t="s">
        <v>696</v>
      </c>
      <c r="G270" s="97">
        <v>3</v>
      </c>
      <c r="H270" s="98" t="s">
        <v>742</v>
      </c>
      <c r="I270" s="99" t="str">
        <f t="shared" si="4"/>
        <v>남원|3</v>
      </c>
      <c r="J270" s="100">
        <v>0</v>
      </c>
      <c r="K270" s="100">
        <v>0</v>
      </c>
      <c r="L270" s="100">
        <v>0</v>
      </c>
      <c r="M270" s="100">
        <v>0</v>
      </c>
      <c r="N270" s="100">
        <v>0</v>
      </c>
      <c r="O270" s="100">
        <v>1.5</v>
      </c>
      <c r="P270" s="100">
        <v>7.2</v>
      </c>
      <c r="Q270" s="100">
        <v>12.1</v>
      </c>
      <c r="R270" s="100">
        <v>0.8</v>
      </c>
      <c r="S270" s="100">
        <v>0</v>
      </c>
      <c r="T270" s="100">
        <v>0</v>
      </c>
      <c r="U270" s="100">
        <v>0</v>
      </c>
    </row>
    <row r="271" spans="4:21">
      <c r="D271" s="97" t="s">
        <v>697</v>
      </c>
      <c r="E271" s="97" t="s">
        <v>689</v>
      </c>
      <c r="F271" s="94" t="s">
        <v>698</v>
      </c>
      <c r="G271" s="97">
        <v>3</v>
      </c>
      <c r="H271" s="98" t="s">
        <v>742</v>
      </c>
      <c r="I271" s="99" t="str">
        <f t="shared" si="4"/>
        <v>부안|3</v>
      </c>
      <c r="J271" s="100">
        <v>0</v>
      </c>
      <c r="K271" s="100">
        <v>0</v>
      </c>
      <c r="L271" s="100">
        <v>0</v>
      </c>
      <c r="M271" s="100">
        <v>0</v>
      </c>
      <c r="N271" s="100">
        <v>0</v>
      </c>
      <c r="O271" s="100">
        <v>0.2</v>
      </c>
      <c r="P271" s="100">
        <v>6.6</v>
      </c>
      <c r="Q271" s="100">
        <v>10.4</v>
      </c>
      <c r="R271" s="100">
        <v>0.7</v>
      </c>
      <c r="S271" s="100">
        <v>0</v>
      </c>
      <c r="T271" s="100">
        <v>0</v>
      </c>
      <c r="U271" s="100">
        <v>0</v>
      </c>
    </row>
    <row r="272" spans="4:21">
      <c r="D272" s="97" t="s">
        <v>699</v>
      </c>
      <c r="E272" s="97" t="s">
        <v>689</v>
      </c>
      <c r="F272" s="94" t="s">
        <v>700</v>
      </c>
      <c r="G272" s="97">
        <v>3</v>
      </c>
      <c r="H272" s="98" t="s">
        <v>742</v>
      </c>
      <c r="I272" s="99" t="str">
        <f t="shared" si="4"/>
        <v>순창군|3</v>
      </c>
      <c r="J272" s="100">
        <v>0</v>
      </c>
      <c r="K272" s="100">
        <v>0</v>
      </c>
      <c r="L272" s="100">
        <v>0</v>
      </c>
      <c r="M272" s="100">
        <v>0</v>
      </c>
      <c r="N272" s="100">
        <v>0</v>
      </c>
      <c r="O272" s="100">
        <v>1.5</v>
      </c>
      <c r="P272" s="100">
        <v>7.4</v>
      </c>
      <c r="Q272" s="100">
        <v>12.2</v>
      </c>
      <c r="R272" s="100">
        <v>1.3</v>
      </c>
      <c r="S272" s="100">
        <v>0</v>
      </c>
      <c r="T272" s="100">
        <v>0</v>
      </c>
      <c r="U272" s="100">
        <v>0</v>
      </c>
    </row>
    <row r="273" spans="4:21">
      <c r="D273" s="97" t="s">
        <v>701</v>
      </c>
      <c r="E273" s="97" t="s">
        <v>689</v>
      </c>
      <c r="F273" s="94" t="s">
        <v>702</v>
      </c>
      <c r="G273" s="97">
        <v>3</v>
      </c>
      <c r="H273" s="98" t="s">
        <v>742</v>
      </c>
      <c r="I273" s="99" t="str">
        <f t="shared" si="4"/>
        <v>임실|3</v>
      </c>
      <c r="J273" s="100">
        <v>0</v>
      </c>
      <c r="K273" s="100">
        <v>0</v>
      </c>
      <c r="L273" s="100">
        <v>0</v>
      </c>
      <c r="M273" s="100">
        <v>0</v>
      </c>
      <c r="N273" s="100">
        <v>0</v>
      </c>
      <c r="O273" s="100">
        <v>0.5</v>
      </c>
      <c r="P273" s="100">
        <v>4.4000000000000004</v>
      </c>
      <c r="Q273" s="100">
        <v>8.5</v>
      </c>
      <c r="R273" s="100">
        <v>0.6</v>
      </c>
      <c r="S273" s="100">
        <v>0</v>
      </c>
      <c r="T273" s="100">
        <v>0</v>
      </c>
      <c r="U273" s="100">
        <v>0</v>
      </c>
    </row>
    <row r="274" spans="4:21">
      <c r="D274" s="97" t="s">
        <v>703</v>
      </c>
      <c r="E274" s="97" t="s">
        <v>689</v>
      </c>
      <c r="F274" s="94" t="s">
        <v>704</v>
      </c>
      <c r="G274" s="97">
        <v>3</v>
      </c>
      <c r="H274" s="98" t="s">
        <v>742</v>
      </c>
      <c r="I274" s="99" t="str">
        <f t="shared" si="4"/>
        <v>장수|3</v>
      </c>
      <c r="J274" s="100">
        <v>0</v>
      </c>
      <c r="K274" s="100">
        <v>0</v>
      </c>
      <c r="L274" s="100">
        <v>0</v>
      </c>
      <c r="M274" s="100">
        <v>0</v>
      </c>
      <c r="N274" s="100">
        <v>0</v>
      </c>
      <c r="O274" s="100">
        <v>0.1</v>
      </c>
      <c r="P274" s="100">
        <v>1.8</v>
      </c>
      <c r="Q274" s="100">
        <v>4.0999999999999996</v>
      </c>
      <c r="R274" s="100">
        <v>0.4</v>
      </c>
      <c r="S274" s="100">
        <v>0</v>
      </c>
      <c r="T274" s="100">
        <v>0</v>
      </c>
      <c r="U274" s="100">
        <v>0</v>
      </c>
    </row>
    <row r="275" spans="4:21">
      <c r="D275" s="97" t="s">
        <v>705</v>
      </c>
      <c r="E275" s="97" t="s">
        <v>689</v>
      </c>
      <c r="F275" s="94" t="s">
        <v>706</v>
      </c>
      <c r="G275" s="97">
        <v>3</v>
      </c>
      <c r="H275" s="98" t="s">
        <v>742</v>
      </c>
      <c r="I275" s="99" t="str">
        <f t="shared" si="4"/>
        <v>전주|3</v>
      </c>
      <c r="J275" s="100">
        <v>0</v>
      </c>
      <c r="K275" s="100">
        <v>0</v>
      </c>
      <c r="L275" s="100">
        <v>0</v>
      </c>
      <c r="M275" s="100">
        <v>0</v>
      </c>
      <c r="N275" s="100">
        <v>0.2</v>
      </c>
      <c r="O275" s="100">
        <v>1.1000000000000001</v>
      </c>
      <c r="P275" s="100">
        <v>7.5</v>
      </c>
      <c r="Q275" s="100">
        <v>13.1</v>
      </c>
      <c r="R275" s="100">
        <v>1.4</v>
      </c>
      <c r="S275" s="100">
        <v>0</v>
      </c>
      <c r="T275" s="100">
        <v>0</v>
      </c>
      <c r="U275" s="100">
        <v>0</v>
      </c>
    </row>
    <row r="276" spans="4:21">
      <c r="D276" s="97" t="s">
        <v>707</v>
      </c>
      <c r="E276" s="97" t="s">
        <v>689</v>
      </c>
      <c r="F276" s="94" t="s">
        <v>708</v>
      </c>
      <c r="G276" s="97">
        <v>3</v>
      </c>
      <c r="H276" s="98" t="s">
        <v>742</v>
      </c>
      <c r="I276" s="99" t="str">
        <f t="shared" si="4"/>
        <v>정읍|3</v>
      </c>
      <c r="J276" s="100">
        <v>0</v>
      </c>
      <c r="K276" s="100">
        <v>0</v>
      </c>
      <c r="L276" s="100">
        <v>0</v>
      </c>
      <c r="M276" s="100">
        <v>0</v>
      </c>
      <c r="N276" s="100">
        <v>0</v>
      </c>
      <c r="O276" s="100">
        <v>1.3</v>
      </c>
      <c r="P276" s="100">
        <v>8.1</v>
      </c>
      <c r="Q276" s="100">
        <v>12.2</v>
      </c>
      <c r="R276" s="100">
        <v>1.2</v>
      </c>
      <c r="S276" s="100">
        <v>0</v>
      </c>
      <c r="T276" s="100">
        <v>0</v>
      </c>
      <c r="U276" s="100">
        <v>0</v>
      </c>
    </row>
    <row r="277" spans="4:21">
      <c r="D277" s="97" t="s">
        <v>709</v>
      </c>
      <c r="E277" s="97" t="s">
        <v>710</v>
      </c>
      <c r="F277" s="94" t="s">
        <v>711</v>
      </c>
      <c r="G277" s="97">
        <v>3</v>
      </c>
      <c r="H277" s="98" t="s">
        <v>742</v>
      </c>
      <c r="I277" s="99" t="str">
        <f t="shared" si="4"/>
        <v>고산|3</v>
      </c>
      <c r="J277" s="100">
        <v>0</v>
      </c>
      <c r="K277" s="100">
        <v>0</v>
      </c>
      <c r="L277" s="100">
        <v>0</v>
      </c>
      <c r="M277" s="100">
        <v>0</v>
      </c>
      <c r="N277" s="100">
        <v>0</v>
      </c>
      <c r="O277" s="100">
        <v>0</v>
      </c>
      <c r="P277" s="100">
        <v>0.8</v>
      </c>
      <c r="Q277" s="100">
        <v>2.6</v>
      </c>
      <c r="R277" s="100">
        <v>0.3</v>
      </c>
      <c r="S277" s="100">
        <v>0</v>
      </c>
      <c r="T277" s="100">
        <v>0</v>
      </c>
      <c r="U277" s="100">
        <v>0</v>
      </c>
    </row>
    <row r="278" spans="4:21">
      <c r="D278" s="97" t="s">
        <v>712</v>
      </c>
      <c r="E278" s="97" t="s">
        <v>710</v>
      </c>
      <c r="F278" s="94" t="s">
        <v>713</v>
      </c>
      <c r="G278" s="97">
        <v>3</v>
      </c>
      <c r="H278" s="98" t="s">
        <v>742</v>
      </c>
      <c r="I278" s="99" t="str">
        <f t="shared" si="4"/>
        <v>서귀포|3</v>
      </c>
      <c r="J278" s="100">
        <v>0</v>
      </c>
      <c r="K278" s="100">
        <v>0</v>
      </c>
      <c r="L278" s="100">
        <v>0</v>
      </c>
      <c r="M278" s="100">
        <v>0</v>
      </c>
      <c r="N278" s="100">
        <v>0</v>
      </c>
      <c r="O278" s="100">
        <v>0</v>
      </c>
      <c r="P278" s="100">
        <v>0.4</v>
      </c>
      <c r="Q278" s="100">
        <v>2.6</v>
      </c>
      <c r="R278" s="100">
        <v>0.9</v>
      </c>
      <c r="S278" s="100">
        <v>0</v>
      </c>
      <c r="T278" s="100">
        <v>0</v>
      </c>
      <c r="U278" s="100">
        <v>0</v>
      </c>
    </row>
    <row r="279" spans="4:21">
      <c r="D279" s="97" t="s">
        <v>714</v>
      </c>
      <c r="E279" s="97" t="s">
        <v>710</v>
      </c>
      <c r="F279" s="94" t="s">
        <v>715</v>
      </c>
      <c r="G279" s="97">
        <v>3</v>
      </c>
      <c r="H279" s="98" t="s">
        <v>742</v>
      </c>
      <c r="I279" s="99" t="str">
        <f t="shared" si="4"/>
        <v>성산|3</v>
      </c>
      <c r="J279" s="100">
        <v>0</v>
      </c>
      <c r="K279" s="100">
        <v>0</v>
      </c>
      <c r="L279" s="100">
        <v>0</v>
      </c>
      <c r="M279" s="100">
        <v>0</v>
      </c>
      <c r="N279" s="100">
        <v>0</v>
      </c>
      <c r="O279" s="100">
        <v>0</v>
      </c>
      <c r="P279" s="100">
        <v>1.5</v>
      </c>
      <c r="Q279" s="100">
        <v>3.2</v>
      </c>
      <c r="R279" s="100">
        <v>0.1</v>
      </c>
      <c r="S279" s="100">
        <v>0</v>
      </c>
      <c r="T279" s="100">
        <v>0</v>
      </c>
      <c r="U279" s="100">
        <v>0</v>
      </c>
    </row>
    <row r="280" spans="4:21">
      <c r="D280" s="97" t="s">
        <v>716</v>
      </c>
      <c r="E280" s="97" t="s">
        <v>710</v>
      </c>
      <c r="F280" s="94" t="s">
        <v>717</v>
      </c>
      <c r="G280" s="97">
        <v>3</v>
      </c>
      <c r="H280" s="98" t="s">
        <v>742</v>
      </c>
      <c r="I280" s="99" t="str">
        <f t="shared" si="4"/>
        <v>제주|3</v>
      </c>
      <c r="J280" s="100">
        <v>0</v>
      </c>
      <c r="K280" s="100">
        <v>0</v>
      </c>
      <c r="L280" s="100">
        <v>0</v>
      </c>
      <c r="M280" s="100">
        <v>0</v>
      </c>
      <c r="N280" s="100">
        <v>0.1</v>
      </c>
      <c r="O280" s="100">
        <v>0.5</v>
      </c>
      <c r="P280" s="100">
        <v>7</v>
      </c>
      <c r="Q280" s="100">
        <v>9.8000000000000007</v>
      </c>
      <c r="R280" s="100">
        <v>1</v>
      </c>
      <c r="S280" s="100">
        <v>0</v>
      </c>
      <c r="T280" s="100">
        <v>0</v>
      </c>
      <c r="U280" s="100">
        <v>0</v>
      </c>
    </row>
    <row r="281" spans="4:21">
      <c r="D281" s="97" t="s">
        <v>718</v>
      </c>
      <c r="E281" s="97" t="s">
        <v>719</v>
      </c>
      <c r="F281" s="94" t="s">
        <v>720</v>
      </c>
      <c r="G281" s="97">
        <v>3</v>
      </c>
      <c r="H281" s="98" t="s">
        <v>742</v>
      </c>
      <c r="I281" s="99" t="str">
        <f t="shared" si="4"/>
        <v>금산|3</v>
      </c>
      <c r="J281" s="100">
        <v>0</v>
      </c>
      <c r="K281" s="100">
        <v>0</v>
      </c>
      <c r="L281" s="100">
        <v>0</v>
      </c>
      <c r="M281" s="100">
        <v>0</v>
      </c>
      <c r="N281" s="100">
        <v>0.1</v>
      </c>
      <c r="O281" s="100">
        <v>1</v>
      </c>
      <c r="P281" s="100">
        <v>6.9</v>
      </c>
      <c r="Q281" s="100">
        <v>11.1</v>
      </c>
      <c r="R281" s="100">
        <v>1.2</v>
      </c>
      <c r="S281" s="100">
        <v>0</v>
      </c>
      <c r="T281" s="100">
        <v>0</v>
      </c>
      <c r="U281" s="100">
        <v>0</v>
      </c>
    </row>
    <row r="282" spans="4:21">
      <c r="D282" s="97" t="s">
        <v>721</v>
      </c>
      <c r="E282" s="97" t="s">
        <v>719</v>
      </c>
      <c r="F282" s="94" t="s">
        <v>722</v>
      </c>
      <c r="G282" s="97">
        <v>3</v>
      </c>
      <c r="H282" s="98" t="s">
        <v>742</v>
      </c>
      <c r="I282" s="99" t="str">
        <f t="shared" si="4"/>
        <v>보령|3</v>
      </c>
      <c r="J282" s="100">
        <v>0</v>
      </c>
      <c r="K282" s="100">
        <v>0</v>
      </c>
      <c r="L282" s="100">
        <v>0</v>
      </c>
      <c r="M282" s="100">
        <v>0</v>
      </c>
      <c r="N282" s="100">
        <v>0</v>
      </c>
      <c r="O282" s="100">
        <v>0</v>
      </c>
      <c r="P282" s="100">
        <v>2.4</v>
      </c>
      <c r="Q282" s="100">
        <v>6.2</v>
      </c>
      <c r="R282" s="100">
        <v>0.9</v>
      </c>
      <c r="S282" s="100">
        <v>0</v>
      </c>
      <c r="T282" s="100">
        <v>0</v>
      </c>
      <c r="U282" s="100">
        <v>0</v>
      </c>
    </row>
    <row r="283" spans="4:21">
      <c r="D283" s="97" t="s">
        <v>723</v>
      </c>
      <c r="E283" s="97" t="s">
        <v>719</v>
      </c>
      <c r="F283" s="94" t="s">
        <v>724</v>
      </c>
      <c r="G283" s="97">
        <v>3</v>
      </c>
      <c r="H283" s="98" t="s">
        <v>742</v>
      </c>
      <c r="I283" s="99" t="str">
        <f t="shared" si="4"/>
        <v>부여|3</v>
      </c>
      <c r="J283" s="100">
        <v>0</v>
      </c>
      <c r="K283" s="100">
        <v>0</v>
      </c>
      <c r="L283" s="100">
        <v>0</v>
      </c>
      <c r="M283" s="100">
        <v>0</v>
      </c>
      <c r="N283" s="100">
        <v>0</v>
      </c>
      <c r="O283" s="100">
        <v>1.3</v>
      </c>
      <c r="P283" s="100">
        <v>6.8</v>
      </c>
      <c r="Q283" s="100">
        <v>11.5</v>
      </c>
      <c r="R283" s="100">
        <v>0.9</v>
      </c>
      <c r="S283" s="100">
        <v>0</v>
      </c>
      <c r="T283" s="100">
        <v>0</v>
      </c>
      <c r="U283" s="100">
        <v>0</v>
      </c>
    </row>
    <row r="284" spans="4:21">
      <c r="D284" s="97" t="s">
        <v>91</v>
      </c>
      <c r="E284" s="97" t="s">
        <v>719</v>
      </c>
      <c r="F284" s="94" t="s">
        <v>725</v>
      </c>
      <c r="G284" s="97">
        <v>3</v>
      </c>
      <c r="H284" s="98" t="s">
        <v>742</v>
      </c>
      <c r="I284" s="99" t="str">
        <f t="shared" si="4"/>
        <v>서산|3</v>
      </c>
      <c r="J284" s="100">
        <v>0</v>
      </c>
      <c r="K284" s="100">
        <v>0</v>
      </c>
      <c r="L284" s="100">
        <v>0</v>
      </c>
      <c r="M284" s="100">
        <v>0</v>
      </c>
      <c r="N284" s="100">
        <v>0</v>
      </c>
      <c r="O284" s="100">
        <v>0.6</v>
      </c>
      <c r="P284" s="100">
        <v>3.8</v>
      </c>
      <c r="Q284" s="100">
        <v>7.9</v>
      </c>
      <c r="R284" s="100">
        <v>0.6</v>
      </c>
      <c r="S284" s="100">
        <v>0</v>
      </c>
      <c r="T284" s="100">
        <v>0</v>
      </c>
      <c r="U284" s="100">
        <v>0</v>
      </c>
    </row>
    <row r="285" spans="4:21">
      <c r="D285" s="97" t="s">
        <v>726</v>
      </c>
      <c r="E285" s="97" t="s">
        <v>719</v>
      </c>
      <c r="F285" s="94" t="s">
        <v>727</v>
      </c>
      <c r="G285" s="97">
        <v>3</v>
      </c>
      <c r="H285" s="98" t="s">
        <v>742</v>
      </c>
      <c r="I285" s="99" t="str">
        <f t="shared" si="4"/>
        <v>천안|3</v>
      </c>
      <c r="J285" s="100">
        <v>0</v>
      </c>
      <c r="K285" s="100">
        <v>0</v>
      </c>
      <c r="L285" s="100">
        <v>0</v>
      </c>
      <c r="M285" s="100">
        <v>0</v>
      </c>
      <c r="N285" s="100">
        <v>0</v>
      </c>
      <c r="O285" s="100">
        <v>0.5</v>
      </c>
      <c r="P285" s="100">
        <v>4.5999999999999996</v>
      </c>
      <c r="Q285" s="100">
        <v>8.1</v>
      </c>
      <c r="R285" s="100">
        <v>0.2</v>
      </c>
      <c r="S285" s="100">
        <v>0</v>
      </c>
      <c r="T285" s="100">
        <v>0</v>
      </c>
      <c r="U285" s="100">
        <v>0</v>
      </c>
    </row>
    <row r="286" spans="4:21">
      <c r="D286" s="97" t="s">
        <v>728</v>
      </c>
      <c r="E286" s="97" t="s">
        <v>719</v>
      </c>
      <c r="F286" s="94" t="s">
        <v>729</v>
      </c>
      <c r="G286" s="97">
        <v>3</v>
      </c>
      <c r="H286" s="98" t="s">
        <v>742</v>
      </c>
      <c r="I286" s="99" t="str">
        <f t="shared" si="4"/>
        <v>홍성|3</v>
      </c>
      <c r="J286" s="100">
        <v>0</v>
      </c>
      <c r="K286" s="100">
        <v>0</v>
      </c>
      <c r="L286" s="100">
        <v>0</v>
      </c>
      <c r="M286" s="100">
        <v>0</v>
      </c>
      <c r="N286" s="100">
        <v>0</v>
      </c>
      <c r="O286" s="100">
        <v>0.1</v>
      </c>
      <c r="P286" s="100">
        <v>4.9000000000000004</v>
      </c>
      <c r="Q286" s="100">
        <v>9.1</v>
      </c>
      <c r="R286" s="100">
        <v>0.3</v>
      </c>
      <c r="S286" s="100">
        <v>0</v>
      </c>
      <c r="T286" s="100">
        <v>0</v>
      </c>
      <c r="U286" s="100">
        <v>0</v>
      </c>
    </row>
    <row r="287" spans="4:21">
      <c r="D287" s="97" t="s">
        <v>730</v>
      </c>
      <c r="E287" s="97" t="s">
        <v>731</v>
      </c>
      <c r="F287" s="94" t="s">
        <v>732</v>
      </c>
      <c r="G287" s="97">
        <v>3</v>
      </c>
      <c r="H287" s="98" t="s">
        <v>742</v>
      </c>
      <c r="I287" s="99" t="str">
        <f t="shared" si="4"/>
        <v>보은|3</v>
      </c>
      <c r="J287" s="100">
        <v>0</v>
      </c>
      <c r="K287" s="100">
        <v>0</v>
      </c>
      <c r="L287" s="100">
        <v>0</v>
      </c>
      <c r="M287" s="100">
        <v>0</v>
      </c>
      <c r="N287" s="100">
        <v>0.2</v>
      </c>
      <c r="O287" s="100">
        <v>0.9</v>
      </c>
      <c r="P287" s="100">
        <v>5</v>
      </c>
      <c r="Q287" s="100">
        <v>8.1999999999999993</v>
      </c>
      <c r="R287" s="100">
        <v>0.5</v>
      </c>
      <c r="S287" s="100">
        <v>0</v>
      </c>
      <c r="T287" s="100">
        <v>0</v>
      </c>
      <c r="U287" s="100">
        <v>0</v>
      </c>
    </row>
    <row r="288" spans="4:21">
      <c r="D288" s="97" t="s">
        <v>733</v>
      </c>
      <c r="E288" s="97" t="s">
        <v>731</v>
      </c>
      <c r="F288" s="94" t="s">
        <v>734</v>
      </c>
      <c r="G288" s="97">
        <v>3</v>
      </c>
      <c r="H288" s="98" t="s">
        <v>742</v>
      </c>
      <c r="I288" s="99" t="str">
        <f t="shared" si="4"/>
        <v>제천|3</v>
      </c>
      <c r="J288" s="100">
        <v>0</v>
      </c>
      <c r="K288" s="100">
        <v>0</v>
      </c>
      <c r="L288" s="100">
        <v>0</v>
      </c>
      <c r="M288" s="100">
        <v>0</v>
      </c>
      <c r="N288" s="100">
        <v>0.1</v>
      </c>
      <c r="O288" s="100">
        <v>0.7</v>
      </c>
      <c r="P288" s="100">
        <v>4.3</v>
      </c>
      <c r="Q288" s="100">
        <v>6.9</v>
      </c>
      <c r="R288" s="100">
        <v>0.2</v>
      </c>
      <c r="S288" s="100">
        <v>0</v>
      </c>
      <c r="T288" s="100">
        <v>0</v>
      </c>
      <c r="U288" s="100">
        <v>0</v>
      </c>
    </row>
    <row r="289" spans="4:21">
      <c r="D289" s="97" t="s">
        <v>735</v>
      </c>
      <c r="E289" s="97" t="s">
        <v>731</v>
      </c>
      <c r="F289" s="94" t="s">
        <v>736</v>
      </c>
      <c r="G289" s="97">
        <v>3</v>
      </c>
      <c r="H289" s="98" t="s">
        <v>742</v>
      </c>
      <c r="I289" s="99" t="str">
        <f t="shared" si="4"/>
        <v>청주|3</v>
      </c>
      <c r="J289" s="100">
        <v>0</v>
      </c>
      <c r="K289" s="100">
        <v>0</v>
      </c>
      <c r="L289" s="100">
        <v>0</v>
      </c>
      <c r="M289" s="100">
        <v>0</v>
      </c>
      <c r="N289" s="100">
        <v>0.3</v>
      </c>
      <c r="O289" s="100">
        <v>2.2999999999999998</v>
      </c>
      <c r="P289" s="100">
        <v>9.3000000000000007</v>
      </c>
      <c r="Q289" s="100">
        <v>13.1</v>
      </c>
      <c r="R289" s="100">
        <v>1.2</v>
      </c>
      <c r="S289" s="100">
        <v>0</v>
      </c>
      <c r="T289" s="100">
        <v>0</v>
      </c>
      <c r="U289" s="100">
        <v>0</v>
      </c>
    </row>
    <row r="290" spans="4:21">
      <c r="D290" s="97" t="s">
        <v>737</v>
      </c>
      <c r="E290" s="97" t="s">
        <v>731</v>
      </c>
      <c r="F290" s="94" t="s">
        <v>738</v>
      </c>
      <c r="G290" s="97">
        <v>3</v>
      </c>
      <c r="H290" s="98" t="s">
        <v>742</v>
      </c>
      <c r="I290" s="99" t="str">
        <f t="shared" si="4"/>
        <v>추풍령|3</v>
      </c>
      <c r="J290" s="100">
        <v>0</v>
      </c>
      <c r="K290" s="100">
        <v>0</v>
      </c>
      <c r="L290" s="100">
        <v>0</v>
      </c>
      <c r="M290" s="100">
        <v>0</v>
      </c>
      <c r="N290" s="100">
        <v>0</v>
      </c>
      <c r="O290" s="100">
        <v>0.5</v>
      </c>
      <c r="P290" s="100">
        <v>3.9</v>
      </c>
      <c r="Q290" s="100">
        <v>6.9</v>
      </c>
      <c r="R290" s="100">
        <v>0.4</v>
      </c>
      <c r="S290" s="100">
        <v>0</v>
      </c>
      <c r="T290" s="100">
        <v>0</v>
      </c>
      <c r="U290" s="100">
        <v>0</v>
      </c>
    </row>
    <row r="291" spans="4:21">
      <c r="D291" s="97" t="s">
        <v>739</v>
      </c>
      <c r="E291" s="97" t="s">
        <v>731</v>
      </c>
      <c r="F291" s="94" t="s">
        <v>740</v>
      </c>
      <c r="G291" s="97">
        <v>3</v>
      </c>
      <c r="H291" s="98" t="s">
        <v>742</v>
      </c>
      <c r="I291" s="99" t="str">
        <f t="shared" si="4"/>
        <v>충주|3</v>
      </c>
      <c r="J291" s="100">
        <v>0</v>
      </c>
      <c r="K291" s="100">
        <v>0</v>
      </c>
      <c r="L291" s="100">
        <v>0</v>
      </c>
      <c r="M291" s="100">
        <v>0</v>
      </c>
      <c r="N291" s="100">
        <v>0.2</v>
      </c>
      <c r="O291" s="100">
        <v>1.5</v>
      </c>
      <c r="P291" s="100">
        <v>7.3</v>
      </c>
      <c r="Q291" s="100">
        <v>10.7</v>
      </c>
      <c r="R291" s="100">
        <v>0.6</v>
      </c>
      <c r="S291" s="100">
        <v>0</v>
      </c>
      <c r="T291" s="100">
        <v>0</v>
      </c>
      <c r="U291" s="100">
        <v>0</v>
      </c>
    </row>
    <row r="292" spans="4:21">
      <c r="D292" s="97" t="s">
        <v>535</v>
      </c>
      <c r="E292" s="97" t="s">
        <v>536</v>
      </c>
      <c r="F292" s="94" t="s">
        <v>537</v>
      </c>
      <c r="G292" s="97">
        <v>4</v>
      </c>
      <c r="H292" s="98" t="s">
        <v>743</v>
      </c>
      <c r="I292" s="99" t="str">
        <f t="shared" si="4"/>
        <v>강릉|4</v>
      </c>
      <c r="J292" s="100">
        <v>0</v>
      </c>
      <c r="K292" s="100">
        <v>0</v>
      </c>
      <c r="L292" s="100">
        <v>0</v>
      </c>
      <c r="M292" s="100">
        <v>0</v>
      </c>
      <c r="N292" s="100">
        <v>0.1</v>
      </c>
      <c r="O292" s="100">
        <v>0.2</v>
      </c>
      <c r="P292" s="100">
        <v>2.8</v>
      </c>
      <c r="Q292" s="100">
        <v>3.5</v>
      </c>
      <c r="R292" s="100">
        <v>0</v>
      </c>
      <c r="S292" s="100">
        <v>0</v>
      </c>
      <c r="T292" s="100">
        <v>0</v>
      </c>
      <c r="U292" s="100">
        <v>0</v>
      </c>
    </row>
    <row r="293" spans="4:21">
      <c r="D293" s="97" t="s">
        <v>539</v>
      </c>
      <c r="E293" s="97" t="s">
        <v>536</v>
      </c>
      <c r="F293" s="94" t="s">
        <v>540</v>
      </c>
      <c r="G293" s="97">
        <v>4</v>
      </c>
      <c r="H293" s="98" t="s">
        <v>743</v>
      </c>
      <c r="I293" s="99" t="str">
        <f t="shared" si="4"/>
        <v>대관령|4</v>
      </c>
      <c r="J293" s="100">
        <v>0</v>
      </c>
      <c r="K293" s="100">
        <v>0</v>
      </c>
      <c r="L293" s="100">
        <v>0</v>
      </c>
      <c r="M293" s="100">
        <v>0</v>
      </c>
      <c r="N293" s="100">
        <v>0</v>
      </c>
      <c r="O293" s="100">
        <v>0</v>
      </c>
      <c r="P293" s="100">
        <v>0</v>
      </c>
      <c r="Q293" s="100">
        <v>0</v>
      </c>
      <c r="R293" s="100">
        <v>0</v>
      </c>
      <c r="S293" s="100">
        <v>0</v>
      </c>
      <c r="T293" s="100">
        <v>0</v>
      </c>
      <c r="U293" s="100">
        <v>0</v>
      </c>
    </row>
    <row r="294" spans="4:21">
      <c r="D294" s="97" t="s">
        <v>541</v>
      </c>
      <c r="E294" s="97" t="s">
        <v>536</v>
      </c>
      <c r="F294" s="94" t="s">
        <v>542</v>
      </c>
      <c r="G294" s="97">
        <v>4</v>
      </c>
      <c r="H294" s="98" t="s">
        <v>743</v>
      </c>
      <c r="I294" s="99" t="str">
        <f t="shared" si="4"/>
        <v>동해|4</v>
      </c>
      <c r="J294" s="100">
        <v>0</v>
      </c>
      <c r="K294" s="100">
        <v>0</v>
      </c>
      <c r="L294" s="100">
        <v>0</v>
      </c>
      <c r="M294" s="100">
        <v>0</v>
      </c>
      <c r="N294" s="100">
        <v>0</v>
      </c>
      <c r="O294" s="100">
        <v>0</v>
      </c>
      <c r="P294" s="100">
        <v>0.6</v>
      </c>
      <c r="Q294" s="100">
        <v>0.9</v>
      </c>
      <c r="R294" s="100">
        <v>0</v>
      </c>
      <c r="S294" s="100">
        <v>0</v>
      </c>
      <c r="T294" s="100">
        <v>0</v>
      </c>
      <c r="U294" s="100">
        <v>0</v>
      </c>
    </row>
    <row r="295" spans="4:21">
      <c r="D295" s="97" t="s">
        <v>543</v>
      </c>
      <c r="E295" s="97" t="s">
        <v>536</v>
      </c>
      <c r="F295" s="94" t="s">
        <v>544</v>
      </c>
      <c r="G295" s="97">
        <v>4</v>
      </c>
      <c r="H295" s="98" t="s">
        <v>743</v>
      </c>
      <c r="I295" s="99" t="str">
        <f t="shared" si="4"/>
        <v>북강릉|4</v>
      </c>
      <c r="J295" s="100">
        <v>0</v>
      </c>
      <c r="K295" s="100">
        <v>0</v>
      </c>
      <c r="L295" s="100">
        <v>0</v>
      </c>
      <c r="M295" s="100">
        <v>0</v>
      </c>
      <c r="N295" s="100">
        <v>0</v>
      </c>
      <c r="O295" s="100">
        <v>0</v>
      </c>
      <c r="P295" s="100">
        <v>0.2</v>
      </c>
      <c r="Q295" s="100">
        <v>1.4</v>
      </c>
      <c r="R295" s="100">
        <v>0</v>
      </c>
      <c r="S295" s="100">
        <v>0</v>
      </c>
      <c r="T295" s="100">
        <v>0</v>
      </c>
      <c r="U295" s="100">
        <v>0</v>
      </c>
    </row>
    <row r="296" spans="4:21">
      <c r="D296" s="97" t="s">
        <v>545</v>
      </c>
      <c r="E296" s="97" t="s">
        <v>536</v>
      </c>
      <c r="F296" s="94" t="s">
        <v>546</v>
      </c>
      <c r="G296" s="97">
        <v>4</v>
      </c>
      <c r="H296" s="98" t="s">
        <v>743</v>
      </c>
      <c r="I296" s="99" t="str">
        <f t="shared" si="4"/>
        <v>북춘천|4</v>
      </c>
      <c r="J296" s="100">
        <v>0</v>
      </c>
      <c r="K296" s="100">
        <v>0</v>
      </c>
      <c r="L296" s="100">
        <v>0</v>
      </c>
      <c r="M296" s="100">
        <v>0</v>
      </c>
      <c r="N296" s="100">
        <v>0</v>
      </c>
      <c r="O296" s="100">
        <v>0.6</v>
      </c>
      <c r="P296" s="100">
        <v>2.8</v>
      </c>
      <c r="Q296" s="100">
        <v>4.4000000000000004</v>
      </c>
      <c r="R296" s="100">
        <v>0.1</v>
      </c>
      <c r="S296" s="100">
        <v>0</v>
      </c>
      <c r="T296" s="100">
        <v>0</v>
      </c>
      <c r="U296" s="100">
        <v>0</v>
      </c>
    </row>
    <row r="297" spans="4:21">
      <c r="D297" s="97" t="s">
        <v>547</v>
      </c>
      <c r="E297" s="97" t="s">
        <v>536</v>
      </c>
      <c r="F297" s="94" t="s">
        <v>548</v>
      </c>
      <c r="G297" s="97">
        <v>4</v>
      </c>
      <c r="H297" s="98" t="s">
        <v>743</v>
      </c>
      <c r="I297" s="99" t="str">
        <f t="shared" si="4"/>
        <v>속초|4</v>
      </c>
      <c r="J297" s="100">
        <v>0</v>
      </c>
      <c r="K297" s="100">
        <v>0</v>
      </c>
      <c r="L297" s="100">
        <v>0</v>
      </c>
      <c r="M297" s="100">
        <v>0</v>
      </c>
      <c r="N297" s="100">
        <v>0</v>
      </c>
      <c r="O297" s="100">
        <v>0</v>
      </c>
      <c r="P297" s="100">
        <v>0.7</v>
      </c>
      <c r="Q297" s="100">
        <v>1.3</v>
      </c>
      <c r="R297" s="100">
        <v>0</v>
      </c>
      <c r="S297" s="100">
        <v>0</v>
      </c>
      <c r="T297" s="100">
        <v>0</v>
      </c>
      <c r="U297" s="100">
        <v>0</v>
      </c>
    </row>
    <row r="298" spans="4:21">
      <c r="D298" s="97" t="s">
        <v>549</v>
      </c>
      <c r="E298" s="97" t="s">
        <v>536</v>
      </c>
      <c r="F298" s="94" t="s">
        <v>550</v>
      </c>
      <c r="G298" s="97">
        <v>4</v>
      </c>
      <c r="H298" s="98" t="s">
        <v>743</v>
      </c>
      <c r="I298" s="99" t="str">
        <f t="shared" si="4"/>
        <v>영월|4</v>
      </c>
      <c r="J298" s="100">
        <v>0</v>
      </c>
      <c r="K298" s="100">
        <v>0</v>
      </c>
      <c r="L298" s="100">
        <v>0</v>
      </c>
      <c r="M298" s="100">
        <v>0</v>
      </c>
      <c r="N298" s="100">
        <v>0</v>
      </c>
      <c r="O298" s="100">
        <v>0.7</v>
      </c>
      <c r="P298" s="100">
        <v>1.7</v>
      </c>
      <c r="Q298" s="100">
        <v>2.8</v>
      </c>
      <c r="R298" s="100">
        <v>0.1</v>
      </c>
      <c r="S298" s="100">
        <v>0</v>
      </c>
      <c r="T298" s="100">
        <v>0</v>
      </c>
      <c r="U298" s="100">
        <v>0</v>
      </c>
    </row>
    <row r="299" spans="4:21">
      <c r="D299" s="97" t="s">
        <v>551</v>
      </c>
      <c r="E299" s="97" t="s">
        <v>536</v>
      </c>
      <c r="F299" s="94" t="s">
        <v>552</v>
      </c>
      <c r="G299" s="97">
        <v>4</v>
      </c>
      <c r="H299" s="98" t="s">
        <v>743</v>
      </c>
      <c r="I299" s="99" t="str">
        <f t="shared" si="4"/>
        <v>원주|4</v>
      </c>
      <c r="J299" s="100">
        <v>0</v>
      </c>
      <c r="K299" s="100">
        <v>0</v>
      </c>
      <c r="L299" s="100">
        <v>0</v>
      </c>
      <c r="M299" s="100">
        <v>0</v>
      </c>
      <c r="N299" s="100">
        <v>0</v>
      </c>
      <c r="O299" s="100">
        <v>0.2</v>
      </c>
      <c r="P299" s="100">
        <v>1.4</v>
      </c>
      <c r="Q299" s="100">
        <v>2.1</v>
      </c>
      <c r="R299" s="100">
        <v>0</v>
      </c>
      <c r="S299" s="100">
        <v>0</v>
      </c>
      <c r="T299" s="100">
        <v>0</v>
      </c>
      <c r="U299" s="100">
        <v>0</v>
      </c>
    </row>
    <row r="300" spans="4:21">
      <c r="D300" s="97" t="s">
        <v>553</v>
      </c>
      <c r="E300" s="97" t="s">
        <v>536</v>
      </c>
      <c r="F300" s="94" t="s">
        <v>554</v>
      </c>
      <c r="G300" s="97">
        <v>4</v>
      </c>
      <c r="H300" s="98" t="s">
        <v>743</v>
      </c>
      <c r="I300" s="99" t="str">
        <f t="shared" si="4"/>
        <v>인제|4</v>
      </c>
      <c r="J300" s="100">
        <v>0</v>
      </c>
      <c r="K300" s="100">
        <v>0</v>
      </c>
      <c r="L300" s="100">
        <v>0</v>
      </c>
      <c r="M300" s="100">
        <v>0</v>
      </c>
      <c r="N300" s="100">
        <v>0</v>
      </c>
      <c r="O300" s="100">
        <v>0.3</v>
      </c>
      <c r="P300" s="100">
        <v>1</v>
      </c>
      <c r="Q300" s="100">
        <v>2.1</v>
      </c>
      <c r="R300" s="100">
        <v>0</v>
      </c>
      <c r="S300" s="100">
        <v>0</v>
      </c>
      <c r="T300" s="100">
        <v>0</v>
      </c>
      <c r="U300" s="100">
        <v>0</v>
      </c>
    </row>
    <row r="301" spans="4:21">
      <c r="D301" s="97" t="s">
        <v>555</v>
      </c>
      <c r="E301" s="97" t="s">
        <v>536</v>
      </c>
      <c r="F301" s="94" t="s">
        <v>556</v>
      </c>
      <c r="G301" s="97">
        <v>4</v>
      </c>
      <c r="H301" s="98" t="s">
        <v>743</v>
      </c>
      <c r="I301" s="99" t="str">
        <f t="shared" si="4"/>
        <v>정선군|4</v>
      </c>
      <c r="J301" s="100">
        <v>0</v>
      </c>
      <c r="K301" s="100">
        <v>0</v>
      </c>
      <c r="L301" s="100">
        <v>0</v>
      </c>
      <c r="M301" s="100">
        <v>0</v>
      </c>
      <c r="N301" s="100">
        <v>0</v>
      </c>
      <c r="O301" s="100">
        <v>0.8</v>
      </c>
      <c r="P301" s="100">
        <v>1.9</v>
      </c>
      <c r="Q301" s="100">
        <v>4.5</v>
      </c>
      <c r="R301" s="100">
        <v>0.2</v>
      </c>
      <c r="S301" s="100">
        <v>0</v>
      </c>
      <c r="T301" s="100">
        <v>0</v>
      </c>
      <c r="U301" s="100">
        <v>0</v>
      </c>
    </row>
    <row r="302" spans="4:21">
      <c r="D302" s="97" t="s">
        <v>557</v>
      </c>
      <c r="E302" s="97" t="s">
        <v>536</v>
      </c>
      <c r="F302" s="94" t="s">
        <v>558</v>
      </c>
      <c r="G302" s="97">
        <v>4</v>
      </c>
      <c r="H302" s="98" t="s">
        <v>743</v>
      </c>
      <c r="I302" s="99" t="str">
        <f t="shared" si="4"/>
        <v>철원|4</v>
      </c>
      <c r="J302" s="100">
        <v>0</v>
      </c>
      <c r="K302" s="100">
        <v>0</v>
      </c>
      <c r="L302" s="100">
        <v>0</v>
      </c>
      <c r="M302" s="100">
        <v>0</v>
      </c>
      <c r="N302" s="100">
        <v>0</v>
      </c>
      <c r="O302" s="100">
        <v>0.1</v>
      </c>
      <c r="P302" s="100">
        <v>0.9</v>
      </c>
      <c r="Q302" s="100">
        <v>0.8</v>
      </c>
      <c r="R302" s="100">
        <v>0</v>
      </c>
      <c r="S302" s="100">
        <v>0</v>
      </c>
      <c r="T302" s="100">
        <v>0</v>
      </c>
      <c r="U302" s="100">
        <v>0</v>
      </c>
    </row>
    <row r="303" spans="4:21">
      <c r="D303" s="97" t="s">
        <v>559</v>
      </c>
      <c r="E303" s="97" t="s">
        <v>536</v>
      </c>
      <c r="F303" s="94" t="s">
        <v>560</v>
      </c>
      <c r="G303" s="97">
        <v>4</v>
      </c>
      <c r="H303" s="98" t="s">
        <v>743</v>
      </c>
      <c r="I303" s="99" t="str">
        <f t="shared" si="4"/>
        <v>춘천|4</v>
      </c>
      <c r="J303" s="100">
        <v>0</v>
      </c>
      <c r="K303" s="100">
        <v>0</v>
      </c>
      <c r="L303" s="100">
        <v>0</v>
      </c>
      <c r="M303" s="100">
        <v>0</v>
      </c>
      <c r="N303" s="100">
        <v>0</v>
      </c>
      <c r="O303" s="100">
        <v>0.3</v>
      </c>
      <c r="P303" s="100">
        <v>2.2000000000000002</v>
      </c>
      <c r="Q303" s="100">
        <v>2.7</v>
      </c>
      <c r="R303" s="100">
        <v>0</v>
      </c>
      <c r="S303" s="100">
        <v>0</v>
      </c>
      <c r="T303" s="100">
        <v>0</v>
      </c>
      <c r="U303" s="100">
        <v>0</v>
      </c>
    </row>
    <row r="304" spans="4:21">
      <c r="D304" s="97" t="s">
        <v>561</v>
      </c>
      <c r="E304" s="97" t="s">
        <v>536</v>
      </c>
      <c r="F304" s="94" t="s">
        <v>562</v>
      </c>
      <c r="G304" s="97">
        <v>4</v>
      </c>
      <c r="H304" s="98" t="s">
        <v>743</v>
      </c>
      <c r="I304" s="99" t="str">
        <f t="shared" si="4"/>
        <v>태백|4</v>
      </c>
      <c r="J304" s="100">
        <v>0</v>
      </c>
      <c r="K304" s="100">
        <v>0</v>
      </c>
      <c r="L304" s="100">
        <v>0</v>
      </c>
      <c r="M304" s="100">
        <v>0</v>
      </c>
      <c r="N304" s="100">
        <v>0</v>
      </c>
      <c r="O304" s="100">
        <v>0</v>
      </c>
      <c r="P304" s="100">
        <v>0.2</v>
      </c>
      <c r="Q304" s="100">
        <v>0.2</v>
      </c>
      <c r="R304" s="100">
        <v>0</v>
      </c>
      <c r="S304" s="100">
        <v>0</v>
      </c>
      <c r="T304" s="100">
        <v>0</v>
      </c>
      <c r="U304" s="100">
        <v>0</v>
      </c>
    </row>
    <row r="305" spans="4:21">
      <c r="D305" s="97" t="s">
        <v>563</v>
      </c>
      <c r="E305" s="97" t="s">
        <v>536</v>
      </c>
      <c r="F305" s="94" t="s">
        <v>564</v>
      </c>
      <c r="G305" s="97">
        <v>4</v>
      </c>
      <c r="H305" s="98" t="s">
        <v>743</v>
      </c>
      <c r="I305" s="99" t="str">
        <f t="shared" si="4"/>
        <v>홍천|4</v>
      </c>
      <c r="J305" s="100">
        <v>0</v>
      </c>
      <c r="K305" s="100">
        <v>0</v>
      </c>
      <c r="L305" s="100">
        <v>0</v>
      </c>
      <c r="M305" s="100">
        <v>0</v>
      </c>
      <c r="N305" s="100">
        <v>0</v>
      </c>
      <c r="O305" s="100">
        <v>0.4</v>
      </c>
      <c r="P305" s="100">
        <v>3.2</v>
      </c>
      <c r="Q305" s="100">
        <v>5.2</v>
      </c>
      <c r="R305" s="100">
        <v>0</v>
      </c>
      <c r="S305" s="100">
        <v>0</v>
      </c>
      <c r="T305" s="100">
        <v>0</v>
      </c>
      <c r="U305" s="100">
        <v>0</v>
      </c>
    </row>
    <row r="306" spans="4:21">
      <c r="D306" s="97" t="s">
        <v>565</v>
      </c>
      <c r="E306" s="97" t="s">
        <v>566</v>
      </c>
      <c r="F306" s="94" t="s">
        <v>567</v>
      </c>
      <c r="G306" s="97">
        <v>4</v>
      </c>
      <c r="H306" s="98" t="s">
        <v>743</v>
      </c>
      <c r="I306" s="99" t="str">
        <f t="shared" si="4"/>
        <v>동두천|4</v>
      </c>
      <c r="J306" s="100">
        <v>0</v>
      </c>
      <c r="K306" s="100">
        <v>0</v>
      </c>
      <c r="L306" s="100">
        <v>0</v>
      </c>
      <c r="M306" s="100">
        <v>0</v>
      </c>
      <c r="N306" s="100">
        <v>0</v>
      </c>
      <c r="O306" s="100">
        <v>0.4</v>
      </c>
      <c r="P306" s="100">
        <v>1.7</v>
      </c>
      <c r="Q306" s="100">
        <v>2.8</v>
      </c>
      <c r="R306" s="100">
        <v>0.1</v>
      </c>
      <c r="S306" s="100">
        <v>0</v>
      </c>
      <c r="T306" s="100">
        <v>0</v>
      </c>
      <c r="U306" s="100">
        <v>0</v>
      </c>
    </row>
    <row r="307" spans="4:21">
      <c r="D307" s="97" t="s">
        <v>568</v>
      </c>
      <c r="E307" s="97" t="s">
        <v>566</v>
      </c>
      <c r="F307" s="94" t="s">
        <v>569</v>
      </c>
      <c r="G307" s="97">
        <v>4</v>
      </c>
      <c r="H307" s="98" t="s">
        <v>743</v>
      </c>
      <c r="I307" s="99" t="str">
        <f t="shared" si="4"/>
        <v>수원|4</v>
      </c>
      <c r="J307" s="100">
        <v>0</v>
      </c>
      <c r="K307" s="100">
        <v>0</v>
      </c>
      <c r="L307" s="100">
        <v>0</v>
      </c>
      <c r="M307" s="100">
        <v>0</v>
      </c>
      <c r="N307" s="100">
        <v>0</v>
      </c>
      <c r="O307" s="100">
        <v>0.1</v>
      </c>
      <c r="P307" s="100">
        <v>2.2000000000000002</v>
      </c>
      <c r="Q307" s="100">
        <v>3.5</v>
      </c>
      <c r="R307" s="100">
        <v>0</v>
      </c>
      <c r="S307" s="100">
        <v>0</v>
      </c>
      <c r="T307" s="100">
        <v>0</v>
      </c>
      <c r="U307" s="100">
        <v>0</v>
      </c>
    </row>
    <row r="308" spans="4:21">
      <c r="D308" s="97" t="s">
        <v>570</v>
      </c>
      <c r="E308" s="97" t="s">
        <v>566</v>
      </c>
      <c r="F308" s="94" t="s">
        <v>571</v>
      </c>
      <c r="G308" s="97">
        <v>4</v>
      </c>
      <c r="H308" s="98" t="s">
        <v>743</v>
      </c>
      <c r="I308" s="99" t="str">
        <f t="shared" si="4"/>
        <v>양평|4</v>
      </c>
      <c r="J308" s="100">
        <v>0</v>
      </c>
      <c r="K308" s="100">
        <v>0</v>
      </c>
      <c r="L308" s="100">
        <v>0</v>
      </c>
      <c r="M308" s="100">
        <v>0</v>
      </c>
      <c r="N308" s="100">
        <v>0</v>
      </c>
      <c r="O308" s="100">
        <v>0.2</v>
      </c>
      <c r="P308" s="100">
        <v>1.2</v>
      </c>
      <c r="Q308" s="100">
        <v>3.5</v>
      </c>
      <c r="R308" s="100">
        <v>0</v>
      </c>
      <c r="S308" s="100">
        <v>0</v>
      </c>
      <c r="T308" s="100">
        <v>0</v>
      </c>
      <c r="U308" s="100">
        <v>0</v>
      </c>
    </row>
    <row r="309" spans="4:21">
      <c r="D309" s="97" t="s">
        <v>572</v>
      </c>
      <c r="E309" s="97" t="s">
        <v>566</v>
      </c>
      <c r="F309" s="94" t="s">
        <v>573</v>
      </c>
      <c r="G309" s="97">
        <v>4</v>
      </c>
      <c r="H309" s="98" t="s">
        <v>743</v>
      </c>
      <c r="I309" s="99" t="str">
        <f t="shared" si="4"/>
        <v>이천|4</v>
      </c>
      <c r="J309" s="100">
        <v>0</v>
      </c>
      <c r="K309" s="100">
        <v>0</v>
      </c>
      <c r="L309" s="100">
        <v>0</v>
      </c>
      <c r="M309" s="100">
        <v>0</v>
      </c>
      <c r="N309" s="100">
        <v>0</v>
      </c>
      <c r="O309" s="100">
        <v>0.1</v>
      </c>
      <c r="P309" s="100">
        <v>1.7</v>
      </c>
      <c r="Q309" s="100">
        <v>3.6</v>
      </c>
      <c r="R309" s="100">
        <v>0</v>
      </c>
      <c r="S309" s="100">
        <v>0</v>
      </c>
      <c r="T309" s="100">
        <v>0</v>
      </c>
      <c r="U309" s="100">
        <v>0</v>
      </c>
    </row>
    <row r="310" spans="4:21">
      <c r="D310" s="97" t="s">
        <v>574</v>
      </c>
      <c r="E310" s="97" t="s">
        <v>566</v>
      </c>
      <c r="F310" s="94" t="s">
        <v>575</v>
      </c>
      <c r="G310" s="97">
        <v>4</v>
      </c>
      <c r="H310" s="98" t="s">
        <v>743</v>
      </c>
      <c r="I310" s="99" t="str">
        <f t="shared" si="4"/>
        <v>파주|4</v>
      </c>
      <c r="J310" s="100">
        <v>0</v>
      </c>
      <c r="K310" s="100">
        <v>0</v>
      </c>
      <c r="L310" s="100">
        <v>0</v>
      </c>
      <c r="M310" s="100">
        <v>0</v>
      </c>
      <c r="N310" s="100">
        <v>0</v>
      </c>
      <c r="O310" s="100">
        <v>0</v>
      </c>
      <c r="P310" s="100">
        <v>0.9</v>
      </c>
      <c r="Q310" s="100">
        <v>0.7</v>
      </c>
      <c r="R310" s="100">
        <v>0</v>
      </c>
      <c r="S310" s="100">
        <v>0</v>
      </c>
      <c r="T310" s="100">
        <v>0</v>
      </c>
      <c r="U310" s="100">
        <v>0</v>
      </c>
    </row>
    <row r="311" spans="4:21">
      <c r="D311" s="97" t="s">
        <v>576</v>
      </c>
      <c r="E311" s="97" t="s">
        <v>577</v>
      </c>
      <c r="F311" s="94" t="s">
        <v>578</v>
      </c>
      <c r="G311" s="97">
        <v>4</v>
      </c>
      <c r="H311" s="98" t="s">
        <v>743</v>
      </c>
      <c r="I311" s="99" t="str">
        <f t="shared" si="4"/>
        <v>거제|4</v>
      </c>
      <c r="J311" s="100">
        <v>0</v>
      </c>
      <c r="K311" s="100">
        <v>0</v>
      </c>
      <c r="L311" s="100">
        <v>0</v>
      </c>
      <c r="M311" s="100">
        <v>0</v>
      </c>
      <c r="N311" s="100">
        <v>0</v>
      </c>
      <c r="O311" s="100">
        <v>0</v>
      </c>
      <c r="P311" s="100">
        <v>0.8</v>
      </c>
      <c r="Q311" s="100">
        <v>2.2000000000000002</v>
      </c>
      <c r="R311" s="100">
        <v>0</v>
      </c>
      <c r="S311" s="100">
        <v>0</v>
      </c>
      <c r="T311" s="100">
        <v>0</v>
      </c>
      <c r="U311" s="100">
        <v>0</v>
      </c>
    </row>
    <row r="312" spans="4:21">
      <c r="D312" s="97" t="s">
        <v>579</v>
      </c>
      <c r="E312" s="97" t="s">
        <v>577</v>
      </c>
      <c r="F312" s="94" t="s">
        <v>580</v>
      </c>
      <c r="G312" s="97">
        <v>4</v>
      </c>
      <c r="H312" s="98" t="s">
        <v>743</v>
      </c>
      <c r="I312" s="99" t="str">
        <f t="shared" si="4"/>
        <v>거창|4</v>
      </c>
      <c r="J312" s="100">
        <v>0</v>
      </c>
      <c r="K312" s="100">
        <v>0</v>
      </c>
      <c r="L312" s="100">
        <v>0</v>
      </c>
      <c r="M312" s="100">
        <v>0</v>
      </c>
      <c r="N312" s="100">
        <v>0</v>
      </c>
      <c r="O312" s="100">
        <v>0.1</v>
      </c>
      <c r="P312" s="100">
        <v>1.6</v>
      </c>
      <c r="Q312" s="100">
        <v>2.4</v>
      </c>
      <c r="R312" s="100">
        <v>0</v>
      </c>
      <c r="S312" s="100">
        <v>0</v>
      </c>
      <c r="T312" s="100">
        <v>0</v>
      </c>
      <c r="U312" s="100">
        <v>0</v>
      </c>
    </row>
    <row r="313" spans="4:21">
      <c r="D313" s="97" t="s">
        <v>581</v>
      </c>
      <c r="E313" s="97" t="s">
        <v>577</v>
      </c>
      <c r="F313" s="94" t="s">
        <v>582</v>
      </c>
      <c r="G313" s="97">
        <v>4</v>
      </c>
      <c r="H313" s="98" t="s">
        <v>743</v>
      </c>
      <c r="I313" s="99" t="str">
        <f t="shared" si="4"/>
        <v>김해시|4</v>
      </c>
      <c r="J313" s="100">
        <v>0</v>
      </c>
      <c r="K313" s="100">
        <v>0</v>
      </c>
      <c r="L313" s="100">
        <v>0</v>
      </c>
      <c r="M313" s="100">
        <v>0</v>
      </c>
      <c r="N313" s="100">
        <v>0</v>
      </c>
      <c r="O313" s="100">
        <v>0.1</v>
      </c>
      <c r="P313" s="100">
        <v>2.7</v>
      </c>
      <c r="Q313" s="100">
        <v>5.2</v>
      </c>
      <c r="R313" s="100">
        <v>0.5</v>
      </c>
      <c r="S313" s="100">
        <v>0</v>
      </c>
      <c r="T313" s="100">
        <v>0</v>
      </c>
      <c r="U313" s="100">
        <v>0</v>
      </c>
    </row>
    <row r="314" spans="4:21">
      <c r="D314" s="97" t="s">
        <v>583</v>
      </c>
      <c r="E314" s="97" t="s">
        <v>577</v>
      </c>
      <c r="F314" s="94" t="s">
        <v>584</v>
      </c>
      <c r="G314" s="97">
        <v>4</v>
      </c>
      <c r="H314" s="98" t="s">
        <v>743</v>
      </c>
      <c r="I314" s="99" t="str">
        <f t="shared" si="4"/>
        <v>남해|4</v>
      </c>
      <c r="J314" s="100">
        <v>0</v>
      </c>
      <c r="K314" s="100">
        <v>0</v>
      </c>
      <c r="L314" s="100">
        <v>0</v>
      </c>
      <c r="M314" s="100">
        <v>0</v>
      </c>
      <c r="N314" s="100">
        <v>0</v>
      </c>
      <c r="O314" s="100">
        <v>0</v>
      </c>
      <c r="P314" s="100">
        <v>1.1000000000000001</v>
      </c>
      <c r="Q314" s="100">
        <v>2.6</v>
      </c>
      <c r="R314" s="100">
        <v>0.1</v>
      </c>
      <c r="S314" s="100">
        <v>0</v>
      </c>
      <c r="T314" s="100">
        <v>0</v>
      </c>
      <c r="U314" s="100">
        <v>0</v>
      </c>
    </row>
    <row r="315" spans="4:21">
      <c r="D315" s="97" t="s">
        <v>585</v>
      </c>
      <c r="E315" s="97" t="s">
        <v>577</v>
      </c>
      <c r="F315" s="94" t="s">
        <v>586</v>
      </c>
      <c r="G315" s="97">
        <v>4</v>
      </c>
      <c r="H315" s="98" t="s">
        <v>743</v>
      </c>
      <c r="I315" s="99" t="str">
        <f t="shared" si="4"/>
        <v>밀양|4</v>
      </c>
      <c r="J315" s="100">
        <v>0</v>
      </c>
      <c r="K315" s="100">
        <v>0</v>
      </c>
      <c r="L315" s="100">
        <v>0</v>
      </c>
      <c r="M315" s="100">
        <v>0</v>
      </c>
      <c r="N315" s="100">
        <v>0.2</v>
      </c>
      <c r="O315" s="100">
        <v>0.8</v>
      </c>
      <c r="P315" s="100">
        <v>5.2</v>
      </c>
      <c r="Q315" s="100">
        <v>9.6</v>
      </c>
      <c r="R315" s="100">
        <v>0.6</v>
      </c>
      <c r="S315" s="100">
        <v>0</v>
      </c>
      <c r="T315" s="100">
        <v>0</v>
      </c>
      <c r="U315" s="100">
        <v>0</v>
      </c>
    </row>
    <row r="316" spans="4:21">
      <c r="D316" s="97" t="s">
        <v>587</v>
      </c>
      <c r="E316" s="97" t="s">
        <v>577</v>
      </c>
      <c r="F316" s="94" t="s">
        <v>588</v>
      </c>
      <c r="G316" s="97">
        <v>4</v>
      </c>
      <c r="H316" s="98" t="s">
        <v>743</v>
      </c>
      <c r="I316" s="99" t="str">
        <f t="shared" si="4"/>
        <v>북창원|4</v>
      </c>
      <c r="J316" s="100">
        <v>0</v>
      </c>
      <c r="K316" s="100">
        <v>0</v>
      </c>
      <c r="L316" s="100">
        <v>0</v>
      </c>
      <c r="M316" s="100">
        <v>0</v>
      </c>
      <c r="N316" s="100">
        <v>0</v>
      </c>
      <c r="O316" s="100">
        <v>0.2</v>
      </c>
      <c r="P316" s="100">
        <v>2.2999999999999998</v>
      </c>
      <c r="Q316" s="100">
        <v>4.8</v>
      </c>
      <c r="R316" s="100">
        <v>0.7</v>
      </c>
      <c r="S316" s="100">
        <v>0</v>
      </c>
      <c r="T316" s="100">
        <v>0</v>
      </c>
      <c r="U316" s="100">
        <v>0</v>
      </c>
    </row>
    <row r="317" spans="4:21">
      <c r="D317" s="97" t="s">
        <v>589</v>
      </c>
      <c r="E317" s="97" t="s">
        <v>577</v>
      </c>
      <c r="F317" s="94" t="s">
        <v>590</v>
      </c>
      <c r="G317" s="97">
        <v>4</v>
      </c>
      <c r="H317" s="98" t="s">
        <v>743</v>
      </c>
      <c r="I317" s="99" t="str">
        <f t="shared" si="4"/>
        <v>산청|4</v>
      </c>
      <c r="J317" s="100">
        <v>0</v>
      </c>
      <c r="K317" s="100">
        <v>0</v>
      </c>
      <c r="L317" s="100">
        <v>0</v>
      </c>
      <c r="M317" s="100">
        <v>0</v>
      </c>
      <c r="N317" s="100">
        <v>0</v>
      </c>
      <c r="O317" s="100">
        <v>0.2</v>
      </c>
      <c r="P317" s="100">
        <v>1.7</v>
      </c>
      <c r="Q317" s="100">
        <v>4.5</v>
      </c>
      <c r="R317" s="100">
        <v>0.1</v>
      </c>
      <c r="S317" s="100">
        <v>0</v>
      </c>
      <c r="T317" s="100">
        <v>0</v>
      </c>
      <c r="U317" s="100">
        <v>0</v>
      </c>
    </row>
    <row r="318" spans="4:21">
      <c r="D318" s="97" t="s">
        <v>591</v>
      </c>
      <c r="E318" s="97" t="s">
        <v>577</v>
      </c>
      <c r="F318" s="94" t="s">
        <v>592</v>
      </c>
      <c r="G318" s="97">
        <v>4</v>
      </c>
      <c r="H318" s="98" t="s">
        <v>743</v>
      </c>
      <c r="I318" s="99" t="str">
        <f t="shared" si="4"/>
        <v>양산시|4</v>
      </c>
      <c r="J318" s="100">
        <v>0</v>
      </c>
      <c r="K318" s="100">
        <v>0</v>
      </c>
      <c r="L318" s="100">
        <v>0</v>
      </c>
      <c r="M318" s="100">
        <v>0</v>
      </c>
      <c r="N318" s="100">
        <v>0</v>
      </c>
      <c r="O318" s="100">
        <v>0.3</v>
      </c>
      <c r="P318" s="100">
        <v>3.5</v>
      </c>
      <c r="Q318" s="100">
        <v>8.6</v>
      </c>
      <c r="R318" s="100">
        <v>0.6</v>
      </c>
      <c r="S318" s="100">
        <v>0</v>
      </c>
      <c r="T318" s="100">
        <v>0</v>
      </c>
      <c r="U318" s="100">
        <v>0</v>
      </c>
    </row>
    <row r="319" spans="4:21">
      <c r="D319" s="97" t="s">
        <v>593</v>
      </c>
      <c r="E319" s="97" t="s">
        <v>577</v>
      </c>
      <c r="F319" s="94" t="s">
        <v>594</v>
      </c>
      <c r="G319" s="97">
        <v>4</v>
      </c>
      <c r="H319" s="98" t="s">
        <v>743</v>
      </c>
      <c r="I319" s="99" t="str">
        <f t="shared" si="4"/>
        <v>의령군|4</v>
      </c>
      <c r="J319" s="100">
        <v>0</v>
      </c>
      <c r="K319" s="100">
        <v>0</v>
      </c>
      <c r="L319" s="100">
        <v>0</v>
      </c>
      <c r="M319" s="100">
        <v>0</v>
      </c>
      <c r="N319" s="100">
        <v>0.1</v>
      </c>
      <c r="O319" s="100">
        <v>0.5</v>
      </c>
      <c r="P319" s="100">
        <v>3.4</v>
      </c>
      <c r="Q319" s="100">
        <v>6.8</v>
      </c>
      <c r="R319" s="100">
        <v>0.9</v>
      </c>
      <c r="S319" s="100">
        <v>0</v>
      </c>
      <c r="T319" s="100">
        <v>0</v>
      </c>
      <c r="U319" s="100">
        <v>0</v>
      </c>
    </row>
    <row r="320" spans="4:21">
      <c r="D320" s="97" t="s">
        <v>595</v>
      </c>
      <c r="E320" s="97" t="s">
        <v>577</v>
      </c>
      <c r="F320" s="94" t="s">
        <v>596</v>
      </c>
      <c r="G320" s="97">
        <v>4</v>
      </c>
      <c r="H320" s="98" t="s">
        <v>743</v>
      </c>
      <c r="I320" s="99" t="str">
        <f t="shared" si="4"/>
        <v>진주|4</v>
      </c>
      <c r="J320" s="100">
        <v>0</v>
      </c>
      <c r="K320" s="100">
        <v>0</v>
      </c>
      <c r="L320" s="100">
        <v>0</v>
      </c>
      <c r="M320" s="100">
        <v>0</v>
      </c>
      <c r="N320" s="100">
        <v>0</v>
      </c>
      <c r="O320" s="100">
        <v>0.1</v>
      </c>
      <c r="P320" s="100">
        <v>1.5</v>
      </c>
      <c r="Q320" s="100">
        <v>4.0999999999999996</v>
      </c>
      <c r="R320" s="100">
        <v>0.2</v>
      </c>
      <c r="S320" s="100">
        <v>0</v>
      </c>
      <c r="T320" s="100">
        <v>0</v>
      </c>
      <c r="U320" s="100">
        <v>0</v>
      </c>
    </row>
    <row r="321" spans="4:21">
      <c r="D321" s="97" t="s">
        <v>597</v>
      </c>
      <c r="E321" s="97" t="s">
        <v>577</v>
      </c>
      <c r="F321" s="94" t="s">
        <v>598</v>
      </c>
      <c r="G321" s="97">
        <v>4</v>
      </c>
      <c r="H321" s="98" t="s">
        <v>743</v>
      </c>
      <c r="I321" s="99" t="str">
        <f t="shared" si="4"/>
        <v>창원|4</v>
      </c>
      <c r="J321" s="100">
        <v>0</v>
      </c>
      <c r="K321" s="100">
        <v>0</v>
      </c>
      <c r="L321" s="100">
        <v>0</v>
      </c>
      <c r="M321" s="100">
        <v>0</v>
      </c>
      <c r="N321" s="100">
        <v>0</v>
      </c>
      <c r="O321" s="100">
        <v>0</v>
      </c>
      <c r="P321" s="100">
        <v>1.5</v>
      </c>
      <c r="Q321" s="100">
        <v>3.8</v>
      </c>
      <c r="R321" s="100">
        <v>0.2</v>
      </c>
      <c r="S321" s="100">
        <v>0</v>
      </c>
      <c r="T321" s="100">
        <v>0</v>
      </c>
      <c r="U321" s="100">
        <v>0</v>
      </c>
    </row>
    <row r="322" spans="4:21">
      <c r="D322" s="97" t="s">
        <v>599</v>
      </c>
      <c r="E322" s="97" t="s">
        <v>577</v>
      </c>
      <c r="F322" s="94" t="s">
        <v>600</v>
      </c>
      <c r="G322" s="97">
        <v>4</v>
      </c>
      <c r="H322" s="98" t="s">
        <v>743</v>
      </c>
      <c r="I322" s="99" t="str">
        <f t="shared" si="4"/>
        <v>통영|4</v>
      </c>
      <c r="J322" s="100">
        <v>0</v>
      </c>
      <c r="K322" s="100">
        <v>0</v>
      </c>
      <c r="L322" s="100">
        <v>0</v>
      </c>
      <c r="M322" s="100">
        <v>0</v>
      </c>
      <c r="N322" s="100">
        <v>0</v>
      </c>
      <c r="O322" s="100">
        <v>0</v>
      </c>
      <c r="P322" s="100">
        <v>0.2</v>
      </c>
      <c r="Q322" s="100">
        <v>1.1000000000000001</v>
      </c>
      <c r="R322" s="100">
        <v>0.1</v>
      </c>
      <c r="S322" s="100">
        <v>0</v>
      </c>
      <c r="T322" s="100">
        <v>0</v>
      </c>
      <c r="U322" s="100">
        <v>0</v>
      </c>
    </row>
    <row r="323" spans="4:21">
      <c r="D323" s="97" t="s">
        <v>601</v>
      </c>
      <c r="E323" s="97" t="s">
        <v>577</v>
      </c>
      <c r="F323" s="94" t="s">
        <v>602</v>
      </c>
      <c r="G323" s="97">
        <v>4</v>
      </c>
      <c r="H323" s="98" t="s">
        <v>743</v>
      </c>
      <c r="I323" s="99" t="str">
        <f t="shared" si="4"/>
        <v>함양군|4</v>
      </c>
      <c r="J323" s="100">
        <v>0</v>
      </c>
      <c r="K323" s="100">
        <v>0</v>
      </c>
      <c r="L323" s="100">
        <v>0</v>
      </c>
      <c r="M323" s="100">
        <v>0</v>
      </c>
      <c r="N323" s="100">
        <v>0</v>
      </c>
      <c r="O323" s="100">
        <v>0.5</v>
      </c>
      <c r="P323" s="100">
        <v>2.7</v>
      </c>
      <c r="Q323" s="100">
        <v>5</v>
      </c>
      <c r="R323" s="100">
        <v>0.2</v>
      </c>
      <c r="S323" s="100">
        <v>0</v>
      </c>
      <c r="T323" s="100">
        <v>0</v>
      </c>
      <c r="U323" s="100">
        <v>0</v>
      </c>
    </row>
    <row r="324" spans="4:21">
      <c r="D324" s="97" t="s">
        <v>603</v>
      </c>
      <c r="E324" s="97" t="s">
        <v>577</v>
      </c>
      <c r="F324" s="94" t="s">
        <v>604</v>
      </c>
      <c r="G324" s="97">
        <v>4</v>
      </c>
      <c r="H324" s="98" t="s">
        <v>743</v>
      </c>
      <c r="I324" s="99" t="str">
        <f t="shared" si="4"/>
        <v>합천|4</v>
      </c>
      <c r="J324" s="100">
        <v>0</v>
      </c>
      <c r="K324" s="100">
        <v>0</v>
      </c>
      <c r="L324" s="100">
        <v>0</v>
      </c>
      <c r="M324" s="100">
        <v>0</v>
      </c>
      <c r="N324" s="100">
        <v>0.1</v>
      </c>
      <c r="O324" s="100">
        <v>0.9</v>
      </c>
      <c r="P324" s="100">
        <v>4.2</v>
      </c>
      <c r="Q324" s="100">
        <v>7.9</v>
      </c>
      <c r="R324" s="100">
        <v>0.3</v>
      </c>
      <c r="S324" s="100">
        <v>0</v>
      </c>
      <c r="T324" s="100">
        <v>0</v>
      </c>
      <c r="U324" s="100">
        <v>0</v>
      </c>
    </row>
    <row r="325" spans="4:21">
      <c r="D325" s="97" t="s">
        <v>605</v>
      </c>
      <c r="E325" s="97" t="s">
        <v>606</v>
      </c>
      <c r="F325" s="94" t="s">
        <v>607</v>
      </c>
      <c r="G325" s="97">
        <v>4</v>
      </c>
      <c r="H325" s="98" t="s">
        <v>743</v>
      </c>
      <c r="I325" s="99" t="str">
        <f t="shared" si="4"/>
        <v>경주시|4</v>
      </c>
      <c r="J325" s="100">
        <v>0</v>
      </c>
      <c r="K325" s="100">
        <v>0</v>
      </c>
      <c r="L325" s="100">
        <v>0</v>
      </c>
      <c r="M325" s="100">
        <v>0</v>
      </c>
      <c r="N325" s="100">
        <v>0.2</v>
      </c>
      <c r="O325" s="100">
        <v>1.2</v>
      </c>
      <c r="P325" s="100">
        <v>6.2</v>
      </c>
      <c r="Q325" s="100">
        <v>8.1</v>
      </c>
      <c r="R325" s="100">
        <v>0.4</v>
      </c>
      <c r="S325" s="100">
        <v>0</v>
      </c>
      <c r="T325" s="100">
        <v>0</v>
      </c>
      <c r="U325" s="100">
        <v>0</v>
      </c>
    </row>
    <row r="326" spans="4:21">
      <c r="D326" s="97" t="s">
        <v>608</v>
      </c>
      <c r="E326" s="97" t="s">
        <v>606</v>
      </c>
      <c r="F326" s="94" t="s">
        <v>609</v>
      </c>
      <c r="G326" s="97">
        <v>4</v>
      </c>
      <c r="H326" s="98" t="s">
        <v>743</v>
      </c>
      <c r="I326" s="99" t="str">
        <f t="shared" si="4"/>
        <v>구미|4</v>
      </c>
      <c r="J326" s="100">
        <v>0</v>
      </c>
      <c r="K326" s="100">
        <v>0</v>
      </c>
      <c r="L326" s="100">
        <v>0</v>
      </c>
      <c r="M326" s="100">
        <v>0</v>
      </c>
      <c r="N326" s="100">
        <v>0</v>
      </c>
      <c r="O326" s="100">
        <v>0.5</v>
      </c>
      <c r="P326" s="100">
        <v>2.8</v>
      </c>
      <c r="Q326" s="100">
        <v>6.6</v>
      </c>
      <c r="R326" s="100">
        <v>0.3</v>
      </c>
      <c r="S326" s="100">
        <v>0</v>
      </c>
      <c r="T326" s="100">
        <v>0</v>
      </c>
      <c r="U326" s="100">
        <v>0</v>
      </c>
    </row>
    <row r="327" spans="4:21">
      <c r="D327" s="97" t="s">
        <v>610</v>
      </c>
      <c r="E327" s="97" t="s">
        <v>606</v>
      </c>
      <c r="F327" s="94" t="s">
        <v>611</v>
      </c>
      <c r="G327" s="97">
        <v>4</v>
      </c>
      <c r="H327" s="98" t="s">
        <v>743</v>
      </c>
      <c r="I327" s="99" t="str">
        <f t="shared" ref="I327:I390" si="5">$D327&amp;"|"&amp;$G327</f>
        <v>문경|4</v>
      </c>
      <c r="J327" s="100">
        <v>0</v>
      </c>
      <c r="K327" s="100">
        <v>0</v>
      </c>
      <c r="L327" s="100">
        <v>0</v>
      </c>
      <c r="M327" s="100">
        <v>0</v>
      </c>
      <c r="N327" s="100">
        <v>0</v>
      </c>
      <c r="O327" s="100">
        <v>0.2</v>
      </c>
      <c r="P327" s="100">
        <v>1.3</v>
      </c>
      <c r="Q327" s="100">
        <v>2.4</v>
      </c>
      <c r="R327" s="100">
        <v>0</v>
      </c>
      <c r="S327" s="100">
        <v>0</v>
      </c>
      <c r="T327" s="100">
        <v>0</v>
      </c>
      <c r="U327" s="100">
        <v>0</v>
      </c>
    </row>
    <row r="328" spans="4:21">
      <c r="D328" s="97" t="s">
        <v>612</v>
      </c>
      <c r="E328" s="97" t="s">
        <v>606</v>
      </c>
      <c r="F328" s="94" t="s">
        <v>613</v>
      </c>
      <c r="G328" s="97">
        <v>4</v>
      </c>
      <c r="H328" s="98" t="s">
        <v>743</v>
      </c>
      <c r="I328" s="99" t="str">
        <f t="shared" si="5"/>
        <v>봉화|4</v>
      </c>
      <c r="J328" s="100">
        <v>0</v>
      </c>
      <c r="K328" s="100">
        <v>0</v>
      </c>
      <c r="L328" s="100">
        <v>0</v>
      </c>
      <c r="M328" s="100">
        <v>0</v>
      </c>
      <c r="N328" s="100">
        <v>0</v>
      </c>
      <c r="O328" s="100">
        <v>0</v>
      </c>
      <c r="P328" s="100">
        <v>0.5</v>
      </c>
      <c r="Q328" s="100">
        <v>1</v>
      </c>
      <c r="R328" s="100">
        <v>0</v>
      </c>
      <c r="S328" s="100">
        <v>0</v>
      </c>
      <c r="T328" s="100">
        <v>0</v>
      </c>
      <c r="U328" s="100">
        <v>0</v>
      </c>
    </row>
    <row r="329" spans="4:21">
      <c r="D329" s="97" t="s">
        <v>614</v>
      </c>
      <c r="E329" s="97" t="s">
        <v>606</v>
      </c>
      <c r="F329" s="94" t="s">
        <v>615</v>
      </c>
      <c r="G329" s="97">
        <v>4</v>
      </c>
      <c r="H329" s="98" t="s">
        <v>743</v>
      </c>
      <c r="I329" s="99" t="str">
        <f t="shared" si="5"/>
        <v>상주|4</v>
      </c>
      <c r="J329" s="100">
        <v>0</v>
      </c>
      <c r="K329" s="100">
        <v>0</v>
      </c>
      <c r="L329" s="100">
        <v>0</v>
      </c>
      <c r="M329" s="100">
        <v>0</v>
      </c>
      <c r="N329" s="100">
        <v>0</v>
      </c>
      <c r="O329" s="100">
        <v>1.1000000000000001</v>
      </c>
      <c r="P329" s="100">
        <v>2.5</v>
      </c>
      <c r="Q329" s="100">
        <v>5.3</v>
      </c>
      <c r="R329" s="100">
        <v>0</v>
      </c>
      <c r="S329" s="100">
        <v>0</v>
      </c>
      <c r="T329" s="100">
        <v>0</v>
      </c>
      <c r="U329" s="100">
        <v>0</v>
      </c>
    </row>
    <row r="330" spans="4:21">
      <c r="D330" s="97" t="s">
        <v>616</v>
      </c>
      <c r="E330" s="97" t="s">
        <v>606</v>
      </c>
      <c r="F330" s="94" t="s">
        <v>617</v>
      </c>
      <c r="G330" s="97">
        <v>4</v>
      </c>
      <c r="H330" s="98" t="s">
        <v>743</v>
      </c>
      <c r="I330" s="99" t="str">
        <f t="shared" si="5"/>
        <v>안동|4</v>
      </c>
      <c r="J330" s="100">
        <v>0</v>
      </c>
      <c r="K330" s="100">
        <v>0</v>
      </c>
      <c r="L330" s="100">
        <v>0</v>
      </c>
      <c r="M330" s="100">
        <v>0</v>
      </c>
      <c r="N330" s="100">
        <v>0</v>
      </c>
      <c r="O330" s="100">
        <v>0.6</v>
      </c>
      <c r="P330" s="100">
        <v>2</v>
      </c>
      <c r="Q330" s="100">
        <v>5.7</v>
      </c>
      <c r="R330" s="100">
        <v>0.2</v>
      </c>
      <c r="S330" s="100">
        <v>0</v>
      </c>
      <c r="T330" s="100">
        <v>0</v>
      </c>
      <c r="U330" s="100">
        <v>0</v>
      </c>
    </row>
    <row r="331" spans="4:21">
      <c r="D331" s="97" t="s">
        <v>618</v>
      </c>
      <c r="E331" s="97" t="s">
        <v>606</v>
      </c>
      <c r="F331" s="94" t="s">
        <v>619</v>
      </c>
      <c r="G331" s="97">
        <v>4</v>
      </c>
      <c r="H331" s="98" t="s">
        <v>743</v>
      </c>
      <c r="I331" s="99" t="str">
        <f t="shared" si="5"/>
        <v>영덕|4</v>
      </c>
      <c r="J331" s="100">
        <v>0</v>
      </c>
      <c r="K331" s="100">
        <v>0</v>
      </c>
      <c r="L331" s="100">
        <v>0</v>
      </c>
      <c r="M331" s="100">
        <v>0</v>
      </c>
      <c r="N331" s="100">
        <v>0</v>
      </c>
      <c r="O331" s="100">
        <v>0.5</v>
      </c>
      <c r="P331" s="100">
        <v>2.5</v>
      </c>
      <c r="Q331" s="100">
        <v>3.1</v>
      </c>
      <c r="R331" s="100">
        <v>0</v>
      </c>
      <c r="S331" s="100">
        <v>0</v>
      </c>
      <c r="T331" s="100">
        <v>0</v>
      </c>
      <c r="U331" s="100">
        <v>0</v>
      </c>
    </row>
    <row r="332" spans="4:21">
      <c r="D332" s="97" t="s">
        <v>620</v>
      </c>
      <c r="E332" s="97" t="s">
        <v>606</v>
      </c>
      <c r="F332" s="94" t="s">
        <v>621</v>
      </c>
      <c r="G332" s="97">
        <v>4</v>
      </c>
      <c r="H332" s="98" t="s">
        <v>743</v>
      </c>
      <c r="I332" s="99" t="str">
        <f t="shared" si="5"/>
        <v>영주|4</v>
      </c>
      <c r="J332" s="100">
        <v>0</v>
      </c>
      <c r="K332" s="100">
        <v>0</v>
      </c>
      <c r="L332" s="100">
        <v>0</v>
      </c>
      <c r="M332" s="100">
        <v>0</v>
      </c>
      <c r="N332" s="100">
        <v>0</v>
      </c>
      <c r="O332" s="100">
        <v>0</v>
      </c>
      <c r="P332" s="100">
        <v>1</v>
      </c>
      <c r="Q332" s="100">
        <v>2</v>
      </c>
      <c r="R332" s="100">
        <v>0</v>
      </c>
      <c r="S332" s="100">
        <v>0</v>
      </c>
      <c r="T332" s="100">
        <v>0</v>
      </c>
      <c r="U332" s="100">
        <v>0</v>
      </c>
    </row>
    <row r="333" spans="4:21">
      <c r="D333" s="97" t="s">
        <v>622</v>
      </c>
      <c r="E333" s="97" t="s">
        <v>606</v>
      </c>
      <c r="F333" s="94" t="s">
        <v>623</v>
      </c>
      <c r="G333" s="97">
        <v>4</v>
      </c>
      <c r="H333" s="98" t="s">
        <v>743</v>
      </c>
      <c r="I333" s="99" t="str">
        <f t="shared" si="5"/>
        <v>영천|4</v>
      </c>
      <c r="J333" s="100">
        <v>0</v>
      </c>
      <c r="K333" s="100">
        <v>0</v>
      </c>
      <c r="L333" s="100">
        <v>0</v>
      </c>
      <c r="M333" s="100">
        <v>0</v>
      </c>
      <c r="N333" s="100">
        <v>0.2</v>
      </c>
      <c r="O333" s="100">
        <v>0.7</v>
      </c>
      <c r="P333" s="100">
        <v>4.0999999999999996</v>
      </c>
      <c r="Q333" s="100">
        <v>5.7</v>
      </c>
      <c r="R333" s="100">
        <v>0</v>
      </c>
      <c r="S333" s="100">
        <v>0</v>
      </c>
      <c r="T333" s="100">
        <v>0</v>
      </c>
      <c r="U333" s="100">
        <v>0</v>
      </c>
    </row>
    <row r="334" spans="4:21">
      <c r="D334" s="97" t="s">
        <v>624</v>
      </c>
      <c r="E334" s="97" t="s">
        <v>606</v>
      </c>
      <c r="F334" s="94" t="s">
        <v>625</v>
      </c>
      <c r="G334" s="97">
        <v>4</v>
      </c>
      <c r="H334" s="98" t="s">
        <v>743</v>
      </c>
      <c r="I334" s="99" t="str">
        <f t="shared" si="5"/>
        <v>울릉도|4</v>
      </c>
      <c r="J334" s="100">
        <v>0</v>
      </c>
      <c r="K334" s="100">
        <v>0</v>
      </c>
      <c r="L334" s="100">
        <v>0</v>
      </c>
      <c r="M334" s="100">
        <v>0</v>
      </c>
      <c r="N334" s="100">
        <v>0</v>
      </c>
      <c r="O334" s="100">
        <v>0</v>
      </c>
      <c r="P334" s="100">
        <v>0</v>
      </c>
      <c r="Q334" s="100">
        <v>0</v>
      </c>
      <c r="R334" s="100">
        <v>0</v>
      </c>
      <c r="S334" s="100">
        <v>0</v>
      </c>
      <c r="T334" s="100">
        <v>0</v>
      </c>
      <c r="U334" s="100">
        <v>0</v>
      </c>
    </row>
    <row r="335" spans="4:21">
      <c r="D335" s="97" t="s">
        <v>626</v>
      </c>
      <c r="E335" s="97" t="s">
        <v>606</v>
      </c>
      <c r="F335" s="94" t="s">
        <v>627</v>
      </c>
      <c r="G335" s="97">
        <v>4</v>
      </c>
      <c r="H335" s="98" t="s">
        <v>743</v>
      </c>
      <c r="I335" s="99" t="str">
        <f t="shared" si="5"/>
        <v>울진|4</v>
      </c>
      <c r="J335" s="100">
        <v>0</v>
      </c>
      <c r="K335" s="100">
        <v>0</v>
      </c>
      <c r="L335" s="100">
        <v>0</v>
      </c>
      <c r="M335" s="100">
        <v>0</v>
      </c>
      <c r="N335" s="100">
        <v>0.1</v>
      </c>
      <c r="O335" s="100">
        <v>0.1</v>
      </c>
      <c r="P335" s="100">
        <v>0.5</v>
      </c>
      <c r="Q335" s="100">
        <v>1</v>
      </c>
      <c r="R335" s="100">
        <v>0.1</v>
      </c>
      <c r="S335" s="100">
        <v>0</v>
      </c>
      <c r="T335" s="100">
        <v>0</v>
      </c>
      <c r="U335" s="100">
        <v>0</v>
      </c>
    </row>
    <row r="336" spans="4:21">
      <c r="D336" s="97" t="s">
        <v>628</v>
      </c>
      <c r="E336" s="97" t="s">
        <v>606</v>
      </c>
      <c r="F336" s="94" t="s">
        <v>629</v>
      </c>
      <c r="G336" s="97">
        <v>4</v>
      </c>
      <c r="H336" s="98" t="s">
        <v>743</v>
      </c>
      <c r="I336" s="99" t="str">
        <f t="shared" si="5"/>
        <v>의성|4</v>
      </c>
      <c r="J336" s="100">
        <v>0</v>
      </c>
      <c r="K336" s="100">
        <v>0</v>
      </c>
      <c r="L336" s="100">
        <v>0</v>
      </c>
      <c r="M336" s="100">
        <v>0</v>
      </c>
      <c r="N336" s="100">
        <v>0</v>
      </c>
      <c r="O336" s="100">
        <v>1.2</v>
      </c>
      <c r="P336" s="100">
        <v>4.8</v>
      </c>
      <c r="Q336" s="100">
        <v>8.5</v>
      </c>
      <c r="R336" s="100">
        <v>0.4</v>
      </c>
      <c r="S336" s="100">
        <v>0</v>
      </c>
      <c r="T336" s="100">
        <v>0</v>
      </c>
      <c r="U336" s="100">
        <v>0</v>
      </c>
    </row>
    <row r="337" spans="4:21">
      <c r="D337" s="97" t="s">
        <v>630</v>
      </c>
      <c r="E337" s="97" t="s">
        <v>606</v>
      </c>
      <c r="F337" s="94" t="s">
        <v>631</v>
      </c>
      <c r="G337" s="97">
        <v>4</v>
      </c>
      <c r="H337" s="98" t="s">
        <v>743</v>
      </c>
      <c r="I337" s="99" t="str">
        <f t="shared" si="5"/>
        <v>청송군|4</v>
      </c>
      <c r="J337" s="100">
        <v>0</v>
      </c>
      <c r="K337" s="100">
        <v>0</v>
      </c>
      <c r="L337" s="100">
        <v>0</v>
      </c>
      <c r="M337" s="100">
        <v>0</v>
      </c>
      <c r="N337" s="100">
        <v>0</v>
      </c>
      <c r="O337" s="100">
        <v>0.6</v>
      </c>
      <c r="P337" s="100">
        <v>2.2000000000000002</v>
      </c>
      <c r="Q337" s="100">
        <v>5</v>
      </c>
      <c r="R337" s="100">
        <v>0.2</v>
      </c>
      <c r="S337" s="100">
        <v>0</v>
      </c>
      <c r="T337" s="100">
        <v>0</v>
      </c>
      <c r="U337" s="100">
        <v>0</v>
      </c>
    </row>
    <row r="338" spans="4:21">
      <c r="D338" s="97" t="s">
        <v>632</v>
      </c>
      <c r="E338" s="97" t="s">
        <v>606</v>
      </c>
      <c r="F338" s="94" t="s">
        <v>633</v>
      </c>
      <c r="G338" s="97">
        <v>4</v>
      </c>
      <c r="H338" s="98" t="s">
        <v>743</v>
      </c>
      <c r="I338" s="99" t="str">
        <f t="shared" si="5"/>
        <v>포항|4</v>
      </c>
      <c r="J338" s="100">
        <v>0</v>
      </c>
      <c r="K338" s="100">
        <v>0</v>
      </c>
      <c r="L338" s="100">
        <v>0</v>
      </c>
      <c r="M338" s="100">
        <v>0</v>
      </c>
      <c r="N338" s="100">
        <v>0.1</v>
      </c>
      <c r="O338" s="100">
        <v>0.2</v>
      </c>
      <c r="P338" s="100">
        <v>4</v>
      </c>
      <c r="Q338" s="100">
        <v>4</v>
      </c>
      <c r="R338" s="100">
        <v>0.1</v>
      </c>
      <c r="S338" s="100">
        <v>0</v>
      </c>
      <c r="T338" s="100">
        <v>0</v>
      </c>
      <c r="U338" s="100">
        <v>0</v>
      </c>
    </row>
    <row r="339" spans="4:21">
      <c r="D339" s="97" t="s">
        <v>634</v>
      </c>
      <c r="E339" s="97" t="s">
        <v>635</v>
      </c>
      <c r="F339" s="94" t="s">
        <v>636</v>
      </c>
      <c r="G339" s="97">
        <v>4</v>
      </c>
      <c r="H339" s="98" t="s">
        <v>743</v>
      </c>
      <c r="I339" s="99" t="str">
        <f t="shared" si="5"/>
        <v>광주|4</v>
      </c>
      <c r="J339" s="100">
        <v>0</v>
      </c>
      <c r="K339" s="100">
        <v>0</v>
      </c>
      <c r="L339" s="100">
        <v>0</v>
      </c>
      <c r="M339" s="100">
        <v>0</v>
      </c>
      <c r="N339" s="100">
        <v>0</v>
      </c>
      <c r="O339" s="100">
        <v>0.2</v>
      </c>
      <c r="P339" s="100">
        <v>2</v>
      </c>
      <c r="Q339" s="100">
        <v>3.5</v>
      </c>
      <c r="R339" s="100">
        <v>0.4</v>
      </c>
      <c r="S339" s="100">
        <v>0</v>
      </c>
      <c r="T339" s="100">
        <v>0</v>
      </c>
      <c r="U339" s="100">
        <v>0</v>
      </c>
    </row>
    <row r="340" spans="4:21">
      <c r="D340" s="97" t="s">
        <v>637</v>
      </c>
      <c r="E340" s="97" t="s">
        <v>638</v>
      </c>
      <c r="F340" s="94" t="s">
        <v>639</v>
      </c>
      <c r="G340" s="97">
        <v>4</v>
      </c>
      <c r="H340" s="98" t="s">
        <v>743</v>
      </c>
      <c r="I340" s="99" t="str">
        <f t="shared" si="5"/>
        <v>대구|4</v>
      </c>
      <c r="J340" s="100">
        <v>0</v>
      </c>
      <c r="K340" s="100">
        <v>0</v>
      </c>
      <c r="L340" s="100">
        <v>0</v>
      </c>
      <c r="M340" s="100">
        <v>0</v>
      </c>
      <c r="N340" s="100">
        <v>0.1</v>
      </c>
      <c r="O340" s="100">
        <v>1.6</v>
      </c>
      <c r="P340" s="100">
        <v>5.4</v>
      </c>
      <c r="Q340" s="100">
        <v>8.1</v>
      </c>
      <c r="R340" s="100">
        <v>0.4</v>
      </c>
      <c r="S340" s="100">
        <v>0</v>
      </c>
      <c r="T340" s="100">
        <v>0</v>
      </c>
      <c r="U340" s="100">
        <v>0</v>
      </c>
    </row>
    <row r="341" spans="4:21">
      <c r="D341" s="97" t="s">
        <v>640</v>
      </c>
      <c r="E341" s="97" t="s">
        <v>641</v>
      </c>
      <c r="F341" s="94" t="s">
        <v>642</v>
      </c>
      <c r="G341" s="97">
        <v>4</v>
      </c>
      <c r="H341" s="98" t="s">
        <v>743</v>
      </c>
      <c r="I341" s="99" t="str">
        <f t="shared" si="5"/>
        <v>대전|4</v>
      </c>
      <c r="J341" s="100">
        <v>0</v>
      </c>
      <c r="K341" s="100">
        <v>0</v>
      </c>
      <c r="L341" s="100">
        <v>0</v>
      </c>
      <c r="M341" s="100">
        <v>0</v>
      </c>
      <c r="N341" s="100">
        <v>0</v>
      </c>
      <c r="O341" s="100">
        <v>0.3</v>
      </c>
      <c r="P341" s="100">
        <v>2.2999999999999998</v>
      </c>
      <c r="Q341" s="100">
        <v>4.9000000000000004</v>
      </c>
      <c r="R341" s="100">
        <v>0.3</v>
      </c>
      <c r="S341" s="100">
        <v>0</v>
      </c>
      <c r="T341" s="100">
        <v>0</v>
      </c>
      <c r="U341" s="100">
        <v>0</v>
      </c>
    </row>
    <row r="342" spans="4:21">
      <c r="D342" s="97" t="s">
        <v>643</v>
      </c>
      <c r="E342" s="97" t="s">
        <v>644</v>
      </c>
      <c r="F342" s="94" t="s">
        <v>645</v>
      </c>
      <c r="G342" s="97">
        <v>4</v>
      </c>
      <c r="H342" s="98" t="s">
        <v>743</v>
      </c>
      <c r="I342" s="99" t="str">
        <f t="shared" si="5"/>
        <v>부산|4</v>
      </c>
      <c r="J342" s="100">
        <v>0</v>
      </c>
      <c r="K342" s="100">
        <v>0</v>
      </c>
      <c r="L342" s="100">
        <v>0</v>
      </c>
      <c r="M342" s="100">
        <v>0</v>
      </c>
      <c r="N342" s="100">
        <v>0</v>
      </c>
      <c r="O342" s="100">
        <v>0</v>
      </c>
      <c r="P342" s="100">
        <v>0.1</v>
      </c>
      <c r="Q342" s="100">
        <v>1</v>
      </c>
      <c r="R342" s="100">
        <v>0</v>
      </c>
      <c r="S342" s="100">
        <v>0</v>
      </c>
      <c r="T342" s="100">
        <v>0</v>
      </c>
      <c r="U342" s="100">
        <v>0</v>
      </c>
    </row>
    <row r="343" spans="4:21">
      <c r="D343" s="97" t="s">
        <v>64</v>
      </c>
      <c r="E343" s="97" t="s">
        <v>646</v>
      </c>
      <c r="F343" s="94" t="s">
        <v>647</v>
      </c>
      <c r="G343" s="97">
        <v>4</v>
      </c>
      <c r="H343" s="98" t="s">
        <v>743</v>
      </c>
      <c r="I343" s="99" t="str">
        <f t="shared" si="5"/>
        <v>서울|4</v>
      </c>
      <c r="J343" s="100">
        <v>0</v>
      </c>
      <c r="K343" s="100">
        <v>0</v>
      </c>
      <c r="L343" s="100">
        <v>0</v>
      </c>
      <c r="M343" s="100">
        <v>0</v>
      </c>
      <c r="N343" s="100">
        <v>0</v>
      </c>
      <c r="O343" s="100">
        <v>0.3</v>
      </c>
      <c r="P343" s="100">
        <v>2.5</v>
      </c>
      <c r="Q343" s="100">
        <v>3.5</v>
      </c>
      <c r="R343" s="100">
        <v>0</v>
      </c>
      <c r="S343" s="100">
        <v>0</v>
      </c>
      <c r="T343" s="100">
        <v>0</v>
      </c>
      <c r="U343" s="100">
        <v>0</v>
      </c>
    </row>
    <row r="344" spans="4:21">
      <c r="D344" s="97" t="s">
        <v>648</v>
      </c>
      <c r="E344" s="97" t="s">
        <v>649</v>
      </c>
      <c r="F344" s="94" t="s">
        <v>650</v>
      </c>
      <c r="G344" s="97">
        <v>4</v>
      </c>
      <c r="H344" s="98" t="s">
        <v>743</v>
      </c>
      <c r="I344" s="99" t="str">
        <f t="shared" si="5"/>
        <v>세종|4</v>
      </c>
      <c r="J344" s="100">
        <v>0</v>
      </c>
      <c r="K344" s="100">
        <v>0</v>
      </c>
      <c r="L344" s="100">
        <v>0</v>
      </c>
      <c r="M344" s="100">
        <v>0</v>
      </c>
      <c r="N344" s="100">
        <v>0</v>
      </c>
      <c r="O344" s="100">
        <v>0.3</v>
      </c>
      <c r="P344" s="100">
        <v>0</v>
      </c>
      <c r="Q344" s="100">
        <v>1.3</v>
      </c>
      <c r="R344" s="100">
        <v>0.3</v>
      </c>
      <c r="S344" s="100">
        <v>0</v>
      </c>
      <c r="T344" s="100">
        <v>0</v>
      </c>
      <c r="U344" s="100">
        <v>0</v>
      </c>
    </row>
    <row r="345" spans="4:21">
      <c r="D345" s="97" t="s">
        <v>651</v>
      </c>
      <c r="E345" s="97" t="s">
        <v>652</v>
      </c>
      <c r="F345" s="94" t="s">
        <v>653</v>
      </c>
      <c r="G345" s="97">
        <v>4</v>
      </c>
      <c r="H345" s="98" t="s">
        <v>743</v>
      </c>
      <c r="I345" s="99" t="str">
        <f t="shared" si="5"/>
        <v>울산|4</v>
      </c>
      <c r="J345" s="100">
        <v>0</v>
      </c>
      <c r="K345" s="100">
        <v>0</v>
      </c>
      <c r="L345" s="100">
        <v>0</v>
      </c>
      <c r="M345" s="100">
        <v>0</v>
      </c>
      <c r="N345" s="100">
        <v>0</v>
      </c>
      <c r="O345" s="100">
        <v>0</v>
      </c>
      <c r="P345" s="100">
        <v>1.3</v>
      </c>
      <c r="Q345" s="100">
        <v>1.9</v>
      </c>
      <c r="R345" s="100">
        <v>0</v>
      </c>
      <c r="S345" s="100">
        <v>0</v>
      </c>
      <c r="T345" s="100">
        <v>0</v>
      </c>
      <c r="U345" s="100">
        <v>0</v>
      </c>
    </row>
    <row r="346" spans="4:21">
      <c r="D346" s="97" t="s">
        <v>654</v>
      </c>
      <c r="E346" s="97" t="s">
        <v>655</v>
      </c>
      <c r="F346" s="94" t="s">
        <v>656</v>
      </c>
      <c r="G346" s="97">
        <v>4</v>
      </c>
      <c r="H346" s="98" t="s">
        <v>743</v>
      </c>
      <c r="I346" s="99" t="str">
        <f t="shared" si="5"/>
        <v>강화|4</v>
      </c>
      <c r="J346" s="100">
        <v>0</v>
      </c>
      <c r="K346" s="100">
        <v>0</v>
      </c>
      <c r="L346" s="100">
        <v>0</v>
      </c>
      <c r="M346" s="100">
        <v>0</v>
      </c>
      <c r="N346" s="100">
        <v>0</v>
      </c>
      <c r="O346" s="100">
        <v>0</v>
      </c>
      <c r="P346" s="100">
        <v>0.1</v>
      </c>
      <c r="Q346" s="100">
        <v>0.2</v>
      </c>
      <c r="R346" s="100">
        <v>0</v>
      </c>
      <c r="S346" s="100">
        <v>0</v>
      </c>
      <c r="T346" s="100">
        <v>0</v>
      </c>
      <c r="U346" s="100">
        <v>0</v>
      </c>
    </row>
    <row r="347" spans="4:21">
      <c r="D347" s="97" t="s">
        <v>657</v>
      </c>
      <c r="E347" s="97" t="s">
        <v>655</v>
      </c>
      <c r="F347" s="94" t="s">
        <v>658</v>
      </c>
      <c r="G347" s="97">
        <v>4</v>
      </c>
      <c r="H347" s="98" t="s">
        <v>743</v>
      </c>
      <c r="I347" s="99" t="str">
        <f t="shared" si="5"/>
        <v>백령도|4</v>
      </c>
      <c r="J347" s="100">
        <v>0</v>
      </c>
      <c r="K347" s="100">
        <v>0</v>
      </c>
      <c r="L347" s="100">
        <v>0</v>
      </c>
      <c r="M347" s="100">
        <v>0</v>
      </c>
      <c r="N347" s="100">
        <v>0</v>
      </c>
      <c r="O347" s="100">
        <v>0</v>
      </c>
      <c r="P347" s="100">
        <v>0</v>
      </c>
      <c r="Q347" s="100">
        <v>0</v>
      </c>
      <c r="R347" s="100">
        <v>0</v>
      </c>
      <c r="S347" s="100">
        <v>0</v>
      </c>
      <c r="T347" s="100">
        <v>0</v>
      </c>
      <c r="U347" s="100">
        <v>0</v>
      </c>
    </row>
    <row r="348" spans="4:21">
      <c r="D348" s="97" t="s">
        <v>659</v>
      </c>
      <c r="E348" s="97" t="s">
        <v>655</v>
      </c>
      <c r="F348" s="94" t="s">
        <v>660</v>
      </c>
      <c r="G348" s="97">
        <v>4</v>
      </c>
      <c r="H348" s="98" t="s">
        <v>743</v>
      </c>
      <c r="I348" s="99" t="str">
        <f t="shared" si="5"/>
        <v>인천|4</v>
      </c>
      <c r="J348" s="100">
        <v>0</v>
      </c>
      <c r="K348" s="100">
        <v>0</v>
      </c>
      <c r="L348" s="100">
        <v>0</v>
      </c>
      <c r="M348" s="100">
        <v>0</v>
      </c>
      <c r="N348" s="100">
        <v>0</v>
      </c>
      <c r="O348" s="100">
        <v>0</v>
      </c>
      <c r="P348" s="100">
        <v>0.4</v>
      </c>
      <c r="Q348" s="100">
        <v>0.8</v>
      </c>
      <c r="R348" s="100">
        <v>0</v>
      </c>
      <c r="S348" s="100">
        <v>0</v>
      </c>
      <c r="T348" s="100">
        <v>0</v>
      </c>
      <c r="U348" s="100">
        <v>0</v>
      </c>
    </row>
    <row r="349" spans="4:21">
      <c r="D349" s="97" t="s">
        <v>661</v>
      </c>
      <c r="E349" s="97" t="s">
        <v>662</v>
      </c>
      <c r="F349" s="94" t="s">
        <v>663</v>
      </c>
      <c r="G349" s="97">
        <v>4</v>
      </c>
      <c r="H349" s="98" t="s">
        <v>743</v>
      </c>
      <c r="I349" s="99" t="str">
        <f t="shared" si="5"/>
        <v>강진군|4</v>
      </c>
      <c r="J349" s="100">
        <v>0</v>
      </c>
      <c r="K349" s="100">
        <v>0</v>
      </c>
      <c r="L349" s="100">
        <v>0</v>
      </c>
      <c r="M349" s="100">
        <v>0</v>
      </c>
      <c r="N349" s="100">
        <v>0</v>
      </c>
      <c r="O349" s="100">
        <v>0</v>
      </c>
      <c r="P349" s="100">
        <v>0.7</v>
      </c>
      <c r="Q349" s="100">
        <v>2.7</v>
      </c>
      <c r="R349" s="100">
        <v>0.3</v>
      </c>
      <c r="S349" s="100">
        <v>0</v>
      </c>
      <c r="T349" s="100">
        <v>0</v>
      </c>
      <c r="U349" s="100">
        <v>0</v>
      </c>
    </row>
    <row r="350" spans="4:21">
      <c r="D350" s="97" t="s">
        <v>664</v>
      </c>
      <c r="E350" s="97" t="s">
        <v>662</v>
      </c>
      <c r="F350" s="94" t="s">
        <v>665</v>
      </c>
      <c r="G350" s="97">
        <v>4</v>
      </c>
      <c r="H350" s="98" t="s">
        <v>743</v>
      </c>
      <c r="I350" s="99" t="str">
        <f t="shared" si="5"/>
        <v>고흥|4</v>
      </c>
      <c r="J350" s="100">
        <v>0</v>
      </c>
      <c r="K350" s="100">
        <v>0</v>
      </c>
      <c r="L350" s="100">
        <v>0</v>
      </c>
      <c r="M350" s="100">
        <v>0</v>
      </c>
      <c r="N350" s="100">
        <v>0</v>
      </c>
      <c r="O350" s="100">
        <v>0</v>
      </c>
      <c r="P350" s="100">
        <v>0.2</v>
      </c>
      <c r="Q350" s="100">
        <v>1.9</v>
      </c>
      <c r="R350" s="100">
        <v>0</v>
      </c>
      <c r="S350" s="100">
        <v>0</v>
      </c>
      <c r="T350" s="100">
        <v>0</v>
      </c>
      <c r="U350" s="100">
        <v>0</v>
      </c>
    </row>
    <row r="351" spans="4:21">
      <c r="D351" s="97" t="s">
        <v>666</v>
      </c>
      <c r="E351" s="97" t="s">
        <v>662</v>
      </c>
      <c r="F351" s="94" t="s">
        <v>667</v>
      </c>
      <c r="G351" s="97">
        <v>4</v>
      </c>
      <c r="H351" s="98" t="s">
        <v>743</v>
      </c>
      <c r="I351" s="99" t="str">
        <f t="shared" si="5"/>
        <v>광양시|4</v>
      </c>
      <c r="J351" s="100">
        <v>0</v>
      </c>
      <c r="K351" s="100">
        <v>0</v>
      </c>
      <c r="L351" s="100">
        <v>0</v>
      </c>
      <c r="M351" s="100">
        <v>0</v>
      </c>
      <c r="N351" s="100">
        <v>0.1</v>
      </c>
      <c r="O351" s="100">
        <v>0</v>
      </c>
      <c r="P351" s="100">
        <v>1.6</v>
      </c>
      <c r="Q351" s="100">
        <v>4.3</v>
      </c>
      <c r="R351" s="100">
        <v>0.4</v>
      </c>
      <c r="S351" s="100">
        <v>0</v>
      </c>
      <c r="T351" s="100">
        <v>0</v>
      </c>
      <c r="U351" s="100">
        <v>0</v>
      </c>
    </row>
    <row r="352" spans="4:21">
      <c r="D352" s="97" t="s">
        <v>668</v>
      </c>
      <c r="E352" s="97" t="s">
        <v>662</v>
      </c>
      <c r="F352" s="94" t="s">
        <v>669</v>
      </c>
      <c r="G352" s="97">
        <v>4</v>
      </c>
      <c r="H352" s="98" t="s">
        <v>743</v>
      </c>
      <c r="I352" s="99" t="str">
        <f t="shared" si="5"/>
        <v>목포|4</v>
      </c>
      <c r="J352" s="100">
        <v>0</v>
      </c>
      <c r="K352" s="100">
        <v>0</v>
      </c>
      <c r="L352" s="100">
        <v>0</v>
      </c>
      <c r="M352" s="100">
        <v>0</v>
      </c>
      <c r="N352" s="100">
        <v>0</v>
      </c>
      <c r="O352" s="100">
        <v>0</v>
      </c>
      <c r="P352" s="100">
        <v>0.2</v>
      </c>
      <c r="Q352" s="100">
        <v>1</v>
      </c>
      <c r="R352" s="100">
        <v>0</v>
      </c>
      <c r="S352" s="100">
        <v>0</v>
      </c>
      <c r="T352" s="100">
        <v>0</v>
      </c>
      <c r="U352" s="100">
        <v>0</v>
      </c>
    </row>
    <row r="353" spans="4:21">
      <c r="D353" s="97" t="s">
        <v>670</v>
      </c>
      <c r="E353" s="97" t="s">
        <v>662</v>
      </c>
      <c r="F353" s="94" t="s">
        <v>671</v>
      </c>
      <c r="G353" s="97">
        <v>4</v>
      </c>
      <c r="H353" s="98" t="s">
        <v>743</v>
      </c>
      <c r="I353" s="99" t="str">
        <f t="shared" si="5"/>
        <v>보성군|4</v>
      </c>
      <c r="J353" s="100">
        <v>0</v>
      </c>
      <c r="K353" s="100">
        <v>0</v>
      </c>
      <c r="L353" s="100">
        <v>0</v>
      </c>
      <c r="M353" s="100">
        <v>0</v>
      </c>
      <c r="N353" s="100">
        <v>0</v>
      </c>
      <c r="O353" s="100">
        <v>0</v>
      </c>
      <c r="P353" s="100">
        <v>0.4</v>
      </c>
      <c r="Q353" s="100">
        <v>1.7</v>
      </c>
      <c r="R353" s="100">
        <v>0.1</v>
      </c>
      <c r="S353" s="100">
        <v>0</v>
      </c>
      <c r="T353" s="100">
        <v>0</v>
      </c>
      <c r="U353" s="100">
        <v>0</v>
      </c>
    </row>
    <row r="354" spans="4:21">
      <c r="D354" s="97" t="s">
        <v>672</v>
      </c>
      <c r="E354" s="97" t="s">
        <v>662</v>
      </c>
      <c r="F354" s="94" t="s">
        <v>673</v>
      </c>
      <c r="G354" s="97">
        <v>4</v>
      </c>
      <c r="H354" s="98" t="s">
        <v>743</v>
      </c>
      <c r="I354" s="99" t="str">
        <f t="shared" si="5"/>
        <v>순천|4</v>
      </c>
      <c r="J354" s="100">
        <v>0</v>
      </c>
      <c r="K354" s="100">
        <v>0</v>
      </c>
      <c r="L354" s="100">
        <v>0</v>
      </c>
      <c r="M354" s="100">
        <v>0</v>
      </c>
      <c r="N354" s="100">
        <v>0</v>
      </c>
      <c r="O354" s="100">
        <v>0</v>
      </c>
      <c r="P354" s="100">
        <v>0.9</v>
      </c>
      <c r="Q354" s="100">
        <v>1.9</v>
      </c>
      <c r="R354" s="100">
        <v>0</v>
      </c>
      <c r="S354" s="100">
        <v>0</v>
      </c>
      <c r="T354" s="100">
        <v>0</v>
      </c>
      <c r="U354" s="100">
        <v>0</v>
      </c>
    </row>
    <row r="355" spans="4:21">
      <c r="D355" s="97" t="s">
        <v>674</v>
      </c>
      <c r="E355" s="97" t="s">
        <v>662</v>
      </c>
      <c r="F355" s="94" t="s">
        <v>675</v>
      </c>
      <c r="G355" s="97">
        <v>4</v>
      </c>
      <c r="H355" s="98" t="s">
        <v>743</v>
      </c>
      <c r="I355" s="99" t="str">
        <f t="shared" si="5"/>
        <v>여수|4</v>
      </c>
      <c r="J355" s="100">
        <v>0</v>
      </c>
      <c r="K355" s="100">
        <v>0</v>
      </c>
      <c r="L355" s="100">
        <v>0</v>
      </c>
      <c r="M355" s="100">
        <v>0</v>
      </c>
      <c r="N355" s="100">
        <v>0</v>
      </c>
      <c r="O355" s="100">
        <v>0</v>
      </c>
      <c r="P355" s="100">
        <v>0.1</v>
      </c>
      <c r="Q355" s="100">
        <v>0.1</v>
      </c>
      <c r="R355" s="100">
        <v>0</v>
      </c>
      <c r="S355" s="100">
        <v>0</v>
      </c>
      <c r="T355" s="100">
        <v>0</v>
      </c>
      <c r="U355" s="100">
        <v>0</v>
      </c>
    </row>
    <row r="356" spans="4:21">
      <c r="D356" s="97" t="s">
        <v>676</v>
      </c>
      <c r="E356" s="97" t="s">
        <v>662</v>
      </c>
      <c r="F356" s="94" t="s">
        <v>677</v>
      </c>
      <c r="G356" s="97">
        <v>4</v>
      </c>
      <c r="H356" s="98" t="s">
        <v>743</v>
      </c>
      <c r="I356" s="99" t="str">
        <f t="shared" si="5"/>
        <v>영광군|4</v>
      </c>
      <c r="J356" s="100">
        <v>0</v>
      </c>
      <c r="K356" s="100">
        <v>0</v>
      </c>
      <c r="L356" s="100">
        <v>0</v>
      </c>
      <c r="M356" s="100">
        <v>0</v>
      </c>
      <c r="N356" s="100">
        <v>0</v>
      </c>
      <c r="O356" s="100">
        <v>0</v>
      </c>
      <c r="P356" s="100">
        <v>0.9</v>
      </c>
      <c r="Q356" s="100">
        <v>2.1</v>
      </c>
      <c r="R356" s="100">
        <v>0.2</v>
      </c>
      <c r="S356" s="100">
        <v>0</v>
      </c>
      <c r="T356" s="100">
        <v>0</v>
      </c>
      <c r="U356" s="100">
        <v>0</v>
      </c>
    </row>
    <row r="357" spans="4:21">
      <c r="D357" s="97" t="s">
        <v>678</v>
      </c>
      <c r="E357" s="97" t="s">
        <v>662</v>
      </c>
      <c r="F357" s="94" t="s">
        <v>679</v>
      </c>
      <c r="G357" s="97">
        <v>4</v>
      </c>
      <c r="H357" s="98" t="s">
        <v>743</v>
      </c>
      <c r="I357" s="99" t="str">
        <f t="shared" si="5"/>
        <v>완도|4</v>
      </c>
      <c r="J357" s="100">
        <v>0</v>
      </c>
      <c r="K357" s="100">
        <v>0</v>
      </c>
      <c r="L357" s="100">
        <v>0</v>
      </c>
      <c r="M357" s="100">
        <v>0</v>
      </c>
      <c r="N357" s="100">
        <v>0</v>
      </c>
      <c r="O357" s="100">
        <v>0</v>
      </c>
      <c r="P357" s="100">
        <v>0.1</v>
      </c>
      <c r="Q357" s="100">
        <v>2</v>
      </c>
      <c r="R357" s="100">
        <v>0.7</v>
      </c>
      <c r="S357" s="100">
        <v>0</v>
      </c>
      <c r="T357" s="100">
        <v>0</v>
      </c>
      <c r="U357" s="100">
        <v>0</v>
      </c>
    </row>
    <row r="358" spans="4:21">
      <c r="D358" s="97" t="s">
        <v>680</v>
      </c>
      <c r="E358" s="97" t="s">
        <v>662</v>
      </c>
      <c r="F358" s="94" t="s">
        <v>681</v>
      </c>
      <c r="G358" s="97">
        <v>4</v>
      </c>
      <c r="H358" s="98" t="s">
        <v>743</v>
      </c>
      <c r="I358" s="99" t="str">
        <f t="shared" si="5"/>
        <v>장흥|4</v>
      </c>
      <c r="J358" s="100">
        <v>0</v>
      </c>
      <c r="K358" s="100">
        <v>0</v>
      </c>
      <c r="L358" s="100">
        <v>0</v>
      </c>
      <c r="M358" s="100">
        <v>0</v>
      </c>
      <c r="N358" s="100">
        <v>0</v>
      </c>
      <c r="O358" s="100">
        <v>0</v>
      </c>
      <c r="P358" s="100">
        <v>0.4</v>
      </c>
      <c r="Q358" s="100">
        <v>1.6</v>
      </c>
      <c r="R358" s="100">
        <v>0</v>
      </c>
      <c r="S358" s="100">
        <v>0</v>
      </c>
      <c r="T358" s="100">
        <v>0</v>
      </c>
      <c r="U358" s="100">
        <v>0</v>
      </c>
    </row>
    <row r="359" spans="4:21">
      <c r="D359" s="97" t="s">
        <v>682</v>
      </c>
      <c r="E359" s="97" t="s">
        <v>662</v>
      </c>
      <c r="F359" s="94" t="s">
        <v>683</v>
      </c>
      <c r="G359" s="97">
        <v>4</v>
      </c>
      <c r="H359" s="98" t="s">
        <v>743</v>
      </c>
      <c r="I359" s="99" t="str">
        <f t="shared" si="5"/>
        <v>진도군|4</v>
      </c>
      <c r="J359" s="100">
        <v>0</v>
      </c>
      <c r="K359" s="100">
        <v>0</v>
      </c>
      <c r="L359" s="100">
        <v>0</v>
      </c>
      <c r="M359" s="100">
        <v>0</v>
      </c>
      <c r="N359" s="100">
        <v>0</v>
      </c>
      <c r="O359" s="100">
        <v>0</v>
      </c>
      <c r="P359" s="100">
        <v>0</v>
      </c>
      <c r="Q359" s="100">
        <v>0.3</v>
      </c>
      <c r="R359" s="100">
        <v>0</v>
      </c>
      <c r="S359" s="100">
        <v>0</v>
      </c>
      <c r="T359" s="100">
        <v>0</v>
      </c>
      <c r="U359" s="100">
        <v>0</v>
      </c>
    </row>
    <row r="360" spans="4:21">
      <c r="D360" s="97" t="s">
        <v>684</v>
      </c>
      <c r="E360" s="97" t="s">
        <v>662</v>
      </c>
      <c r="F360" s="94" t="s">
        <v>685</v>
      </c>
      <c r="G360" s="97">
        <v>4</v>
      </c>
      <c r="H360" s="98" t="s">
        <v>743</v>
      </c>
      <c r="I360" s="99" t="str">
        <f t="shared" si="5"/>
        <v>해남|4</v>
      </c>
      <c r="J360" s="100">
        <v>0</v>
      </c>
      <c r="K360" s="100">
        <v>0</v>
      </c>
      <c r="L360" s="100">
        <v>0</v>
      </c>
      <c r="M360" s="100">
        <v>0</v>
      </c>
      <c r="N360" s="100">
        <v>0</v>
      </c>
      <c r="O360" s="100">
        <v>0</v>
      </c>
      <c r="P360" s="100">
        <v>0.5</v>
      </c>
      <c r="Q360" s="100">
        <v>2.4</v>
      </c>
      <c r="R360" s="100">
        <v>0</v>
      </c>
      <c r="S360" s="100">
        <v>0</v>
      </c>
      <c r="T360" s="100">
        <v>0</v>
      </c>
      <c r="U360" s="100">
        <v>0</v>
      </c>
    </row>
    <row r="361" spans="4:21">
      <c r="D361" s="97" t="s">
        <v>686</v>
      </c>
      <c r="E361" s="97" t="s">
        <v>662</v>
      </c>
      <c r="F361" s="94" t="s">
        <v>687</v>
      </c>
      <c r="G361" s="97">
        <v>4</v>
      </c>
      <c r="H361" s="98" t="s">
        <v>743</v>
      </c>
      <c r="I361" s="99" t="str">
        <f t="shared" si="5"/>
        <v>흑산도|4</v>
      </c>
      <c r="J361" s="100">
        <v>0</v>
      </c>
      <c r="K361" s="100">
        <v>0</v>
      </c>
      <c r="L361" s="100">
        <v>0</v>
      </c>
      <c r="M361" s="100">
        <v>0</v>
      </c>
      <c r="N361" s="100">
        <v>0</v>
      </c>
      <c r="O361" s="100">
        <v>0</v>
      </c>
      <c r="P361" s="100">
        <v>0</v>
      </c>
      <c r="Q361" s="100">
        <v>0.2</v>
      </c>
      <c r="R361" s="100">
        <v>0.1</v>
      </c>
      <c r="S361" s="100">
        <v>0</v>
      </c>
      <c r="T361" s="100">
        <v>0</v>
      </c>
      <c r="U361" s="100">
        <v>0</v>
      </c>
    </row>
    <row r="362" spans="4:21">
      <c r="D362" s="97" t="s">
        <v>688</v>
      </c>
      <c r="E362" s="97" t="s">
        <v>689</v>
      </c>
      <c r="F362" s="94" t="s">
        <v>690</v>
      </c>
      <c r="G362" s="97">
        <v>4</v>
      </c>
      <c r="H362" s="98" t="s">
        <v>743</v>
      </c>
      <c r="I362" s="99" t="str">
        <f t="shared" si="5"/>
        <v>고창|4</v>
      </c>
      <c r="J362" s="100">
        <v>0</v>
      </c>
      <c r="K362" s="100">
        <v>0</v>
      </c>
      <c r="L362" s="100">
        <v>0</v>
      </c>
      <c r="M362" s="100">
        <v>0</v>
      </c>
      <c r="N362" s="100">
        <v>0</v>
      </c>
      <c r="O362" s="100">
        <v>0.1</v>
      </c>
      <c r="P362" s="100">
        <v>0.5</v>
      </c>
      <c r="Q362" s="100">
        <v>1.5</v>
      </c>
      <c r="R362" s="100">
        <v>0.4</v>
      </c>
      <c r="S362" s="100">
        <v>0</v>
      </c>
      <c r="T362" s="100">
        <v>0</v>
      </c>
      <c r="U362" s="100">
        <v>0</v>
      </c>
    </row>
    <row r="363" spans="4:21">
      <c r="D363" s="97" t="s">
        <v>691</v>
      </c>
      <c r="E363" s="97" t="s">
        <v>689</v>
      </c>
      <c r="F363" s="94" t="s">
        <v>692</v>
      </c>
      <c r="G363" s="97">
        <v>4</v>
      </c>
      <c r="H363" s="98" t="s">
        <v>743</v>
      </c>
      <c r="I363" s="99" t="str">
        <f t="shared" si="5"/>
        <v>고창군|4</v>
      </c>
      <c r="J363" s="100">
        <v>0</v>
      </c>
      <c r="K363" s="100">
        <v>0</v>
      </c>
      <c r="L363" s="100">
        <v>0</v>
      </c>
      <c r="M363" s="100">
        <v>0</v>
      </c>
      <c r="N363" s="100">
        <v>0</v>
      </c>
      <c r="O363" s="100">
        <v>0.1</v>
      </c>
      <c r="P363" s="100">
        <v>1.3</v>
      </c>
      <c r="Q363" s="100">
        <v>3.9</v>
      </c>
      <c r="R363" s="100">
        <v>0.7</v>
      </c>
      <c r="S363" s="100">
        <v>0</v>
      </c>
      <c r="T363" s="100">
        <v>0</v>
      </c>
      <c r="U363" s="100">
        <v>0</v>
      </c>
    </row>
    <row r="364" spans="4:21">
      <c r="D364" s="97" t="s">
        <v>693</v>
      </c>
      <c r="E364" s="97" t="s">
        <v>689</v>
      </c>
      <c r="F364" s="94" t="s">
        <v>694</v>
      </c>
      <c r="G364" s="97">
        <v>4</v>
      </c>
      <c r="H364" s="98" t="s">
        <v>743</v>
      </c>
      <c r="I364" s="99" t="str">
        <f t="shared" si="5"/>
        <v>군산|4</v>
      </c>
      <c r="J364" s="100">
        <v>0</v>
      </c>
      <c r="K364" s="100">
        <v>0</v>
      </c>
      <c r="L364" s="100">
        <v>0</v>
      </c>
      <c r="M364" s="100">
        <v>0</v>
      </c>
      <c r="N364" s="100">
        <v>0</v>
      </c>
      <c r="O364" s="100">
        <v>0.1</v>
      </c>
      <c r="P364" s="100">
        <v>0.6</v>
      </c>
      <c r="Q364" s="100">
        <v>1.6</v>
      </c>
      <c r="R364" s="100">
        <v>0.1</v>
      </c>
      <c r="S364" s="100">
        <v>0</v>
      </c>
      <c r="T364" s="100">
        <v>0</v>
      </c>
      <c r="U364" s="100">
        <v>0</v>
      </c>
    </row>
    <row r="365" spans="4:21">
      <c r="D365" s="97" t="s">
        <v>695</v>
      </c>
      <c r="E365" s="97" t="s">
        <v>689</v>
      </c>
      <c r="F365" s="94" t="s">
        <v>696</v>
      </c>
      <c r="G365" s="97">
        <v>4</v>
      </c>
      <c r="H365" s="98" t="s">
        <v>743</v>
      </c>
      <c r="I365" s="99" t="str">
        <f t="shared" si="5"/>
        <v>남원|4</v>
      </c>
      <c r="J365" s="100">
        <v>0</v>
      </c>
      <c r="K365" s="100">
        <v>0</v>
      </c>
      <c r="L365" s="100">
        <v>0</v>
      </c>
      <c r="M365" s="100">
        <v>0</v>
      </c>
      <c r="N365" s="100">
        <v>0</v>
      </c>
      <c r="O365" s="100">
        <v>0.2</v>
      </c>
      <c r="P365" s="100">
        <v>1.2</v>
      </c>
      <c r="Q365" s="100">
        <v>3.7</v>
      </c>
      <c r="R365" s="100">
        <v>0.2</v>
      </c>
      <c r="S365" s="100">
        <v>0</v>
      </c>
      <c r="T365" s="100">
        <v>0</v>
      </c>
      <c r="U365" s="100">
        <v>0</v>
      </c>
    </row>
    <row r="366" spans="4:21">
      <c r="D366" s="97" t="s">
        <v>697</v>
      </c>
      <c r="E366" s="97" t="s">
        <v>689</v>
      </c>
      <c r="F366" s="94" t="s">
        <v>698</v>
      </c>
      <c r="G366" s="97">
        <v>4</v>
      </c>
      <c r="H366" s="98" t="s">
        <v>743</v>
      </c>
      <c r="I366" s="99" t="str">
        <f t="shared" si="5"/>
        <v>부안|4</v>
      </c>
      <c r="J366" s="100">
        <v>0</v>
      </c>
      <c r="K366" s="100">
        <v>0</v>
      </c>
      <c r="L366" s="100">
        <v>0</v>
      </c>
      <c r="M366" s="100">
        <v>0</v>
      </c>
      <c r="N366" s="100">
        <v>0</v>
      </c>
      <c r="O366" s="100">
        <v>0.1</v>
      </c>
      <c r="P366" s="100">
        <v>1</v>
      </c>
      <c r="Q366" s="100">
        <v>2.4</v>
      </c>
      <c r="R366" s="100">
        <v>0.2</v>
      </c>
      <c r="S366" s="100">
        <v>0</v>
      </c>
      <c r="T366" s="100">
        <v>0</v>
      </c>
      <c r="U366" s="100">
        <v>0</v>
      </c>
    </row>
    <row r="367" spans="4:21">
      <c r="D367" s="97" t="s">
        <v>699</v>
      </c>
      <c r="E367" s="97" t="s">
        <v>689</v>
      </c>
      <c r="F367" s="94" t="s">
        <v>700</v>
      </c>
      <c r="G367" s="97">
        <v>4</v>
      </c>
      <c r="H367" s="98" t="s">
        <v>743</v>
      </c>
      <c r="I367" s="99" t="str">
        <f t="shared" si="5"/>
        <v>순창군|4</v>
      </c>
      <c r="J367" s="100">
        <v>0</v>
      </c>
      <c r="K367" s="100">
        <v>0</v>
      </c>
      <c r="L367" s="100">
        <v>0</v>
      </c>
      <c r="M367" s="100">
        <v>0</v>
      </c>
      <c r="N367" s="100">
        <v>0</v>
      </c>
      <c r="O367" s="100">
        <v>0.2</v>
      </c>
      <c r="P367" s="100">
        <v>1.8</v>
      </c>
      <c r="Q367" s="100">
        <v>4.5999999999999996</v>
      </c>
      <c r="R367" s="100">
        <v>0.7</v>
      </c>
      <c r="S367" s="100">
        <v>0</v>
      </c>
      <c r="T367" s="100">
        <v>0</v>
      </c>
      <c r="U367" s="100">
        <v>0</v>
      </c>
    </row>
    <row r="368" spans="4:21">
      <c r="D368" s="97" t="s">
        <v>701</v>
      </c>
      <c r="E368" s="97" t="s">
        <v>689</v>
      </c>
      <c r="F368" s="94" t="s">
        <v>702</v>
      </c>
      <c r="G368" s="97">
        <v>4</v>
      </c>
      <c r="H368" s="98" t="s">
        <v>743</v>
      </c>
      <c r="I368" s="99" t="str">
        <f t="shared" si="5"/>
        <v>임실|4</v>
      </c>
      <c r="J368" s="100">
        <v>0</v>
      </c>
      <c r="K368" s="100">
        <v>0</v>
      </c>
      <c r="L368" s="100">
        <v>0</v>
      </c>
      <c r="M368" s="100">
        <v>0</v>
      </c>
      <c r="N368" s="100">
        <v>0</v>
      </c>
      <c r="O368" s="100">
        <v>0</v>
      </c>
      <c r="P368" s="100">
        <v>1.1000000000000001</v>
      </c>
      <c r="Q368" s="100">
        <v>2.7</v>
      </c>
      <c r="R368" s="100">
        <v>0</v>
      </c>
      <c r="S368" s="100">
        <v>0</v>
      </c>
      <c r="T368" s="100">
        <v>0</v>
      </c>
      <c r="U368" s="100">
        <v>0</v>
      </c>
    </row>
    <row r="369" spans="4:21">
      <c r="D369" s="97" t="s">
        <v>703</v>
      </c>
      <c r="E369" s="97" t="s">
        <v>689</v>
      </c>
      <c r="F369" s="94" t="s">
        <v>704</v>
      </c>
      <c r="G369" s="97">
        <v>4</v>
      </c>
      <c r="H369" s="98" t="s">
        <v>743</v>
      </c>
      <c r="I369" s="99" t="str">
        <f t="shared" si="5"/>
        <v>장수|4</v>
      </c>
      <c r="J369" s="100">
        <v>0</v>
      </c>
      <c r="K369" s="100">
        <v>0</v>
      </c>
      <c r="L369" s="100">
        <v>0</v>
      </c>
      <c r="M369" s="100">
        <v>0</v>
      </c>
      <c r="N369" s="100">
        <v>0</v>
      </c>
      <c r="O369" s="100">
        <v>0</v>
      </c>
      <c r="P369" s="100">
        <v>0.2</v>
      </c>
      <c r="Q369" s="100">
        <v>0.5</v>
      </c>
      <c r="R369" s="100">
        <v>0</v>
      </c>
      <c r="S369" s="100">
        <v>0</v>
      </c>
      <c r="T369" s="100">
        <v>0</v>
      </c>
      <c r="U369" s="100">
        <v>0</v>
      </c>
    </row>
    <row r="370" spans="4:21">
      <c r="D370" s="97" t="s">
        <v>705</v>
      </c>
      <c r="E370" s="97" t="s">
        <v>689</v>
      </c>
      <c r="F370" s="94" t="s">
        <v>706</v>
      </c>
      <c r="G370" s="97">
        <v>4</v>
      </c>
      <c r="H370" s="98" t="s">
        <v>743</v>
      </c>
      <c r="I370" s="99" t="str">
        <f t="shared" si="5"/>
        <v>전주|4</v>
      </c>
      <c r="J370" s="100">
        <v>0</v>
      </c>
      <c r="K370" s="100">
        <v>0</v>
      </c>
      <c r="L370" s="100">
        <v>0</v>
      </c>
      <c r="M370" s="100">
        <v>0</v>
      </c>
      <c r="N370" s="100">
        <v>0</v>
      </c>
      <c r="O370" s="100">
        <v>0.3</v>
      </c>
      <c r="P370" s="100">
        <v>1.3</v>
      </c>
      <c r="Q370" s="100">
        <v>3.2</v>
      </c>
      <c r="R370" s="100">
        <v>0.5</v>
      </c>
      <c r="S370" s="100">
        <v>0</v>
      </c>
      <c r="T370" s="100">
        <v>0</v>
      </c>
      <c r="U370" s="100">
        <v>0</v>
      </c>
    </row>
    <row r="371" spans="4:21">
      <c r="D371" s="97" t="s">
        <v>707</v>
      </c>
      <c r="E371" s="97" t="s">
        <v>689</v>
      </c>
      <c r="F371" s="94" t="s">
        <v>708</v>
      </c>
      <c r="G371" s="97">
        <v>4</v>
      </c>
      <c r="H371" s="98" t="s">
        <v>743</v>
      </c>
      <c r="I371" s="99" t="str">
        <f t="shared" si="5"/>
        <v>정읍|4</v>
      </c>
      <c r="J371" s="100">
        <v>0</v>
      </c>
      <c r="K371" s="100">
        <v>0</v>
      </c>
      <c r="L371" s="100">
        <v>0</v>
      </c>
      <c r="M371" s="100">
        <v>0</v>
      </c>
      <c r="N371" s="100">
        <v>0</v>
      </c>
      <c r="O371" s="100">
        <v>0.1</v>
      </c>
      <c r="P371" s="100">
        <v>1.4</v>
      </c>
      <c r="Q371" s="100">
        <v>5</v>
      </c>
      <c r="R371" s="100">
        <v>0.7</v>
      </c>
      <c r="S371" s="100">
        <v>0</v>
      </c>
      <c r="T371" s="100">
        <v>0</v>
      </c>
      <c r="U371" s="100">
        <v>0</v>
      </c>
    </row>
    <row r="372" spans="4:21">
      <c r="D372" s="97" t="s">
        <v>709</v>
      </c>
      <c r="E372" s="97" t="s">
        <v>710</v>
      </c>
      <c r="F372" s="94" t="s">
        <v>711</v>
      </c>
      <c r="G372" s="97">
        <v>4</v>
      </c>
      <c r="H372" s="98" t="s">
        <v>743</v>
      </c>
      <c r="I372" s="99" t="str">
        <f t="shared" si="5"/>
        <v>고산|4</v>
      </c>
      <c r="J372" s="100">
        <v>0</v>
      </c>
      <c r="K372" s="100">
        <v>0</v>
      </c>
      <c r="L372" s="100">
        <v>0</v>
      </c>
      <c r="M372" s="100">
        <v>0</v>
      </c>
      <c r="N372" s="100">
        <v>0</v>
      </c>
      <c r="O372" s="100">
        <v>0</v>
      </c>
      <c r="P372" s="100">
        <v>0</v>
      </c>
      <c r="Q372" s="100">
        <v>0.2</v>
      </c>
      <c r="R372" s="100">
        <v>0</v>
      </c>
      <c r="S372" s="100">
        <v>0</v>
      </c>
      <c r="T372" s="100">
        <v>0</v>
      </c>
      <c r="U372" s="100">
        <v>0</v>
      </c>
    </row>
    <row r="373" spans="4:21">
      <c r="D373" s="97" t="s">
        <v>712</v>
      </c>
      <c r="E373" s="97" t="s">
        <v>710</v>
      </c>
      <c r="F373" s="94" t="s">
        <v>713</v>
      </c>
      <c r="G373" s="97">
        <v>4</v>
      </c>
      <c r="H373" s="98" t="s">
        <v>743</v>
      </c>
      <c r="I373" s="99" t="str">
        <f t="shared" si="5"/>
        <v>서귀포|4</v>
      </c>
      <c r="J373" s="100">
        <v>0</v>
      </c>
      <c r="K373" s="100">
        <v>0</v>
      </c>
      <c r="L373" s="100">
        <v>0</v>
      </c>
      <c r="M373" s="100">
        <v>0</v>
      </c>
      <c r="N373" s="100">
        <v>0</v>
      </c>
      <c r="O373" s="100">
        <v>0</v>
      </c>
      <c r="P373" s="100">
        <v>0.1</v>
      </c>
      <c r="Q373" s="100">
        <v>0.2</v>
      </c>
      <c r="R373" s="100">
        <v>0</v>
      </c>
      <c r="S373" s="100">
        <v>0</v>
      </c>
      <c r="T373" s="100">
        <v>0</v>
      </c>
      <c r="U373" s="100">
        <v>0</v>
      </c>
    </row>
    <row r="374" spans="4:21">
      <c r="D374" s="97" t="s">
        <v>714</v>
      </c>
      <c r="E374" s="97" t="s">
        <v>710</v>
      </c>
      <c r="F374" s="94" t="s">
        <v>715</v>
      </c>
      <c r="G374" s="97">
        <v>4</v>
      </c>
      <c r="H374" s="98" t="s">
        <v>743</v>
      </c>
      <c r="I374" s="99" t="str">
        <f t="shared" si="5"/>
        <v>성산|4</v>
      </c>
      <c r="J374" s="100">
        <v>0</v>
      </c>
      <c r="K374" s="100">
        <v>0</v>
      </c>
      <c r="L374" s="100">
        <v>0</v>
      </c>
      <c r="M374" s="100">
        <v>0</v>
      </c>
      <c r="N374" s="100">
        <v>0</v>
      </c>
      <c r="O374" s="100">
        <v>0</v>
      </c>
      <c r="P374" s="100">
        <v>0</v>
      </c>
      <c r="Q374" s="100">
        <v>0.1</v>
      </c>
      <c r="R374" s="100">
        <v>0</v>
      </c>
      <c r="S374" s="100">
        <v>0</v>
      </c>
      <c r="T374" s="100">
        <v>0</v>
      </c>
      <c r="U374" s="100">
        <v>0</v>
      </c>
    </row>
    <row r="375" spans="4:21">
      <c r="D375" s="97" t="s">
        <v>716</v>
      </c>
      <c r="E375" s="97" t="s">
        <v>710</v>
      </c>
      <c r="F375" s="94" t="s">
        <v>717</v>
      </c>
      <c r="G375" s="97">
        <v>4</v>
      </c>
      <c r="H375" s="98" t="s">
        <v>743</v>
      </c>
      <c r="I375" s="99" t="str">
        <f t="shared" si="5"/>
        <v>제주|4</v>
      </c>
      <c r="J375" s="100">
        <v>0</v>
      </c>
      <c r="K375" s="100">
        <v>0</v>
      </c>
      <c r="L375" s="100">
        <v>0</v>
      </c>
      <c r="M375" s="100">
        <v>0</v>
      </c>
      <c r="N375" s="100">
        <v>0</v>
      </c>
      <c r="O375" s="100">
        <v>0</v>
      </c>
      <c r="P375" s="100">
        <v>1.5</v>
      </c>
      <c r="Q375" s="100">
        <v>1.8</v>
      </c>
      <c r="R375" s="100">
        <v>0.2</v>
      </c>
      <c r="S375" s="100">
        <v>0</v>
      </c>
      <c r="T375" s="100">
        <v>0</v>
      </c>
      <c r="U375" s="100">
        <v>0</v>
      </c>
    </row>
    <row r="376" spans="4:21">
      <c r="D376" s="97" t="s">
        <v>718</v>
      </c>
      <c r="E376" s="97" t="s">
        <v>719</v>
      </c>
      <c r="F376" s="94" t="s">
        <v>720</v>
      </c>
      <c r="G376" s="97">
        <v>4</v>
      </c>
      <c r="H376" s="98" t="s">
        <v>743</v>
      </c>
      <c r="I376" s="99" t="str">
        <f t="shared" si="5"/>
        <v>금산|4</v>
      </c>
      <c r="J376" s="100">
        <v>0</v>
      </c>
      <c r="K376" s="100">
        <v>0</v>
      </c>
      <c r="L376" s="100">
        <v>0</v>
      </c>
      <c r="M376" s="100">
        <v>0</v>
      </c>
      <c r="N376" s="100">
        <v>0</v>
      </c>
      <c r="O376" s="100">
        <v>0.1</v>
      </c>
      <c r="P376" s="100">
        <v>1.1000000000000001</v>
      </c>
      <c r="Q376" s="100">
        <v>4</v>
      </c>
      <c r="R376" s="100">
        <v>0.2</v>
      </c>
      <c r="S376" s="100">
        <v>0</v>
      </c>
      <c r="T376" s="100">
        <v>0</v>
      </c>
      <c r="U376" s="100">
        <v>0</v>
      </c>
    </row>
    <row r="377" spans="4:21">
      <c r="D377" s="97" t="s">
        <v>721</v>
      </c>
      <c r="E377" s="97" t="s">
        <v>719</v>
      </c>
      <c r="F377" s="94" t="s">
        <v>722</v>
      </c>
      <c r="G377" s="97">
        <v>4</v>
      </c>
      <c r="H377" s="98" t="s">
        <v>743</v>
      </c>
      <c r="I377" s="99" t="str">
        <f t="shared" si="5"/>
        <v>보령|4</v>
      </c>
      <c r="J377" s="100">
        <v>0</v>
      </c>
      <c r="K377" s="100">
        <v>0</v>
      </c>
      <c r="L377" s="100">
        <v>0</v>
      </c>
      <c r="M377" s="100">
        <v>0</v>
      </c>
      <c r="N377" s="100">
        <v>0</v>
      </c>
      <c r="O377" s="100">
        <v>0</v>
      </c>
      <c r="P377" s="100">
        <v>0.3</v>
      </c>
      <c r="Q377" s="100">
        <v>1.5</v>
      </c>
      <c r="R377" s="100">
        <v>0.2</v>
      </c>
      <c r="S377" s="100">
        <v>0</v>
      </c>
      <c r="T377" s="100">
        <v>0</v>
      </c>
      <c r="U377" s="100">
        <v>0</v>
      </c>
    </row>
    <row r="378" spans="4:21">
      <c r="D378" s="97" t="s">
        <v>723</v>
      </c>
      <c r="E378" s="97" t="s">
        <v>719</v>
      </c>
      <c r="F378" s="94" t="s">
        <v>724</v>
      </c>
      <c r="G378" s="97">
        <v>4</v>
      </c>
      <c r="H378" s="98" t="s">
        <v>743</v>
      </c>
      <c r="I378" s="99" t="str">
        <f t="shared" si="5"/>
        <v>부여|4</v>
      </c>
      <c r="J378" s="100">
        <v>0</v>
      </c>
      <c r="K378" s="100">
        <v>0</v>
      </c>
      <c r="L378" s="100">
        <v>0</v>
      </c>
      <c r="M378" s="100">
        <v>0</v>
      </c>
      <c r="N378" s="100">
        <v>0</v>
      </c>
      <c r="O378" s="100">
        <v>0.1</v>
      </c>
      <c r="P378" s="100">
        <v>1.1000000000000001</v>
      </c>
      <c r="Q378" s="100">
        <v>4.4000000000000004</v>
      </c>
      <c r="R378" s="100">
        <v>0.3</v>
      </c>
      <c r="S378" s="100">
        <v>0</v>
      </c>
      <c r="T378" s="100">
        <v>0</v>
      </c>
      <c r="U378" s="100">
        <v>0</v>
      </c>
    </row>
    <row r="379" spans="4:21">
      <c r="D379" s="97" t="s">
        <v>91</v>
      </c>
      <c r="E379" s="97" t="s">
        <v>719</v>
      </c>
      <c r="F379" s="94" t="s">
        <v>725</v>
      </c>
      <c r="G379" s="97">
        <v>4</v>
      </c>
      <c r="H379" s="98" t="s">
        <v>743</v>
      </c>
      <c r="I379" s="99" t="str">
        <f t="shared" si="5"/>
        <v>서산|4</v>
      </c>
      <c r="J379" s="100">
        <v>0</v>
      </c>
      <c r="K379" s="100">
        <v>0</v>
      </c>
      <c r="L379" s="100">
        <v>0</v>
      </c>
      <c r="M379" s="100">
        <v>0</v>
      </c>
      <c r="N379" s="100">
        <v>0</v>
      </c>
      <c r="O379" s="100">
        <v>0.1</v>
      </c>
      <c r="P379" s="100">
        <v>1</v>
      </c>
      <c r="Q379" s="100">
        <v>1.5</v>
      </c>
      <c r="R379" s="100">
        <v>0</v>
      </c>
      <c r="S379" s="100">
        <v>0</v>
      </c>
      <c r="T379" s="100">
        <v>0</v>
      </c>
      <c r="U379" s="100">
        <v>0</v>
      </c>
    </row>
    <row r="380" spans="4:21">
      <c r="D380" s="97" t="s">
        <v>726</v>
      </c>
      <c r="E380" s="97" t="s">
        <v>719</v>
      </c>
      <c r="F380" s="94" t="s">
        <v>727</v>
      </c>
      <c r="G380" s="97">
        <v>4</v>
      </c>
      <c r="H380" s="98" t="s">
        <v>743</v>
      </c>
      <c r="I380" s="99" t="str">
        <f t="shared" si="5"/>
        <v>천안|4</v>
      </c>
      <c r="J380" s="100">
        <v>0</v>
      </c>
      <c r="K380" s="100">
        <v>0</v>
      </c>
      <c r="L380" s="100">
        <v>0</v>
      </c>
      <c r="M380" s="100">
        <v>0</v>
      </c>
      <c r="N380" s="100">
        <v>0</v>
      </c>
      <c r="O380" s="100">
        <v>0</v>
      </c>
      <c r="P380" s="100">
        <v>0.6</v>
      </c>
      <c r="Q380" s="100">
        <v>1.3</v>
      </c>
      <c r="R380" s="100">
        <v>0</v>
      </c>
      <c r="S380" s="100">
        <v>0</v>
      </c>
      <c r="T380" s="100">
        <v>0</v>
      </c>
      <c r="U380" s="100">
        <v>0</v>
      </c>
    </row>
    <row r="381" spans="4:21">
      <c r="D381" s="97" t="s">
        <v>728</v>
      </c>
      <c r="E381" s="97" t="s">
        <v>719</v>
      </c>
      <c r="F381" s="94" t="s">
        <v>729</v>
      </c>
      <c r="G381" s="97">
        <v>4</v>
      </c>
      <c r="H381" s="98" t="s">
        <v>743</v>
      </c>
      <c r="I381" s="99" t="str">
        <f t="shared" si="5"/>
        <v>홍성|4</v>
      </c>
      <c r="J381" s="100">
        <v>0</v>
      </c>
      <c r="K381" s="100">
        <v>0</v>
      </c>
      <c r="L381" s="100">
        <v>0</v>
      </c>
      <c r="M381" s="100">
        <v>0</v>
      </c>
      <c r="N381" s="100">
        <v>0</v>
      </c>
      <c r="O381" s="100">
        <v>0</v>
      </c>
      <c r="P381" s="100">
        <v>0.4</v>
      </c>
      <c r="Q381" s="100">
        <v>1.2</v>
      </c>
      <c r="R381" s="100">
        <v>0</v>
      </c>
      <c r="S381" s="100">
        <v>0</v>
      </c>
      <c r="T381" s="100">
        <v>0</v>
      </c>
      <c r="U381" s="100">
        <v>0</v>
      </c>
    </row>
    <row r="382" spans="4:21">
      <c r="D382" s="97" t="s">
        <v>730</v>
      </c>
      <c r="E382" s="97" t="s">
        <v>731</v>
      </c>
      <c r="F382" s="94" t="s">
        <v>732</v>
      </c>
      <c r="G382" s="97">
        <v>4</v>
      </c>
      <c r="H382" s="98" t="s">
        <v>743</v>
      </c>
      <c r="I382" s="99" t="str">
        <f t="shared" si="5"/>
        <v>보은|4</v>
      </c>
      <c r="J382" s="100">
        <v>0</v>
      </c>
      <c r="K382" s="100">
        <v>0</v>
      </c>
      <c r="L382" s="100">
        <v>0</v>
      </c>
      <c r="M382" s="100">
        <v>0</v>
      </c>
      <c r="N382" s="100">
        <v>0</v>
      </c>
      <c r="O382" s="100">
        <v>0</v>
      </c>
      <c r="P382" s="100">
        <v>0.9</v>
      </c>
      <c r="Q382" s="100">
        <v>2</v>
      </c>
      <c r="R382" s="100">
        <v>0</v>
      </c>
      <c r="S382" s="100">
        <v>0</v>
      </c>
      <c r="T382" s="100">
        <v>0</v>
      </c>
      <c r="U382" s="100">
        <v>0</v>
      </c>
    </row>
    <row r="383" spans="4:21">
      <c r="D383" s="97" t="s">
        <v>733</v>
      </c>
      <c r="E383" s="97" t="s">
        <v>731</v>
      </c>
      <c r="F383" s="94" t="s">
        <v>734</v>
      </c>
      <c r="G383" s="97">
        <v>4</v>
      </c>
      <c r="H383" s="98" t="s">
        <v>743</v>
      </c>
      <c r="I383" s="99" t="str">
        <f t="shared" si="5"/>
        <v>제천|4</v>
      </c>
      <c r="J383" s="100">
        <v>0</v>
      </c>
      <c r="K383" s="100">
        <v>0</v>
      </c>
      <c r="L383" s="100">
        <v>0</v>
      </c>
      <c r="M383" s="100">
        <v>0</v>
      </c>
      <c r="N383" s="100">
        <v>0</v>
      </c>
      <c r="O383" s="100">
        <v>0</v>
      </c>
      <c r="P383" s="100">
        <v>0.9</v>
      </c>
      <c r="Q383" s="100">
        <v>2.5</v>
      </c>
      <c r="R383" s="100">
        <v>0</v>
      </c>
      <c r="S383" s="100">
        <v>0</v>
      </c>
      <c r="T383" s="100">
        <v>0</v>
      </c>
      <c r="U383" s="100">
        <v>0</v>
      </c>
    </row>
    <row r="384" spans="4:21">
      <c r="D384" s="97" t="s">
        <v>735</v>
      </c>
      <c r="E384" s="97" t="s">
        <v>731</v>
      </c>
      <c r="F384" s="94" t="s">
        <v>736</v>
      </c>
      <c r="G384" s="97">
        <v>4</v>
      </c>
      <c r="H384" s="98" t="s">
        <v>743</v>
      </c>
      <c r="I384" s="99" t="str">
        <f t="shared" si="5"/>
        <v>청주|4</v>
      </c>
      <c r="J384" s="100">
        <v>0</v>
      </c>
      <c r="K384" s="100">
        <v>0</v>
      </c>
      <c r="L384" s="100">
        <v>0</v>
      </c>
      <c r="M384" s="100">
        <v>0</v>
      </c>
      <c r="N384" s="100">
        <v>0</v>
      </c>
      <c r="O384" s="100">
        <v>0.2</v>
      </c>
      <c r="P384" s="100">
        <v>3.4</v>
      </c>
      <c r="Q384" s="100">
        <v>5.5</v>
      </c>
      <c r="R384" s="100">
        <v>0.2</v>
      </c>
      <c r="S384" s="100">
        <v>0</v>
      </c>
      <c r="T384" s="100">
        <v>0</v>
      </c>
      <c r="U384" s="100">
        <v>0</v>
      </c>
    </row>
    <row r="385" spans="4:21">
      <c r="D385" s="97" t="s">
        <v>737</v>
      </c>
      <c r="E385" s="97" t="s">
        <v>731</v>
      </c>
      <c r="F385" s="94" t="s">
        <v>738</v>
      </c>
      <c r="G385" s="97">
        <v>4</v>
      </c>
      <c r="H385" s="98" t="s">
        <v>743</v>
      </c>
      <c r="I385" s="99" t="str">
        <f t="shared" si="5"/>
        <v>추풍령|4</v>
      </c>
      <c r="J385" s="100">
        <v>0</v>
      </c>
      <c r="K385" s="100">
        <v>0</v>
      </c>
      <c r="L385" s="100">
        <v>0</v>
      </c>
      <c r="M385" s="100">
        <v>0</v>
      </c>
      <c r="N385" s="100">
        <v>0</v>
      </c>
      <c r="O385" s="100">
        <v>0</v>
      </c>
      <c r="P385" s="100">
        <v>0.5</v>
      </c>
      <c r="Q385" s="100">
        <v>1.3</v>
      </c>
      <c r="R385" s="100">
        <v>0</v>
      </c>
      <c r="S385" s="100">
        <v>0</v>
      </c>
      <c r="T385" s="100">
        <v>0</v>
      </c>
      <c r="U385" s="100">
        <v>0</v>
      </c>
    </row>
    <row r="386" spans="4:21">
      <c r="D386" s="97" t="s">
        <v>739</v>
      </c>
      <c r="E386" s="97" t="s">
        <v>731</v>
      </c>
      <c r="F386" s="94" t="s">
        <v>740</v>
      </c>
      <c r="G386" s="97">
        <v>4</v>
      </c>
      <c r="H386" s="98" t="s">
        <v>743</v>
      </c>
      <c r="I386" s="99" t="str">
        <f t="shared" si="5"/>
        <v>충주|4</v>
      </c>
      <c r="J386" s="100">
        <v>0</v>
      </c>
      <c r="K386" s="100">
        <v>0</v>
      </c>
      <c r="L386" s="100">
        <v>0</v>
      </c>
      <c r="M386" s="100">
        <v>0</v>
      </c>
      <c r="N386" s="100">
        <v>0</v>
      </c>
      <c r="O386" s="100">
        <v>0</v>
      </c>
      <c r="P386" s="100">
        <v>1.2</v>
      </c>
      <c r="Q386" s="100">
        <v>3.1</v>
      </c>
      <c r="R386" s="100">
        <v>0.1</v>
      </c>
      <c r="S386" s="100">
        <v>0</v>
      </c>
      <c r="T386" s="100">
        <v>0</v>
      </c>
      <c r="U386" s="100">
        <v>0</v>
      </c>
    </row>
    <row r="387" spans="4:21">
      <c r="D387" s="97" t="s">
        <v>535</v>
      </c>
      <c r="E387" s="97" t="s">
        <v>536</v>
      </c>
      <c r="F387" s="94" t="s">
        <v>537</v>
      </c>
      <c r="G387" s="97">
        <v>5</v>
      </c>
      <c r="H387" s="98" t="s">
        <v>744</v>
      </c>
      <c r="I387" s="99" t="str">
        <f t="shared" si="5"/>
        <v>강릉|5</v>
      </c>
      <c r="J387" s="100">
        <v>1.9</v>
      </c>
      <c r="K387" s="100">
        <v>0.7</v>
      </c>
      <c r="L387" s="100">
        <v>0</v>
      </c>
      <c r="M387" s="100">
        <v>0</v>
      </c>
      <c r="N387" s="100">
        <v>0</v>
      </c>
      <c r="O387" s="100">
        <v>0</v>
      </c>
      <c r="P387" s="100">
        <v>0</v>
      </c>
      <c r="Q387" s="100">
        <v>0</v>
      </c>
      <c r="R387" s="100">
        <v>0</v>
      </c>
      <c r="S387" s="100">
        <v>0</v>
      </c>
      <c r="T387" s="100">
        <v>0</v>
      </c>
      <c r="U387" s="100">
        <v>1.1000000000000001</v>
      </c>
    </row>
    <row r="388" spans="4:21">
      <c r="D388" s="97" t="s">
        <v>539</v>
      </c>
      <c r="E388" s="97" t="s">
        <v>536</v>
      </c>
      <c r="F388" s="94" t="s">
        <v>540</v>
      </c>
      <c r="G388" s="97">
        <v>5</v>
      </c>
      <c r="H388" s="98" t="s">
        <v>744</v>
      </c>
      <c r="I388" s="99" t="str">
        <f t="shared" si="5"/>
        <v>대관령|5</v>
      </c>
      <c r="J388" s="100">
        <v>17.8</v>
      </c>
      <c r="K388" s="100">
        <v>11.4</v>
      </c>
      <c r="L388" s="100">
        <v>2.1</v>
      </c>
      <c r="M388" s="100">
        <v>0</v>
      </c>
      <c r="N388" s="100">
        <v>0</v>
      </c>
      <c r="O388" s="100">
        <v>0</v>
      </c>
      <c r="P388" s="100">
        <v>0</v>
      </c>
      <c r="Q388" s="100">
        <v>0</v>
      </c>
      <c r="R388" s="100">
        <v>0</v>
      </c>
      <c r="S388" s="100">
        <v>0</v>
      </c>
      <c r="T388" s="100">
        <v>1.9</v>
      </c>
      <c r="U388" s="100">
        <v>13.8</v>
      </c>
    </row>
    <row r="389" spans="4:21">
      <c r="D389" s="97" t="s">
        <v>541</v>
      </c>
      <c r="E389" s="97" t="s">
        <v>536</v>
      </c>
      <c r="F389" s="94" t="s">
        <v>542</v>
      </c>
      <c r="G389" s="97">
        <v>5</v>
      </c>
      <c r="H389" s="98" t="s">
        <v>744</v>
      </c>
      <c r="I389" s="99" t="str">
        <f t="shared" si="5"/>
        <v>동해|5</v>
      </c>
      <c r="J389" s="100">
        <v>1.8</v>
      </c>
      <c r="K389" s="100">
        <v>0.3</v>
      </c>
      <c r="L389" s="100">
        <v>0</v>
      </c>
      <c r="M389" s="100">
        <v>0</v>
      </c>
      <c r="N389" s="100">
        <v>0</v>
      </c>
      <c r="O389" s="100">
        <v>0</v>
      </c>
      <c r="P389" s="100">
        <v>0</v>
      </c>
      <c r="Q389" s="100">
        <v>0</v>
      </c>
      <c r="R389" s="100">
        <v>0</v>
      </c>
      <c r="S389" s="100">
        <v>0</v>
      </c>
      <c r="T389" s="100">
        <v>0</v>
      </c>
      <c r="U389" s="100">
        <v>0.8</v>
      </c>
    </row>
    <row r="390" spans="4:21">
      <c r="D390" s="97" t="s">
        <v>543</v>
      </c>
      <c r="E390" s="97" t="s">
        <v>536</v>
      </c>
      <c r="F390" s="94" t="s">
        <v>544</v>
      </c>
      <c r="G390" s="97">
        <v>5</v>
      </c>
      <c r="H390" s="98" t="s">
        <v>744</v>
      </c>
      <c r="I390" s="99" t="str">
        <f t="shared" si="5"/>
        <v>북강릉|5</v>
      </c>
      <c r="J390" s="100">
        <v>3</v>
      </c>
      <c r="K390" s="100">
        <v>0.8</v>
      </c>
      <c r="L390" s="100">
        <v>0</v>
      </c>
      <c r="M390" s="100">
        <v>0</v>
      </c>
      <c r="N390" s="100">
        <v>0</v>
      </c>
      <c r="O390" s="100">
        <v>0</v>
      </c>
      <c r="P390" s="100">
        <v>0</v>
      </c>
      <c r="Q390" s="100">
        <v>0</v>
      </c>
      <c r="R390" s="100">
        <v>0</v>
      </c>
      <c r="S390" s="100">
        <v>0</v>
      </c>
      <c r="T390" s="100">
        <v>0</v>
      </c>
      <c r="U390" s="100">
        <v>1.4</v>
      </c>
    </row>
    <row r="391" spans="4:21">
      <c r="D391" s="97" t="s">
        <v>545</v>
      </c>
      <c r="E391" s="97" t="s">
        <v>536</v>
      </c>
      <c r="F391" s="94" t="s">
        <v>546</v>
      </c>
      <c r="G391" s="97">
        <v>5</v>
      </c>
      <c r="H391" s="98" t="s">
        <v>744</v>
      </c>
      <c r="I391" s="99" t="str">
        <f t="shared" ref="I391:I454" si="6">$D391&amp;"|"&amp;$G391</f>
        <v>북춘천|5</v>
      </c>
      <c r="J391" s="100">
        <v>8.6</v>
      </c>
      <c r="K391" s="100">
        <v>2.8</v>
      </c>
      <c r="L391" s="100">
        <v>0</v>
      </c>
      <c r="M391" s="100">
        <v>0</v>
      </c>
      <c r="N391" s="100">
        <v>0</v>
      </c>
      <c r="O391" s="100">
        <v>0</v>
      </c>
      <c r="P391" s="100">
        <v>0</v>
      </c>
      <c r="Q391" s="100">
        <v>0</v>
      </c>
      <c r="R391" s="100">
        <v>0</v>
      </c>
      <c r="S391" s="100">
        <v>0</v>
      </c>
      <c r="T391" s="100">
        <v>0.1</v>
      </c>
      <c r="U391" s="100">
        <v>7.9</v>
      </c>
    </row>
    <row r="392" spans="4:21">
      <c r="D392" s="97" t="s">
        <v>547</v>
      </c>
      <c r="E392" s="97" t="s">
        <v>536</v>
      </c>
      <c r="F392" s="94" t="s">
        <v>548</v>
      </c>
      <c r="G392" s="97">
        <v>5</v>
      </c>
      <c r="H392" s="98" t="s">
        <v>744</v>
      </c>
      <c r="I392" s="99" t="str">
        <f t="shared" si="6"/>
        <v>속초|5</v>
      </c>
      <c r="J392" s="100">
        <v>3.9</v>
      </c>
      <c r="K392" s="100">
        <v>1.6</v>
      </c>
      <c r="L392" s="100">
        <v>0</v>
      </c>
      <c r="M392" s="100">
        <v>0</v>
      </c>
      <c r="N392" s="100">
        <v>0</v>
      </c>
      <c r="O392" s="100">
        <v>0</v>
      </c>
      <c r="P392" s="100">
        <v>0</v>
      </c>
      <c r="Q392" s="100">
        <v>0</v>
      </c>
      <c r="R392" s="100">
        <v>0</v>
      </c>
      <c r="S392" s="100">
        <v>0</v>
      </c>
      <c r="T392" s="100">
        <v>0</v>
      </c>
      <c r="U392" s="100">
        <v>2.6</v>
      </c>
    </row>
    <row r="393" spans="4:21">
      <c r="D393" s="97" t="s">
        <v>549</v>
      </c>
      <c r="E393" s="97" t="s">
        <v>536</v>
      </c>
      <c r="F393" s="94" t="s">
        <v>550</v>
      </c>
      <c r="G393" s="97">
        <v>5</v>
      </c>
      <c r="H393" s="98" t="s">
        <v>744</v>
      </c>
      <c r="I393" s="99" t="str">
        <f t="shared" si="6"/>
        <v>영월|5</v>
      </c>
      <c r="J393" s="100">
        <v>5.0999999999999996</v>
      </c>
      <c r="K393" s="100">
        <v>1.9</v>
      </c>
      <c r="L393" s="100">
        <v>0</v>
      </c>
      <c r="M393" s="100">
        <v>0</v>
      </c>
      <c r="N393" s="100">
        <v>0</v>
      </c>
      <c r="O393" s="100">
        <v>0</v>
      </c>
      <c r="P393" s="100">
        <v>0</v>
      </c>
      <c r="Q393" s="100">
        <v>0</v>
      </c>
      <c r="R393" s="100">
        <v>0</v>
      </c>
      <c r="S393" s="100">
        <v>0</v>
      </c>
      <c r="T393" s="100">
        <v>0</v>
      </c>
      <c r="U393" s="100">
        <v>4.5999999999999996</v>
      </c>
    </row>
    <row r="394" spans="4:21">
      <c r="D394" s="97" t="s">
        <v>551</v>
      </c>
      <c r="E394" s="97" t="s">
        <v>536</v>
      </c>
      <c r="F394" s="94" t="s">
        <v>552</v>
      </c>
      <c r="G394" s="97">
        <v>5</v>
      </c>
      <c r="H394" s="98" t="s">
        <v>744</v>
      </c>
      <c r="I394" s="99" t="str">
        <f t="shared" si="6"/>
        <v>원주|5</v>
      </c>
      <c r="J394" s="100">
        <v>6.9</v>
      </c>
      <c r="K394" s="100">
        <v>2.2999999999999998</v>
      </c>
      <c r="L394" s="100">
        <v>0</v>
      </c>
      <c r="M394" s="100">
        <v>0</v>
      </c>
      <c r="N394" s="100">
        <v>0</v>
      </c>
      <c r="O394" s="100">
        <v>0</v>
      </c>
      <c r="P394" s="100">
        <v>0</v>
      </c>
      <c r="Q394" s="100">
        <v>0</v>
      </c>
      <c r="R394" s="100">
        <v>0</v>
      </c>
      <c r="S394" s="100">
        <v>0</v>
      </c>
      <c r="T394" s="100">
        <v>0</v>
      </c>
      <c r="U394" s="100">
        <v>5.4</v>
      </c>
    </row>
    <row r="395" spans="4:21">
      <c r="D395" s="97" t="s">
        <v>553</v>
      </c>
      <c r="E395" s="97" t="s">
        <v>536</v>
      </c>
      <c r="F395" s="94" t="s">
        <v>554</v>
      </c>
      <c r="G395" s="97">
        <v>5</v>
      </c>
      <c r="H395" s="98" t="s">
        <v>744</v>
      </c>
      <c r="I395" s="99" t="str">
        <f t="shared" si="6"/>
        <v>인제|5</v>
      </c>
      <c r="J395" s="100">
        <v>7.8</v>
      </c>
      <c r="K395" s="100">
        <v>2.9</v>
      </c>
      <c r="L395" s="100">
        <v>0</v>
      </c>
      <c r="M395" s="100">
        <v>0</v>
      </c>
      <c r="N395" s="100">
        <v>0</v>
      </c>
      <c r="O395" s="100">
        <v>0</v>
      </c>
      <c r="P395" s="100">
        <v>0</v>
      </c>
      <c r="Q395" s="100">
        <v>0</v>
      </c>
      <c r="R395" s="100">
        <v>0</v>
      </c>
      <c r="S395" s="100">
        <v>0</v>
      </c>
      <c r="T395" s="100">
        <v>0.2</v>
      </c>
      <c r="U395" s="100">
        <v>6.1</v>
      </c>
    </row>
    <row r="396" spans="4:21">
      <c r="D396" s="97" t="s">
        <v>555</v>
      </c>
      <c r="E396" s="97" t="s">
        <v>536</v>
      </c>
      <c r="F396" s="94" t="s">
        <v>556</v>
      </c>
      <c r="G396" s="97">
        <v>5</v>
      </c>
      <c r="H396" s="98" t="s">
        <v>744</v>
      </c>
      <c r="I396" s="99" t="str">
        <f t="shared" si="6"/>
        <v>정선군|5</v>
      </c>
      <c r="J396" s="100">
        <v>7.4</v>
      </c>
      <c r="K396" s="100">
        <v>2.7</v>
      </c>
      <c r="L396" s="100">
        <v>0.2</v>
      </c>
      <c r="M396" s="100">
        <v>0</v>
      </c>
      <c r="N396" s="100">
        <v>0</v>
      </c>
      <c r="O396" s="100">
        <v>0</v>
      </c>
      <c r="P396" s="100">
        <v>0</v>
      </c>
      <c r="Q396" s="100">
        <v>0</v>
      </c>
      <c r="R396" s="100">
        <v>0</v>
      </c>
      <c r="S396" s="100">
        <v>0</v>
      </c>
      <c r="T396" s="100">
        <v>0.1</v>
      </c>
      <c r="U396" s="100">
        <v>5.7</v>
      </c>
    </row>
    <row r="397" spans="4:21">
      <c r="D397" s="97" t="s">
        <v>557</v>
      </c>
      <c r="E397" s="97" t="s">
        <v>536</v>
      </c>
      <c r="F397" s="94" t="s">
        <v>558</v>
      </c>
      <c r="G397" s="97">
        <v>5</v>
      </c>
      <c r="H397" s="98" t="s">
        <v>744</v>
      </c>
      <c r="I397" s="99" t="str">
        <f t="shared" si="6"/>
        <v>철원|5</v>
      </c>
      <c r="J397" s="100">
        <v>9.9</v>
      </c>
      <c r="K397" s="100">
        <v>4.4000000000000004</v>
      </c>
      <c r="L397" s="100">
        <v>0.2</v>
      </c>
      <c r="M397" s="100">
        <v>0</v>
      </c>
      <c r="N397" s="100">
        <v>0</v>
      </c>
      <c r="O397" s="100">
        <v>0</v>
      </c>
      <c r="P397" s="100">
        <v>0</v>
      </c>
      <c r="Q397" s="100">
        <v>0</v>
      </c>
      <c r="R397" s="100">
        <v>0</v>
      </c>
      <c r="S397" s="100">
        <v>0</v>
      </c>
      <c r="T397" s="100">
        <v>0.5</v>
      </c>
      <c r="U397" s="100">
        <v>8.3000000000000007</v>
      </c>
    </row>
    <row r="398" spans="4:21">
      <c r="D398" s="97" t="s">
        <v>559</v>
      </c>
      <c r="E398" s="97" t="s">
        <v>536</v>
      </c>
      <c r="F398" s="94" t="s">
        <v>560</v>
      </c>
      <c r="G398" s="97">
        <v>5</v>
      </c>
      <c r="H398" s="98" t="s">
        <v>744</v>
      </c>
      <c r="I398" s="99" t="str">
        <f t="shared" si="6"/>
        <v>춘천|5</v>
      </c>
      <c r="J398" s="100">
        <v>6.8</v>
      </c>
      <c r="K398" s="100">
        <v>2</v>
      </c>
      <c r="L398" s="100">
        <v>0</v>
      </c>
      <c r="M398" s="100">
        <v>0</v>
      </c>
      <c r="N398" s="100">
        <v>0</v>
      </c>
      <c r="O398" s="100">
        <v>0</v>
      </c>
      <c r="P398" s="100">
        <v>0</v>
      </c>
      <c r="Q398" s="100">
        <v>0</v>
      </c>
      <c r="R398" s="100">
        <v>0</v>
      </c>
      <c r="S398" s="100">
        <v>0</v>
      </c>
      <c r="T398" s="100">
        <v>0.1</v>
      </c>
      <c r="U398" s="100">
        <v>6.1</v>
      </c>
    </row>
    <row r="399" spans="4:21">
      <c r="D399" s="97" t="s">
        <v>561</v>
      </c>
      <c r="E399" s="97" t="s">
        <v>536</v>
      </c>
      <c r="F399" s="94" t="s">
        <v>562</v>
      </c>
      <c r="G399" s="97">
        <v>5</v>
      </c>
      <c r="H399" s="98" t="s">
        <v>744</v>
      </c>
      <c r="I399" s="99" t="str">
        <f t="shared" si="6"/>
        <v>태백|5</v>
      </c>
      <c r="J399" s="100">
        <v>10.6</v>
      </c>
      <c r="K399" s="100">
        <v>6.7</v>
      </c>
      <c r="L399" s="100">
        <v>0.9</v>
      </c>
      <c r="M399" s="100">
        <v>0</v>
      </c>
      <c r="N399" s="100">
        <v>0</v>
      </c>
      <c r="O399" s="100">
        <v>0</v>
      </c>
      <c r="P399" s="100">
        <v>0</v>
      </c>
      <c r="Q399" s="100">
        <v>0</v>
      </c>
      <c r="R399" s="100">
        <v>0</v>
      </c>
      <c r="S399" s="100">
        <v>0</v>
      </c>
      <c r="T399" s="100">
        <v>0.5</v>
      </c>
      <c r="U399" s="100">
        <v>8.3000000000000007</v>
      </c>
    </row>
    <row r="400" spans="4:21">
      <c r="D400" s="97" t="s">
        <v>563</v>
      </c>
      <c r="E400" s="97" t="s">
        <v>536</v>
      </c>
      <c r="F400" s="94" t="s">
        <v>564</v>
      </c>
      <c r="G400" s="97">
        <v>5</v>
      </c>
      <c r="H400" s="98" t="s">
        <v>744</v>
      </c>
      <c r="I400" s="99" t="str">
        <f t="shared" si="6"/>
        <v>홍천|5</v>
      </c>
      <c r="J400" s="100">
        <v>7.4</v>
      </c>
      <c r="K400" s="100">
        <v>2.2999999999999998</v>
      </c>
      <c r="L400" s="100">
        <v>0</v>
      </c>
      <c r="M400" s="100">
        <v>0</v>
      </c>
      <c r="N400" s="100">
        <v>0</v>
      </c>
      <c r="O400" s="100">
        <v>0</v>
      </c>
      <c r="P400" s="100">
        <v>0</v>
      </c>
      <c r="Q400" s="100">
        <v>0</v>
      </c>
      <c r="R400" s="100">
        <v>0</v>
      </c>
      <c r="S400" s="100">
        <v>0</v>
      </c>
      <c r="T400" s="100">
        <v>0.1</v>
      </c>
      <c r="U400" s="100">
        <v>6.3</v>
      </c>
    </row>
    <row r="401" spans="4:21">
      <c r="D401" s="97" t="s">
        <v>565</v>
      </c>
      <c r="E401" s="97" t="s">
        <v>566</v>
      </c>
      <c r="F401" s="94" t="s">
        <v>567</v>
      </c>
      <c r="G401" s="97">
        <v>5</v>
      </c>
      <c r="H401" s="98" t="s">
        <v>744</v>
      </c>
      <c r="I401" s="99" t="str">
        <f t="shared" si="6"/>
        <v>동두천|5</v>
      </c>
      <c r="J401" s="100">
        <v>6.7</v>
      </c>
      <c r="K401" s="100">
        <v>2.2999999999999998</v>
      </c>
      <c r="L401" s="100">
        <v>0.1</v>
      </c>
      <c r="M401" s="100">
        <v>0</v>
      </c>
      <c r="N401" s="100">
        <v>0</v>
      </c>
      <c r="O401" s="100">
        <v>0</v>
      </c>
      <c r="P401" s="100">
        <v>0</v>
      </c>
      <c r="Q401" s="100">
        <v>0</v>
      </c>
      <c r="R401" s="100">
        <v>0</v>
      </c>
      <c r="S401" s="100">
        <v>0</v>
      </c>
      <c r="T401" s="100">
        <v>0.3</v>
      </c>
      <c r="U401" s="100">
        <v>5.7</v>
      </c>
    </row>
    <row r="402" spans="4:21">
      <c r="D402" s="97" t="s">
        <v>568</v>
      </c>
      <c r="E402" s="97" t="s">
        <v>566</v>
      </c>
      <c r="F402" s="94" t="s">
        <v>569</v>
      </c>
      <c r="G402" s="97">
        <v>5</v>
      </c>
      <c r="H402" s="98" t="s">
        <v>744</v>
      </c>
      <c r="I402" s="99" t="str">
        <f t="shared" si="6"/>
        <v>수원|5</v>
      </c>
      <c r="J402" s="100">
        <v>6.3</v>
      </c>
      <c r="K402" s="100">
        <v>2.8</v>
      </c>
      <c r="L402" s="100">
        <v>0</v>
      </c>
      <c r="M402" s="100">
        <v>0</v>
      </c>
      <c r="N402" s="100">
        <v>0</v>
      </c>
      <c r="O402" s="100">
        <v>0</v>
      </c>
      <c r="P402" s="100">
        <v>0</v>
      </c>
      <c r="Q402" s="100">
        <v>0</v>
      </c>
      <c r="R402" s="100">
        <v>0</v>
      </c>
      <c r="S402" s="100">
        <v>0</v>
      </c>
      <c r="T402" s="100">
        <v>0.1</v>
      </c>
      <c r="U402" s="100">
        <v>4.8</v>
      </c>
    </row>
    <row r="403" spans="4:21">
      <c r="D403" s="97" t="s">
        <v>570</v>
      </c>
      <c r="E403" s="97" t="s">
        <v>566</v>
      </c>
      <c r="F403" s="94" t="s">
        <v>571</v>
      </c>
      <c r="G403" s="97">
        <v>5</v>
      </c>
      <c r="H403" s="98" t="s">
        <v>744</v>
      </c>
      <c r="I403" s="99" t="str">
        <f t="shared" si="6"/>
        <v>양평|5</v>
      </c>
      <c r="J403" s="100">
        <v>6.8</v>
      </c>
      <c r="K403" s="100">
        <v>2.1</v>
      </c>
      <c r="L403" s="100">
        <v>0</v>
      </c>
      <c r="M403" s="100">
        <v>0</v>
      </c>
      <c r="N403" s="100">
        <v>0</v>
      </c>
      <c r="O403" s="100">
        <v>0</v>
      </c>
      <c r="P403" s="100">
        <v>0</v>
      </c>
      <c r="Q403" s="100">
        <v>0</v>
      </c>
      <c r="R403" s="100">
        <v>0</v>
      </c>
      <c r="S403" s="100">
        <v>0</v>
      </c>
      <c r="T403" s="100">
        <v>0</v>
      </c>
      <c r="U403" s="100">
        <v>5.4</v>
      </c>
    </row>
    <row r="404" spans="4:21">
      <c r="D404" s="97" t="s">
        <v>572</v>
      </c>
      <c r="E404" s="97" t="s">
        <v>566</v>
      </c>
      <c r="F404" s="94" t="s">
        <v>573</v>
      </c>
      <c r="G404" s="97">
        <v>5</v>
      </c>
      <c r="H404" s="98" t="s">
        <v>744</v>
      </c>
      <c r="I404" s="99" t="str">
        <f t="shared" si="6"/>
        <v>이천|5</v>
      </c>
      <c r="J404" s="100">
        <v>5.6</v>
      </c>
      <c r="K404" s="100">
        <v>2</v>
      </c>
      <c r="L404" s="100">
        <v>0</v>
      </c>
      <c r="M404" s="100">
        <v>0</v>
      </c>
      <c r="N404" s="100">
        <v>0</v>
      </c>
      <c r="O404" s="100">
        <v>0</v>
      </c>
      <c r="P404" s="100">
        <v>0</v>
      </c>
      <c r="Q404" s="100">
        <v>0</v>
      </c>
      <c r="R404" s="100">
        <v>0</v>
      </c>
      <c r="S404" s="100">
        <v>0</v>
      </c>
      <c r="T404" s="100">
        <v>0.1</v>
      </c>
      <c r="U404" s="100">
        <v>5</v>
      </c>
    </row>
    <row r="405" spans="4:21">
      <c r="D405" s="97" t="s">
        <v>574</v>
      </c>
      <c r="E405" s="97" t="s">
        <v>566</v>
      </c>
      <c r="F405" s="94" t="s">
        <v>575</v>
      </c>
      <c r="G405" s="97">
        <v>5</v>
      </c>
      <c r="H405" s="98" t="s">
        <v>744</v>
      </c>
      <c r="I405" s="99" t="str">
        <f t="shared" si="6"/>
        <v>파주|5</v>
      </c>
      <c r="J405" s="100">
        <v>8.6</v>
      </c>
      <c r="K405" s="100">
        <v>3.5</v>
      </c>
      <c r="L405" s="100">
        <v>0.1</v>
      </c>
      <c r="M405" s="100">
        <v>0</v>
      </c>
      <c r="N405" s="100">
        <v>0</v>
      </c>
      <c r="O405" s="100">
        <v>0</v>
      </c>
      <c r="P405" s="100">
        <v>0</v>
      </c>
      <c r="Q405" s="100">
        <v>0</v>
      </c>
      <c r="R405" s="100">
        <v>0</v>
      </c>
      <c r="S405" s="100">
        <v>0</v>
      </c>
      <c r="T405" s="100">
        <v>0.3</v>
      </c>
      <c r="U405" s="100">
        <v>7.4</v>
      </c>
    </row>
    <row r="406" spans="4:21">
      <c r="D406" s="97" t="s">
        <v>576</v>
      </c>
      <c r="E406" s="97" t="s">
        <v>577</v>
      </c>
      <c r="F406" s="94" t="s">
        <v>578</v>
      </c>
      <c r="G406" s="97">
        <v>5</v>
      </c>
      <c r="H406" s="98" t="s">
        <v>744</v>
      </c>
      <c r="I406" s="99" t="str">
        <f t="shared" si="6"/>
        <v>거제|5</v>
      </c>
      <c r="J406" s="100">
        <v>0.5</v>
      </c>
      <c r="K406" s="100">
        <v>0</v>
      </c>
      <c r="L406" s="100">
        <v>0</v>
      </c>
      <c r="M406" s="100">
        <v>0</v>
      </c>
      <c r="N406" s="100">
        <v>0</v>
      </c>
      <c r="O406" s="100">
        <v>0</v>
      </c>
      <c r="P406" s="100">
        <v>0</v>
      </c>
      <c r="Q406" s="100">
        <v>0</v>
      </c>
      <c r="R406" s="100">
        <v>0</v>
      </c>
      <c r="S406" s="100">
        <v>0</v>
      </c>
      <c r="T406" s="100">
        <v>0</v>
      </c>
      <c r="U406" s="100">
        <v>0.3</v>
      </c>
    </row>
    <row r="407" spans="4:21">
      <c r="D407" s="97" t="s">
        <v>579</v>
      </c>
      <c r="E407" s="97" t="s">
        <v>577</v>
      </c>
      <c r="F407" s="94" t="s">
        <v>580</v>
      </c>
      <c r="G407" s="97">
        <v>5</v>
      </c>
      <c r="H407" s="98" t="s">
        <v>744</v>
      </c>
      <c r="I407" s="99" t="str">
        <f t="shared" si="6"/>
        <v>거창|5</v>
      </c>
      <c r="J407" s="100">
        <v>2.5</v>
      </c>
      <c r="K407" s="100">
        <v>1</v>
      </c>
      <c r="L407" s="100">
        <v>0</v>
      </c>
      <c r="M407" s="100">
        <v>0</v>
      </c>
      <c r="N407" s="100">
        <v>0</v>
      </c>
      <c r="O407" s="100">
        <v>0</v>
      </c>
      <c r="P407" s="100">
        <v>0</v>
      </c>
      <c r="Q407" s="100">
        <v>0</v>
      </c>
      <c r="R407" s="100">
        <v>0</v>
      </c>
      <c r="S407" s="100">
        <v>0</v>
      </c>
      <c r="T407" s="100">
        <v>0</v>
      </c>
      <c r="U407" s="100">
        <v>1.2</v>
      </c>
    </row>
    <row r="408" spans="4:21">
      <c r="D408" s="97" t="s">
        <v>581</v>
      </c>
      <c r="E408" s="97" t="s">
        <v>577</v>
      </c>
      <c r="F408" s="94" t="s">
        <v>582</v>
      </c>
      <c r="G408" s="97">
        <v>5</v>
      </c>
      <c r="H408" s="98" t="s">
        <v>744</v>
      </c>
      <c r="I408" s="99" t="str">
        <f t="shared" si="6"/>
        <v>김해시|5</v>
      </c>
      <c r="J408" s="100">
        <v>1.2</v>
      </c>
      <c r="K408" s="100">
        <v>0.3</v>
      </c>
      <c r="L408" s="100">
        <v>0</v>
      </c>
      <c r="M408" s="100">
        <v>0</v>
      </c>
      <c r="N408" s="100">
        <v>0</v>
      </c>
      <c r="O408" s="100">
        <v>0</v>
      </c>
      <c r="P408" s="100">
        <v>0</v>
      </c>
      <c r="Q408" s="100">
        <v>0</v>
      </c>
      <c r="R408" s="100">
        <v>0</v>
      </c>
      <c r="S408" s="100">
        <v>0</v>
      </c>
      <c r="T408" s="100">
        <v>0</v>
      </c>
      <c r="U408" s="100">
        <v>0.3</v>
      </c>
    </row>
    <row r="409" spans="4:21">
      <c r="D409" s="97" t="s">
        <v>583</v>
      </c>
      <c r="E409" s="97" t="s">
        <v>577</v>
      </c>
      <c r="F409" s="94" t="s">
        <v>584</v>
      </c>
      <c r="G409" s="97">
        <v>5</v>
      </c>
      <c r="H409" s="98" t="s">
        <v>744</v>
      </c>
      <c r="I409" s="99" t="str">
        <f t="shared" si="6"/>
        <v>남해|5</v>
      </c>
      <c r="J409" s="100">
        <v>0.9</v>
      </c>
      <c r="K409" s="100">
        <v>0.2</v>
      </c>
      <c r="L409" s="100">
        <v>0</v>
      </c>
      <c r="M409" s="100">
        <v>0</v>
      </c>
      <c r="N409" s="100">
        <v>0</v>
      </c>
      <c r="O409" s="100">
        <v>0</v>
      </c>
      <c r="P409" s="100">
        <v>0</v>
      </c>
      <c r="Q409" s="100">
        <v>0</v>
      </c>
      <c r="R409" s="100">
        <v>0</v>
      </c>
      <c r="S409" s="100">
        <v>0</v>
      </c>
      <c r="T409" s="100">
        <v>0</v>
      </c>
      <c r="U409" s="100">
        <v>0.2</v>
      </c>
    </row>
    <row r="410" spans="4:21">
      <c r="D410" s="97" t="s">
        <v>585</v>
      </c>
      <c r="E410" s="97" t="s">
        <v>577</v>
      </c>
      <c r="F410" s="94" t="s">
        <v>586</v>
      </c>
      <c r="G410" s="97">
        <v>5</v>
      </c>
      <c r="H410" s="98" t="s">
        <v>744</v>
      </c>
      <c r="I410" s="99" t="str">
        <f t="shared" si="6"/>
        <v>밀양|5</v>
      </c>
      <c r="J410" s="100">
        <v>1.1000000000000001</v>
      </c>
      <c r="K410" s="100">
        <v>0.2</v>
      </c>
      <c r="L410" s="100">
        <v>0</v>
      </c>
      <c r="M410" s="100">
        <v>0</v>
      </c>
      <c r="N410" s="100">
        <v>0</v>
      </c>
      <c r="O410" s="100">
        <v>0</v>
      </c>
      <c r="P410" s="100">
        <v>0</v>
      </c>
      <c r="Q410" s="100">
        <v>0</v>
      </c>
      <c r="R410" s="100">
        <v>0</v>
      </c>
      <c r="S410" s="100">
        <v>0</v>
      </c>
      <c r="T410" s="100">
        <v>0</v>
      </c>
      <c r="U410" s="100">
        <v>0.5</v>
      </c>
    </row>
    <row r="411" spans="4:21">
      <c r="D411" s="97" t="s">
        <v>587</v>
      </c>
      <c r="E411" s="97" t="s">
        <v>577</v>
      </c>
      <c r="F411" s="94" t="s">
        <v>588</v>
      </c>
      <c r="G411" s="97">
        <v>5</v>
      </c>
      <c r="H411" s="98" t="s">
        <v>744</v>
      </c>
      <c r="I411" s="99" t="str">
        <f t="shared" si="6"/>
        <v>북창원|5</v>
      </c>
      <c r="J411" s="100">
        <v>1.2</v>
      </c>
      <c r="K411" s="100">
        <v>0.1</v>
      </c>
      <c r="L411" s="100">
        <v>0</v>
      </c>
      <c r="M411" s="100">
        <v>0</v>
      </c>
      <c r="N411" s="100">
        <v>0</v>
      </c>
      <c r="O411" s="100">
        <v>0</v>
      </c>
      <c r="P411" s="100">
        <v>0</v>
      </c>
      <c r="Q411" s="100">
        <v>0</v>
      </c>
      <c r="R411" s="100">
        <v>0</v>
      </c>
      <c r="S411" s="100">
        <v>0</v>
      </c>
      <c r="T411" s="100">
        <v>0</v>
      </c>
      <c r="U411" s="100">
        <v>0.6</v>
      </c>
    </row>
    <row r="412" spans="4:21">
      <c r="D412" s="97" t="s">
        <v>589</v>
      </c>
      <c r="E412" s="97" t="s">
        <v>577</v>
      </c>
      <c r="F412" s="94" t="s">
        <v>590</v>
      </c>
      <c r="G412" s="97">
        <v>5</v>
      </c>
      <c r="H412" s="98" t="s">
        <v>744</v>
      </c>
      <c r="I412" s="99" t="str">
        <f t="shared" si="6"/>
        <v>산청|5</v>
      </c>
      <c r="J412" s="100">
        <v>2</v>
      </c>
      <c r="K412" s="100">
        <v>0.6</v>
      </c>
      <c r="L412" s="100">
        <v>0</v>
      </c>
      <c r="M412" s="100">
        <v>0</v>
      </c>
      <c r="N412" s="100">
        <v>0</v>
      </c>
      <c r="O412" s="100">
        <v>0</v>
      </c>
      <c r="P412" s="100">
        <v>0</v>
      </c>
      <c r="Q412" s="100">
        <v>0</v>
      </c>
      <c r="R412" s="100">
        <v>0</v>
      </c>
      <c r="S412" s="100">
        <v>0</v>
      </c>
      <c r="T412" s="100">
        <v>0</v>
      </c>
      <c r="U412" s="100">
        <v>0.8</v>
      </c>
    </row>
    <row r="413" spans="4:21">
      <c r="D413" s="97" t="s">
        <v>591</v>
      </c>
      <c r="E413" s="97" t="s">
        <v>577</v>
      </c>
      <c r="F413" s="94" t="s">
        <v>592</v>
      </c>
      <c r="G413" s="97">
        <v>5</v>
      </c>
      <c r="H413" s="98" t="s">
        <v>744</v>
      </c>
      <c r="I413" s="99" t="str">
        <f t="shared" si="6"/>
        <v>양산시|5</v>
      </c>
      <c r="J413" s="100">
        <v>0.6</v>
      </c>
      <c r="K413" s="100">
        <v>0.2</v>
      </c>
      <c r="L413" s="100">
        <v>0</v>
      </c>
      <c r="M413" s="100">
        <v>0</v>
      </c>
      <c r="N413" s="100">
        <v>0</v>
      </c>
      <c r="O413" s="100">
        <v>0</v>
      </c>
      <c r="P413" s="100">
        <v>0</v>
      </c>
      <c r="Q413" s="100">
        <v>0</v>
      </c>
      <c r="R413" s="100">
        <v>0</v>
      </c>
      <c r="S413" s="100">
        <v>0</v>
      </c>
      <c r="T413" s="100">
        <v>0</v>
      </c>
      <c r="U413" s="100">
        <v>0.3</v>
      </c>
    </row>
    <row r="414" spans="4:21">
      <c r="D414" s="97" t="s">
        <v>593</v>
      </c>
      <c r="E414" s="97" t="s">
        <v>577</v>
      </c>
      <c r="F414" s="94" t="s">
        <v>594</v>
      </c>
      <c r="G414" s="97">
        <v>5</v>
      </c>
      <c r="H414" s="98" t="s">
        <v>744</v>
      </c>
      <c r="I414" s="99" t="str">
        <f t="shared" si="6"/>
        <v>의령군|5</v>
      </c>
      <c r="J414" s="100">
        <v>0.6</v>
      </c>
      <c r="K414" s="100">
        <v>0</v>
      </c>
      <c r="L414" s="100">
        <v>0</v>
      </c>
      <c r="M414" s="100">
        <v>0</v>
      </c>
      <c r="N414" s="100">
        <v>0</v>
      </c>
      <c r="O414" s="100">
        <v>0</v>
      </c>
      <c r="P414" s="100">
        <v>0</v>
      </c>
      <c r="Q414" s="100">
        <v>0</v>
      </c>
      <c r="R414" s="100">
        <v>0</v>
      </c>
      <c r="S414" s="100">
        <v>0</v>
      </c>
      <c r="T414" s="100">
        <v>0</v>
      </c>
      <c r="U414" s="100">
        <v>0.3</v>
      </c>
    </row>
    <row r="415" spans="4:21">
      <c r="D415" s="97" t="s">
        <v>595</v>
      </c>
      <c r="E415" s="97" t="s">
        <v>577</v>
      </c>
      <c r="F415" s="94" t="s">
        <v>596</v>
      </c>
      <c r="G415" s="97">
        <v>5</v>
      </c>
      <c r="H415" s="98" t="s">
        <v>744</v>
      </c>
      <c r="I415" s="99" t="str">
        <f t="shared" si="6"/>
        <v>진주|5</v>
      </c>
      <c r="J415" s="100">
        <v>1</v>
      </c>
      <c r="K415" s="100">
        <v>0.3</v>
      </c>
      <c r="L415" s="100">
        <v>0</v>
      </c>
      <c r="M415" s="100">
        <v>0</v>
      </c>
      <c r="N415" s="100">
        <v>0</v>
      </c>
      <c r="O415" s="100">
        <v>0</v>
      </c>
      <c r="P415" s="100">
        <v>0</v>
      </c>
      <c r="Q415" s="100">
        <v>0</v>
      </c>
      <c r="R415" s="100">
        <v>0</v>
      </c>
      <c r="S415" s="100">
        <v>0</v>
      </c>
      <c r="T415" s="100">
        <v>0</v>
      </c>
      <c r="U415" s="100">
        <v>0.2</v>
      </c>
    </row>
    <row r="416" spans="4:21">
      <c r="D416" s="97" t="s">
        <v>597</v>
      </c>
      <c r="E416" s="97" t="s">
        <v>577</v>
      </c>
      <c r="F416" s="94" t="s">
        <v>598</v>
      </c>
      <c r="G416" s="97">
        <v>5</v>
      </c>
      <c r="H416" s="98" t="s">
        <v>744</v>
      </c>
      <c r="I416" s="99" t="str">
        <f t="shared" si="6"/>
        <v>창원|5</v>
      </c>
      <c r="J416" s="100">
        <v>1.3</v>
      </c>
      <c r="K416" s="100">
        <v>0.3</v>
      </c>
      <c r="L416" s="100">
        <v>0</v>
      </c>
      <c r="M416" s="100">
        <v>0</v>
      </c>
      <c r="N416" s="100">
        <v>0</v>
      </c>
      <c r="O416" s="100">
        <v>0</v>
      </c>
      <c r="P416" s="100">
        <v>0</v>
      </c>
      <c r="Q416" s="100">
        <v>0</v>
      </c>
      <c r="R416" s="100">
        <v>0</v>
      </c>
      <c r="S416" s="100">
        <v>0</v>
      </c>
      <c r="T416" s="100">
        <v>0</v>
      </c>
      <c r="U416" s="100">
        <v>0.8</v>
      </c>
    </row>
    <row r="417" spans="4:21">
      <c r="D417" s="97" t="s">
        <v>599</v>
      </c>
      <c r="E417" s="97" t="s">
        <v>577</v>
      </c>
      <c r="F417" s="94" t="s">
        <v>600</v>
      </c>
      <c r="G417" s="97">
        <v>5</v>
      </c>
      <c r="H417" s="98" t="s">
        <v>744</v>
      </c>
      <c r="I417" s="99" t="str">
        <f t="shared" si="6"/>
        <v>통영|5</v>
      </c>
      <c r="J417" s="100">
        <v>0.3</v>
      </c>
      <c r="K417" s="100">
        <v>0</v>
      </c>
      <c r="L417" s="100">
        <v>0</v>
      </c>
      <c r="M417" s="100">
        <v>0</v>
      </c>
      <c r="N417" s="100">
        <v>0</v>
      </c>
      <c r="O417" s="100">
        <v>0</v>
      </c>
      <c r="P417" s="100">
        <v>0</v>
      </c>
      <c r="Q417" s="100">
        <v>0</v>
      </c>
      <c r="R417" s="100">
        <v>0</v>
      </c>
      <c r="S417" s="100">
        <v>0</v>
      </c>
      <c r="T417" s="100">
        <v>0</v>
      </c>
      <c r="U417" s="100">
        <v>0.1</v>
      </c>
    </row>
    <row r="418" spans="4:21">
      <c r="D418" s="97" t="s">
        <v>601</v>
      </c>
      <c r="E418" s="97" t="s">
        <v>577</v>
      </c>
      <c r="F418" s="94" t="s">
        <v>602</v>
      </c>
      <c r="G418" s="97">
        <v>5</v>
      </c>
      <c r="H418" s="98" t="s">
        <v>744</v>
      </c>
      <c r="I418" s="99" t="str">
        <f t="shared" si="6"/>
        <v>함양군|5</v>
      </c>
      <c r="J418" s="100">
        <v>2</v>
      </c>
      <c r="K418" s="100">
        <v>0.8</v>
      </c>
      <c r="L418" s="100">
        <v>0</v>
      </c>
      <c r="M418" s="100">
        <v>0</v>
      </c>
      <c r="N418" s="100">
        <v>0</v>
      </c>
      <c r="O418" s="100">
        <v>0</v>
      </c>
      <c r="P418" s="100">
        <v>0</v>
      </c>
      <c r="Q418" s="100">
        <v>0</v>
      </c>
      <c r="R418" s="100">
        <v>0</v>
      </c>
      <c r="S418" s="100">
        <v>0</v>
      </c>
      <c r="T418" s="100">
        <v>0</v>
      </c>
      <c r="U418" s="100">
        <v>1</v>
      </c>
    </row>
    <row r="419" spans="4:21">
      <c r="D419" s="97" t="s">
        <v>603</v>
      </c>
      <c r="E419" s="97" t="s">
        <v>577</v>
      </c>
      <c r="F419" s="94" t="s">
        <v>604</v>
      </c>
      <c r="G419" s="97">
        <v>5</v>
      </c>
      <c r="H419" s="98" t="s">
        <v>744</v>
      </c>
      <c r="I419" s="99" t="str">
        <f t="shared" si="6"/>
        <v>합천|5</v>
      </c>
      <c r="J419" s="100">
        <v>1</v>
      </c>
      <c r="K419" s="100">
        <v>0.3</v>
      </c>
      <c r="L419" s="100">
        <v>0</v>
      </c>
      <c r="M419" s="100">
        <v>0</v>
      </c>
      <c r="N419" s="100">
        <v>0</v>
      </c>
      <c r="O419" s="100">
        <v>0</v>
      </c>
      <c r="P419" s="100">
        <v>0</v>
      </c>
      <c r="Q419" s="100">
        <v>0</v>
      </c>
      <c r="R419" s="100">
        <v>0</v>
      </c>
      <c r="S419" s="100">
        <v>0</v>
      </c>
      <c r="T419" s="100">
        <v>0</v>
      </c>
      <c r="U419" s="100">
        <v>0.5</v>
      </c>
    </row>
    <row r="420" spans="4:21">
      <c r="D420" s="97" t="s">
        <v>605</v>
      </c>
      <c r="E420" s="97" t="s">
        <v>606</v>
      </c>
      <c r="F420" s="94" t="s">
        <v>607</v>
      </c>
      <c r="G420" s="97">
        <v>5</v>
      </c>
      <c r="H420" s="98" t="s">
        <v>744</v>
      </c>
      <c r="I420" s="99" t="str">
        <f t="shared" si="6"/>
        <v>경주시|5</v>
      </c>
      <c r="J420" s="100">
        <v>1.9</v>
      </c>
      <c r="K420" s="100">
        <v>0.4</v>
      </c>
      <c r="L420" s="100">
        <v>0</v>
      </c>
      <c r="M420" s="100">
        <v>0</v>
      </c>
      <c r="N420" s="100">
        <v>0</v>
      </c>
      <c r="O420" s="100">
        <v>0</v>
      </c>
      <c r="P420" s="100">
        <v>0</v>
      </c>
      <c r="Q420" s="100">
        <v>0</v>
      </c>
      <c r="R420" s="100">
        <v>0</v>
      </c>
      <c r="S420" s="100">
        <v>0</v>
      </c>
      <c r="T420" s="100">
        <v>0</v>
      </c>
      <c r="U420" s="100">
        <v>1.1000000000000001</v>
      </c>
    </row>
    <row r="421" spans="4:21">
      <c r="D421" s="97" t="s">
        <v>608</v>
      </c>
      <c r="E421" s="97" t="s">
        <v>606</v>
      </c>
      <c r="F421" s="94" t="s">
        <v>609</v>
      </c>
      <c r="G421" s="97">
        <v>5</v>
      </c>
      <c r="H421" s="98" t="s">
        <v>744</v>
      </c>
      <c r="I421" s="99" t="str">
        <f t="shared" si="6"/>
        <v>구미|5</v>
      </c>
      <c r="J421" s="100">
        <v>2.2999999999999998</v>
      </c>
      <c r="K421" s="100">
        <v>0.5</v>
      </c>
      <c r="L421" s="100">
        <v>0</v>
      </c>
      <c r="M421" s="100">
        <v>0</v>
      </c>
      <c r="N421" s="100">
        <v>0</v>
      </c>
      <c r="O421" s="100">
        <v>0</v>
      </c>
      <c r="P421" s="100">
        <v>0</v>
      </c>
      <c r="Q421" s="100">
        <v>0</v>
      </c>
      <c r="R421" s="100">
        <v>0</v>
      </c>
      <c r="S421" s="100">
        <v>0</v>
      </c>
      <c r="T421" s="100">
        <v>0</v>
      </c>
      <c r="U421" s="100">
        <v>1.3</v>
      </c>
    </row>
    <row r="422" spans="4:21">
      <c r="D422" s="97" t="s">
        <v>610</v>
      </c>
      <c r="E422" s="97" t="s">
        <v>606</v>
      </c>
      <c r="F422" s="94" t="s">
        <v>611</v>
      </c>
      <c r="G422" s="97">
        <v>5</v>
      </c>
      <c r="H422" s="98" t="s">
        <v>744</v>
      </c>
      <c r="I422" s="99" t="str">
        <f t="shared" si="6"/>
        <v>문경|5</v>
      </c>
      <c r="J422" s="100">
        <v>4.0999999999999996</v>
      </c>
      <c r="K422" s="100">
        <v>1.7</v>
      </c>
      <c r="L422" s="100">
        <v>0</v>
      </c>
      <c r="M422" s="100">
        <v>0</v>
      </c>
      <c r="N422" s="100">
        <v>0</v>
      </c>
      <c r="O422" s="100">
        <v>0</v>
      </c>
      <c r="P422" s="100">
        <v>0</v>
      </c>
      <c r="Q422" s="100">
        <v>0</v>
      </c>
      <c r="R422" s="100">
        <v>0</v>
      </c>
      <c r="S422" s="100">
        <v>0</v>
      </c>
      <c r="T422" s="100">
        <v>0</v>
      </c>
      <c r="U422" s="100">
        <v>3.5</v>
      </c>
    </row>
    <row r="423" spans="4:21">
      <c r="D423" s="97" t="s">
        <v>612</v>
      </c>
      <c r="E423" s="97" t="s">
        <v>606</v>
      </c>
      <c r="F423" s="94" t="s">
        <v>613</v>
      </c>
      <c r="G423" s="97">
        <v>5</v>
      </c>
      <c r="H423" s="98" t="s">
        <v>744</v>
      </c>
      <c r="I423" s="99" t="str">
        <f t="shared" si="6"/>
        <v>봉화|5</v>
      </c>
      <c r="J423" s="100">
        <v>4.5999999999999996</v>
      </c>
      <c r="K423" s="100">
        <v>1.8</v>
      </c>
      <c r="L423" s="100">
        <v>0.1</v>
      </c>
      <c r="M423" s="100">
        <v>0</v>
      </c>
      <c r="N423" s="100">
        <v>0</v>
      </c>
      <c r="O423" s="100">
        <v>0</v>
      </c>
      <c r="P423" s="100">
        <v>0</v>
      </c>
      <c r="Q423" s="100">
        <v>0</v>
      </c>
      <c r="R423" s="100">
        <v>0</v>
      </c>
      <c r="S423" s="100">
        <v>0</v>
      </c>
      <c r="T423" s="100">
        <v>0</v>
      </c>
      <c r="U423" s="100">
        <v>3.5</v>
      </c>
    </row>
    <row r="424" spans="4:21">
      <c r="D424" s="97" t="s">
        <v>614</v>
      </c>
      <c r="E424" s="97" t="s">
        <v>606</v>
      </c>
      <c r="F424" s="94" t="s">
        <v>615</v>
      </c>
      <c r="G424" s="97">
        <v>5</v>
      </c>
      <c r="H424" s="98" t="s">
        <v>744</v>
      </c>
      <c r="I424" s="99" t="str">
        <f t="shared" si="6"/>
        <v>상주|5</v>
      </c>
      <c r="J424" s="100">
        <v>3.4</v>
      </c>
      <c r="K424" s="100">
        <v>1.2</v>
      </c>
      <c r="L424" s="100">
        <v>0</v>
      </c>
      <c r="M424" s="100">
        <v>0</v>
      </c>
      <c r="N424" s="100">
        <v>0</v>
      </c>
      <c r="O424" s="100">
        <v>0</v>
      </c>
      <c r="P424" s="100">
        <v>0</v>
      </c>
      <c r="Q424" s="100">
        <v>0</v>
      </c>
      <c r="R424" s="100">
        <v>0</v>
      </c>
      <c r="S424" s="100">
        <v>0</v>
      </c>
      <c r="T424" s="100">
        <v>0</v>
      </c>
      <c r="U424" s="100">
        <v>2.5</v>
      </c>
    </row>
    <row r="425" spans="4:21">
      <c r="D425" s="97" t="s">
        <v>616</v>
      </c>
      <c r="E425" s="97" t="s">
        <v>606</v>
      </c>
      <c r="F425" s="94" t="s">
        <v>617</v>
      </c>
      <c r="G425" s="97">
        <v>5</v>
      </c>
      <c r="H425" s="98" t="s">
        <v>744</v>
      </c>
      <c r="I425" s="99" t="str">
        <f t="shared" si="6"/>
        <v>안동|5</v>
      </c>
      <c r="J425" s="100">
        <v>3.7</v>
      </c>
      <c r="K425" s="100">
        <v>1.4</v>
      </c>
      <c r="L425" s="100">
        <v>0</v>
      </c>
      <c r="M425" s="100">
        <v>0</v>
      </c>
      <c r="N425" s="100">
        <v>0</v>
      </c>
      <c r="O425" s="100">
        <v>0</v>
      </c>
      <c r="P425" s="100">
        <v>0</v>
      </c>
      <c r="Q425" s="100">
        <v>0</v>
      </c>
      <c r="R425" s="100">
        <v>0</v>
      </c>
      <c r="S425" s="100">
        <v>0</v>
      </c>
      <c r="T425" s="100">
        <v>0</v>
      </c>
      <c r="U425" s="100">
        <v>2.9</v>
      </c>
    </row>
    <row r="426" spans="4:21">
      <c r="D426" s="97" t="s">
        <v>618</v>
      </c>
      <c r="E426" s="97" t="s">
        <v>606</v>
      </c>
      <c r="F426" s="94" t="s">
        <v>619</v>
      </c>
      <c r="G426" s="97">
        <v>5</v>
      </c>
      <c r="H426" s="98" t="s">
        <v>744</v>
      </c>
      <c r="I426" s="99" t="str">
        <f t="shared" si="6"/>
        <v>영덕|5</v>
      </c>
      <c r="J426" s="100">
        <v>2.2999999999999998</v>
      </c>
      <c r="K426" s="100">
        <v>0.4</v>
      </c>
      <c r="L426" s="100">
        <v>0</v>
      </c>
      <c r="M426" s="100">
        <v>0</v>
      </c>
      <c r="N426" s="100">
        <v>0</v>
      </c>
      <c r="O426" s="100">
        <v>0</v>
      </c>
      <c r="P426" s="100">
        <v>0</v>
      </c>
      <c r="Q426" s="100">
        <v>0</v>
      </c>
      <c r="R426" s="100">
        <v>0</v>
      </c>
      <c r="S426" s="100">
        <v>0</v>
      </c>
      <c r="T426" s="100">
        <v>0</v>
      </c>
      <c r="U426" s="100">
        <v>1.4</v>
      </c>
    </row>
    <row r="427" spans="4:21">
      <c r="D427" s="97" t="s">
        <v>620</v>
      </c>
      <c r="E427" s="97" t="s">
        <v>606</v>
      </c>
      <c r="F427" s="94" t="s">
        <v>621</v>
      </c>
      <c r="G427" s="97">
        <v>5</v>
      </c>
      <c r="H427" s="98" t="s">
        <v>744</v>
      </c>
      <c r="I427" s="99" t="str">
        <f t="shared" si="6"/>
        <v>영주|5</v>
      </c>
      <c r="J427" s="100">
        <v>5.4</v>
      </c>
      <c r="K427" s="100">
        <v>2.2000000000000002</v>
      </c>
      <c r="L427" s="100">
        <v>0</v>
      </c>
      <c r="M427" s="100">
        <v>0</v>
      </c>
      <c r="N427" s="100">
        <v>0</v>
      </c>
      <c r="O427" s="100">
        <v>0</v>
      </c>
      <c r="P427" s="100">
        <v>0</v>
      </c>
      <c r="Q427" s="100">
        <v>0</v>
      </c>
      <c r="R427" s="100">
        <v>0</v>
      </c>
      <c r="S427" s="100">
        <v>0</v>
      </c>
      <c r="T427" s="100">
        <v>0.1</v>
      </c>
      <c r="U427" s="100">
        <v>4.9000000000000004</v>
      </c>
    </row>
    <row r="428" spans="4:21">
      <c r="D428" s="97" t="s">
        <v>622</v>
      </c>
      <c r="E428" s="97" t="s">
        <v>606</v>
      </c>
      <c r="F428" s="94" t="s">
        <v>623</v>
      </c>
      <c r="G428" s="97">
        <v>5</v>
      </c>
      <c r="H428" s="98" t="s">
        <v>744</v>
      </c>
      <c r="I428" s="99" t="str">
        <f t="shared" si="6"/>
        <v>영천|5</v>
      </c>
      <c r="J428" s="100">
        <v>2.1</v>
      </c>
      <c r="K428" s="100">
        <v>0.4</v>
      </c>
      <c r="L428" s="100">
        <v>0</v>
      </c>
      <c r="M428" s="100">
        <v>0</v>
      </c>
      <c r="N428" s="100">
        <v>0</v>
      </c>
      <c r="O428" s="100">
        <v>0</v>
      </c>
      <c r="P428" s="100">
        <v>0</v>
      </c>
      <c r="Q428" s="100">
        <v>0</v>
      </c>
      <c r="R428" s="100">
        <v>0</v>
      </c>
      <c r="S428" s="100">
        <v>0</v>
      </c>
      <c r="T428" s="100">
        <v>0</v>
      </c>
      <c r="U428" s="100">
        <v>1.4</v>
      </c>
    </row>
    <row r="429" spans="4:21">
      <c r="D429" s="97" t="s">
        <v>624</v>
      </c>
      <c r="E429" s="97" t="s">
        <v>606</v>
      </c>
      <c r="F429" s="94" t="s">
        <v>625</v>
      </c>
      <c r="G429" s="97">
        <v>5</v>
      </c>
      <c r="H429" s="98" t="s">
        <v>744</v>
      </c>
      <c r="I429" s="99" t="str">
        <f t="shared" si="6"/>
        <v>울릉도|5</v>
      </c>
      <c r="J429" s="100">
        <v>3.1</v>
      </c>
      <c r="K429" s="100">
        <v>2</v>
      </c>
      <c r="L429" s="100">
        <v>0.1</v>
      </c>
      <c r="M429" s="100">
        <v>0</v>
      </c>
      <c r="N429" s="100">
        <v>0</v>
      </c>
      <c r="O429" s="100">
        <v>0</v>
      </c>
      <c r="P429" s="100">
        <v>0</v>
      </c>
      <c r="Q429" s="100">
        <v>0</v>
      </c>
      <c r="R429" s="100">
        <v>0</v>
      </c>
      <c r="S429" s="100">
        <v>0</v>
      </c>
      <c r="T429" s="100">
        <v>0</v>
      </c>
      <c r="U429" s="100">
        <v>1.6</v>
      </c>
    </row>
    <row r="430" spans="4:21">
      <c r="D430" s="97" t="s">
        <v>626</v>
      </c>
      <c r="E430" s="97" t="s">
        <v>606</v>
      </c>
      <c r="F430" s="94" t="s">
        <v>627</v>
      </c>
      <c r="G430" s="97">
        <v>5</v>
      </c>
      <c r="H430" s="98" t="s">
        <v>744</v>
      </c>
      <c r="I430" s="99" t="str">
        <f t="shared" si="6"/>
        <v>울진|5</v>
      </c>
      <c r="J430" s="100">
        <v>1.5</v>
      </c>
      <c r="K430" s="100">
        <v>0.3</v>
      </c>
      <c r="L430" s="100">
        <v>0</v>
      </c>
      <c r="M430" s="100">
        <v>0</v>
      </c>
      <c r="N430" s="100">
        <v>0</v>
      </c>
      <c r="O430" s="100">
        <v>0</v>
      </c>
      <c r="P430" s="100">
        <v>0</v>
      </c>
      <c r="Q430" s="100">
        <v>0</v>
      </c>
      <c r="R430" s="100">
        <v>0</v>
      </c>
      <c r="S430" s="100">
        <v>0</v>
      </c>
      <c r="T430" s="100">
        <v>0</v>
      </c>
      <c r="U430" s="100">
        <v>0.4</v>
      </c>
    </row>
    <row r="431" spans="4:21">
      <c r="D431" s="97" t="s">
        <v>628</v>
      </c>
      <c r="E431" s="97" t="s">
        <v>606</v>
      </c>
      <c r="F431" s="94" t="s">
        <v>629</v>
      </c>
      <c r="G431" s="97">
        <v>5</v>
      </c>
      <c r="H431" s="98" t="s">
        <v>744</v>
      </c>
      <c r="I431" s="99" t="str">
        <f t="shared" si="6"/>
        <v>의성|5</v>
      </c>
      <c r="J431" s="100">
        <v>2.7</v>
      </c>
      <c r="K431" s="100">
        <v>0.7</v>
      </c>
      <c r="L431" s="100">
        <v>0</v>
      </c>
      <c r="M431" s="100">
        <v>0</v>
      </c>
      <c r="N431" s="100">
        <v>0</v>
      </c>
      <c r="O431" s="100">
        <v>0</v>
      </c>
      <c r="P431" s="100">
        <v>0</v>
      </c>
      <c r="Q431" s="100">
        <v>0</v>
      </c>
      <c r="R431" s="100">
        <v>0</v>
      </c>
      <c r="S431" s="100">
        <v>0</v>
      </c>
      <c r="T431" s="100">
        <v>0</v>
      </c>
      <c r="U431" s="100">
        <v>1.8</v>
      </c>
    </row>
    <row r="432" spans="4:21">
      <c r="D432" s="97" t="s">
        <v>630</v>
      </c>
      <c r="E432" s="97" t="s">
        <v>606</v>
      </c>
      <c r="F432" s="94" t="s">
        <v>631</v>
      </c>
      <c r="G432" s="97">
        <v>5</v>
      </c>
      <c r="H432" s="98" t="s">
        <v>744</v>
      </c>
      <c r="I432" s="99" t="str">
        <f t="shared" si="6"/>
        <v>청송군|5</v>
      </c>
      <c r="J432" s="100">
        <v>3.7</v>
      </c>
      <c r="K432" s="100">
        <v>1.5</v>
      </c>
      <c r="L432" s="100">
        <v>0</v>
      </c>
      <c r="M432" s="100">
        <v>0</v>
      </c>
      <c r="N432" s="100">
        <v>0</v>
      </c>
      <c r="O432" s="100">
        <v>0</v>
      </c>
      <c r="P432" s="100">
        <v>0</v>
      </c>
      <c r="Q432" s="100">
        <v>0</v>
      </c>
      <c r="R432" s="100">
        <v>0</v>
      </c>
      <c r="S432" s="100">
        <v>0</v>
      </c>
      <c r="T432" s="100">
        <v>0</v>
      </c>
      <c r="U432" s="100">
        <v>2.8</v>
      </c>
    </row>
    <row r="433" spans="4:21">
      <c r="D433" s="97" t="s">
        <v>632</v>
      </c>
      <c r="E433" s="97" t="s">
        <v>606</v>
      </c>
      <c r="F433" s="94" t="s">
        <v>633</v>
      </c>
      <c r="G433" s="97">
        <v>5</v>
      </c>
      <c r="H433" s="98" t="s">
        <v>744</v>
      </c>
      <c r="I433" s="99" t="str">
        <f t="shared" si="6"/>
        <v>포항|5</v>
      </c>
      <c r="J433" s="100">
        <v>1.6</v>
      </c>
      <c r="K433" s="100">
        <v>0.4</v>
      </c>
      <c r="L433" s="100">
        <v>0</v>
      </c>
      <c r="M433" s="100">
        <v>0</v>
      </c>
      <c r="N433" s="100">
        <v>0</v>
      </c>
      <c r="O433" s="100">
        <v>0</v>
      </c>
      <c r="P433" s="100">
        <v>0</v>
      </c>
      <c r="Q433" s="100">
        <v>0</v>
      </c>
      <c r="R433" s="100">
        <v>0</v>
      </c>
      <c r="S433" s="100">
        <v>0</v>
      </c>
      <c r="T433" s="100">
        <v>0</v>
      </c>
      <c r="U433" s="100">
        <v>0.8</v>
      </c>
    </row>
    <row r="434" spans="4:21">
      <c r="D434" s="97" t="s">
        <v>634</v>
      </c>
      <c r="E434" s="97" t="s">
        <v>635</v>
      </c>
      <c r="F434" s="94" t="s">
        <v>636</v>
      </c>
      <c r="G434" s="97">
        <v>5</v>
      </c>
      <c r="H434" s="98" t="s">
        <v>744</v>
      </c>
      <c r="I434" s="99" t="str">
        <f t="shared" si="6"/>
        <v>광주|5</v>
      </c>
      <c r="J434" s="100">
        <v>2.2000000000000002</v>
      </c>
      <c r="K434" s="100">
        <v>0.8</v>
      </c>
      <c r="L434" s="100">
        <v>0</v>
      </c>
      <c r="M434" s="100">
        <v>0</v>
      </c>
      <c r="N434" s="100">
        <v>0</v>
      </c>
      <c r="O434" s="100">
        <v>0</v>
      </c>
      <c r="P434" s="100">
        <v>0</v>
      </c>
      <c r="Q434" s="100">
        <v>0</v>
      </c>
      <c r="R434" s="100">
        <v>0</v>
      </c>
      <c r="S434" s="100">
        <v>0</v>
      </c>
      <c r="T434" s="100">
        <v>0</v>
      </c>
      <c r="U434" s="100">
        <v>1</v>
      </c>
    </row>
    <row r="435" spans="4:21">
      <c r="D435" s="97" t="s">
        <v>637</v>
      </c>
      <c r="E435" s="97" t="s">
        <v>638</v>
      </c>
      <c r="F435" s="94" t="s">
        <v>639</v>
      </c>
      <c r="G435" s="97">
        <v>5</v>
      </c>
      <c r="H435" s="98" t="s">
        <v>744</v>
      </c>
      <c r="I435" s="99" t="str">
        <f t="shared" si="6"/>
        <v>대구|5</v>
      </c>
      <c r="J435" s="100">
        <v>2.2000000000000002</v>
      </c>
      <c r="K435" s="100">
        <v>0.5</v>
      </c>
      <c r="L435" s="100">
        <v>0</v>
      </c>
      <c r="M435" s="100">
        <v>0</v>
      </c>
      <c r="N435" s="100">
        <v>0</v>
      </c>
      <c r="O435" s="100">
        <v>0</v>
      </c>
      <c r="P435" s="100">
        <v>0</v>
      </c>
      <c r="Q435" s="100">
        <v>0</v>
      </c>
      <c r="R435" s="100">
        <v>0</v>
      </c>
      <c r="S435" s="100">
        <v>0</v>
      </c>
      <c r="T435" s="100">
        <v>0</v>
      </c>
      <c r="U435" s="100">
        <v>1.5</v>
      </c>
    </row>
    <row r="436" spans="4:21">
      <c r="D436" s="97" t="s">
        <v>640</v>
      </c>
      <c r="E436" s="97" t="s">
        <v>641</v>
      </c>
      <c r="F436" s="94" t="s">
        <v>642</v>
      </c>
      <c r="G436" s="97">
        <v>5</v>
      </c>
      <c r="H436" s="98" t="s">
        <v>744</v>
      </c>
      <c r="I436" s="99" t="str">
        <f t="shared" si="6"/>
        <v>대전|5</v>
      </c>
      <c r="J436" s="100">
        <v>3.9</v>
      </c>
      <c r="K436" s="100">
        <v>1</v>
      </c>
      <c r="L436" s="100">
        <v>0</v>
      </c>
      <c r="M436" s="100">
        <v>0</v>
      </c>
      <c r="N436" s="100">
        <v>0</v>
      </c>
      <c r="O436" s="100">
        <v>0</v>
      </c>
      <c r="P436" s="100">
        <v>0</v>
      </c>
      <c r="Q436" s="100">
        <v>0</v>
      </c>
      <c r="R436" s="100">
        <v>0</v>
      </c>
      <c r="S436" s="100">
        <v>0</v>
      </c>
      <c r="T436" s="100">
        <v>0</v>
      </c>
      <c r="U436" s="100">
        <v>2.6</v>
      </c>
    </row>
    <row r="437" spans="4:21">
      <c r="D437" s="97" t="s">
        <v>643</v>
      </c>
      <c r="E437" s="97" t="s">
        <v>644</v>
      </c>
      <c r="F437" s="94" t="s">
        <v>645</v>
      </c>
      <c r="G437" s="97">
        <v>5</v>
      </c>
      <c r="H437" s="98" t="s">
        <v>744</v>
      </c>
      <c r="I437" s="99" t="str">
        <f t="shared" si="6"/>
        <v>부산|5</v>
      </c>
      <c r="J437" s="100">
        <v>0.4</v>
      </c>
      <c r="K437" s="100">
        <v>0.1</v>
      </c>
      <c r="L437" s="100">
        <v>0</v>
      </c>
      <c r="M437" s="100">
        <v>0</v>
      </c>
      <c r="N437" s="100">
        <v>0</v>
      </c>
      <c r="O437" s="100">
        <v>0</v>
      </c>
      <c r="P437" s="100">
        <v>0</v>
      </c>
      <c r="Q437" s="100">
        <v>0</v>
      </c>
      <c r="R437" s="100">
        <v>0</v>
      </c>
      <c r="S437" s="100">
        <v>0</v>
      </c>
      <c r="T437" s="100">
        <v>0</v>
      </c>
      <c r="U437" s="100">
        <v>0.3</v>
      </c>
    </row>
    <row r="438" spans="4:21">
      <c r="D438" s="97" t="s">
        <v>64</v>
      </c>
      <c r="E438" s="97" t="s">
        <v>646</v>
      </c>
      <c r="F438" s="94" t="s">
        <v>647</v>
      </c>
      <c r="G438" s="97">
        <v>5</v>
      </c>
      <c r="H438" s="98" t="s">
        <v>744</v>
      </c>
      <c r="I438" s="99" t="str">
        <f t="shared" si="6"/>
        <v>서울|5</v>
      </c>
      <c r="J438" s="100">
        <v>7.1</v>
      </c>
      <c r="K438" s="100">
        <v>3.1</v>
      </c>
      <c r="L438" s="100">
        <v>0</v>
      </c>
      <c r="M438" s="100">
        <v>0</v>
      </c>
      <c r="N438" s="100">
        <v>0</v>
      </c>
      <c r="O438" s="100">
        <v>0</v>
      </c>
      <c r="P438" s="100">
        <v>0</v>
      </c>
      <c r="Q438" s="100">
        <v>0</v>
      </c>
      <c r="R438" s="100">
        <v>0</v>
      </c>
      <c r="S438" s="100">
        <v>0</v>
      </c>
      <c r="T438" s="100">
        <v>0.2</v>
      </c>
      <c r="U438" s="100">
        <v>6</v>
      </c>
    </row>
    <row r="439" spans="4:21">
      <c r="D439" s="97" t="s">
        <v>648</v>
      </c>
      <c r="E439" s="97" t="s">
        <v>649</v>
      </c>
      <c r="F439" s="94" t="s">
        <v>650</v>
      </c>
      <c r="G439" s="97">
        <v>5</v>
      </c>
      <c r="H439" s="98" t="s">
        <v>744</v>
      </c>
      <c r="I439" s="99" t="str">
        <f t="shared" si="6"/>
        <v>세종|5</v>
      </c>
      <c r="J439" s="100">
        <v>3.7</v>
      </c>
      <c r="K439" s="100">
        <v>1.5</v>
      </c>
      <c r="L439" s="100">
        <v>0</v>
      </c>
      <c r="M439" s="100">
        <v>0</v>
      </c>
      <c r="N439" s="100">
        <v>0</v>
      </c>
      <c r="O439" s="100">
        <v>0</v>
      </c>
      <c r="P439" s="100">
        <v>0</v>
      </c>
      <c r="Q439" s="100">
        <v>0</v>
      </c>
      <c r="R439" s="100">
        <v>0</v>
      </c>
      <c r="S439" s="100">
        <v>0</v>
      </c>
      <c r="T439" s="100">
        <v>0</v>
      </c>
      <c r="U439" s="100">
        <v>4</v>
      </c>
    </row>
    <row r="440" spans="4:21">
      <c r="D440" s="97" t="s">
        <v>651</v>
      </c>
      <c r="E440" s="97" t="s">
        <v>652</v>
      </c>
      <c r="F440" s="94" t="s">
        <v>653</v>
      </c>
      <c r="G440" s="97">
        <v>5</v>
      </c>
      <c r="H440" s="98" t="s">
        <v>744</v>
      </c>
      <c r="I440" s="99" t="str">
        <f t="shared" si="6"/>
        <v>울산|5</v>
      </c>
      <c r="J440" s="100">
        <v>1.4</v>
      </c>
      <c r="K440" s="100">
        <v>0.4</v>
      </c>
      <c r="L440" s="100">
        <v>0</v>
      </c>
      <c r="M440" s="100">
        <v>0</v>
      </c>
      <c r="N440" s="100">
        <v>0</v>
      </c>
      <c r="O440" s="100">
        <v>0</v>
      </c>
      <c r="P440" s="100">
        <v>0</v>
      </c>
      <c r="Q440" s="100">
        <v>0</v>
      </c>
      <c r="R440" s="100">
        <v>0</v>
      </c>
      <c r="S440" s="100">
        <v>0</v>
      </c>
      <c r="T440" s="100">
        <v>0</v>
      </c>
      <c r="U440" s="100">
        <v>0.8</v>
      </c>
    </row>
    <row r="441" spans="4:21">
      <c r="D441" s="97" t="s">
        <v>654</v>
      </c>
      <c r="E441" s="97" t="s">
        <v>655</v>
      </c>
      <c r="F441" s="94" t="s">
        <v>656</v>
      </c>
      <c r="G441" s="97">
        <v>5</v>
      </c>
      <c r="H441" s="98" t="s">
        <v>744</v>
      </c>
      <c r="I441" s="99" t="str">
        <f t="shared" si="6"/>
        <v>강화|5</v>
      </c>
      <c r="J441" s="100">
        <v>8.1</v>
      </c>
      <c r="K441" s="100">
        <v>3.4</v>
      </c>
      <c r="L441" s="100">
        <v>0.1</v>
      </c>
      <c r="M441" s="100">
        <v>0</v>
      </c>
      <c r="N441" s="100">
        <v>0</v>
      </c>
      <c r="O441" s="100">
        <v>0</v>
      </c>
      <c r="P441" s="100">
        <v>0</v>
      </c>
      <c r="Q441" s="100">
        <v>0</v>
      </c>
      <c r="R441" s="100">
        <v>0</v>
      </c>
      <c r="S441" s="100">
        <v>0</v>
      </c>
      <c r="T441" s="100">
        <v>0.2</v>
      </c>
      <c r="U441" s="100">
        <v>6.6</v>
      </c>
    </row>
    <row r="442" spans="4:21">
      <c r="D442" s="97" t="s">
        <v>657</v>
      </c>
      <c r="E442" s="97" t="s">
        <v>655</v>
      </c>
      <c r="F442" s="94" t="s">
        <v>658</v>
      </c>
      <c r="G442" s="97">
        <v>5</v>
      </c>
      <c r="H442" s="98" t="s">
        <v>744</v>
      </c>
      <c r="I442" s="99" t="str">
        <f t="shared" si="6"/>
        <v>백령도|5</v>
      </c>
      <c r="J442" s="100">
        <v>7.6</v>
      </c>
      <c r="K442" s="100">
        <v>4.9000000000000004</v>
      </c>
      <c r="L442" s="100">
        <v>0.4</v>
      </c>
      <c r="M442" s="100">
        <v>0</v>
      </c>
      <c r="N442" s="100">
        <v>0</v>
      </c>
      <c r="O442" s="100">
        <v>0</v>
      </c>
      <c r="P442" s="100">
        <v>0</v>
      </c>
      <c r="Q442" s="100">
        <v>0</v>
      </c>
      <c r="R442" s="100">
        <v>0</v>
      </c>
      <c r="S442" s="100">
        <v>0</v>
      </c>
      <c r="T442" s="100">
        <v>0.2</v>
      </c>
      <c r="U442" s="100">
        <v>4.2</v>
      </c>
    </row>
    <row r="443" spans="4:21">
      <c r="D443" s="97" t="s">
        <v>659</v>
      </c>
      <c r="E443" s="97" t="s">
        <v>655</v>
      </c>
      <c r="F443" s="94" t="s">
        <v>660</v>
      </c>
      <c r="G443" s="97">
        <v>5</v>
      </c>
      <c r="H443" s="98" t="s">
        <v>744</v>
      </c>
      <c r="I443" s="99" t="str">
        <f t="shared" si="6"/>
        <v>인천|5</v>
      </c>
      <c r="J443" s="100">
        <v>8.4</v>
      </c>
      <c r="K443" s="100">
        <v>3.9</v>
      </c>
      <c r="L443" s="100">
        <v>0</v>
      </c>
      <c r="M443" s="100">
        <v>0</v>
      </c>
      <c r="N443" s="100">
        <v>0</v>
      </c>
      <c r="O443" s="100">
        <v>0</v>
      </c>
      <c r="P443" s="100">
        <v>0</v>
      </c>
      <c r="Q443" s="100">
        <v>0</v>
      </c>
      <c r="R443" s="100">
        <v>0</v>
      </c>
      <c r="S443" s="100">
        <v>0</v>
      </c>
      <c r="T443" s="100">
        <v>0.2</v>
      </c>
      <c r="U443" s="100">
        <v>6.3</v>
      </c>
    </row>
    <row r="444" spans="4:21">
      <c r="D444" s="97" t="s">
        <v>661</v>
      </c>
      <c r="E444" s="97" t="s">
        <v>662</v>
      </c>
      <c r="F444" s="94" t="s">
        <v>663</v>
      </c>
      <c r="G444" s="97">
        <v>5</v>
      </c>
      <c r="H444" s="98" t="s">
        <v>744</v>
      </c>
      <c r="I444" s="99" t="str">
        <f t="shared" si="6"/>
        <v>강진군|5</v>
      </c>
      <c r="J444" s="100">
        <v>1.5</v>
      </c>
      <c r="K444" s="100">
        <v>0.6</v>
      </c>
      <c r="L444" s="100">
        <v>0</v>
      </c>
      <c r="M444" s="100">
        <v>0</v>
      </c>
      <c r="N444" s="100">
        <v>0</v>
      </c>
      <c r="O444" s="100">
        <v>0</v>
      </c>
      <c r="P444" s="100">
        <v>0</v>
      </c>
      <c r="Q444" s="100">
        <v>0</v>
      </c>
      <c r="R444" s="100">
        <v>0</v>
      </c>
      <c r="S444" s="100">
        <v>0</v>
      </c>
      <c r="T444" s="100">
        <v>0</v>
      </c>
      <c r="U444" s="100">
        <v>0.7</v>
      </c>
    </row>
    <row r="445" spans="4:21">
      <c r="D445" s="97" t="s">
        <v>664</v>
      </c>
      <c r="E445" s="97" t="s">
        <v>662</v>
      </c>
      <c r="F445" s="94" t="s">
        <v>665</v>
      </c>
      <c r="G445" s="97">
        <v>5</v>
      </c>
      <c r="H445" s="98" t="s">
        <v>744</v>
      </c>
      <c r="I445" s="99" t="str">
        <f t="shared" si="6"/>
        <v>고흥|5</v>
      </c>
      <c r="J445" s="100">
        <v>1.2</v>
      </c>
      <c r="K445" s="100">
        <v>0.4</v>
      </c>
      <c r="L445" s="100">
        <v>0</v>
      </c>
      <c r="M445" s="100">
        <v>0</v>
      </c>
      <c r="N445" s="100">
        <v>0</v>
      </c>
      <c r="O445" s="100">
        <v>0</v>
      </c>
      <c r="P445" s="100">
        <v>0</v>
      </c>
      <c r="Q445" s="100">
        <v>0</v>
      </c>
      <c r="R445" s="100">
        <v>0</v>
      </c>
      <c r="S445" s="100">
        <v>0</v>
      </c>
      <c r="T445" s="100">
        <v>0</v>
      </c>
      <c r="U445" s="100">
        <v>0.3</v>
      </c>
    </row>
    <row r="446" spans="4:21">
      <c r="D446" s="97" t="s">
        <v>666</v>
      </c>
      <c r="E446" s="97" t="s">
        <v>662</v>
      </c>
      <c r="F446" s="94" t="s">
        <v>667</v>
      </c>
      <c r="G446" s="97">
        <v>5</v>
      </c>
      <c r="H446" s="98" t="s">
        <v>744</v>
      </c>
      <c r="I446" s="99" t="str">
        <f t="shared" si="6"/>
        <v>광양시|5</v>
      </c>
      <c r="J446" s="100">
        <v>1.1000000000000001</v>
      </c>
      <c r="K446" s="100">
        <v>0.3</v>
      </c>
      <c r="L446" s="100">
        <v>0</v>
      </c>
      <c r="M446" s="100">
        <v>0</v>
      </c>
      <c r="N446" s="100">
        <v>0</v>
      </c>
      <c r="O446" s="100">
        <v>0</v>
      </c>
      <c r="P446" s="100">
        <v>0</v>
      </c>
      <c r="Q446" s="100">
        <v>0</v>
      </c>
      <c r="R446" s="100">
        <v>0</v>
      </c>
      <c r="S446" s="100">
        <v>0</v>
      </c>
      <c r="T446" s="100">
        <v>0</v>
      </c>
      <c r="U446" s="100">
        <v>0.3</v>
      </c>
    </row>
    <row r="447" spans="4:21">
      <c r="D447" s="97" t="s">
        <v>668</v>
      </c>
      <c r="E447" s="97" t="s">
        <v>662</v>
      </c>
      <c r="F447" s="94" t="s">
        <v>669</v>
      </c>
      <c r="G447" s="97">
        <v>5</v>
      </c>
      <c r="H447" s="98" t="s">
        <v>744</v>
      </c>
      <c r="I447" s="99" t="str">
        <f t="shared" si="6"/>
        <v>목포|5</v>
      </c>
      <c r="J447" s="100">
        <v>2.2999999999999998</v>
      </c>
      <c r="K447" s="100">
        <v>1.3</v>
      </c>
      <c r="L447" s="100">
        <v>0</v>
      </c>
      <c r="M447" s="100">
        <v>0</v>
      </c>
      <c r="N447" s="100">
        <v>0</v>
      </c>
      <c r="O447" s="100">
        <v>0</v>
      </c>
      <c r="P447" s="100">
        <v>0</v>
      </c>
      <c r="Q447" s="100">
        <v>0</v>
      </c>
      <c r="R447" s="100">
        <v>0</v>
      </c>
      <c r="S447" s="100">
        <v>0</v>
      </c>
      <c r="T447" s="100">
        <v>0</v>
      </c>
      <c r="U447" s="100">
        <v>1.4</v>
      </c>
    </row>
    <row r="448" spans="4:21">
      <c r="D448" s="97" t="s">
        <v>670</v>
      </c>
      <c r="E448" s="97" t="s">
        <v>662</v>
      </c>
      <c r="F448" s="94" t="s">
        <v>671</v>
      </c>
      <c r="G448" s="97">
        <v>5</v>
      </c>
      <c r="H448" s="98" t="s">
        <v>744</v>
      </c>
      <c r="I448" s="99" t="str">
        <f t="shared" si="6"/>
        <v>보성군|5</v>
      </c>
      <c r="J448" s="100">
        <v>1</v>
      </c>
      <c r="K448" s="100">
        <v>0.4</v>
      </c>
      <c r="L448" s="100">
        <v>0</v>
      </c>
      <c r="M448" s="100">
        <v>0</v>
      </c>
      <c r="N448" s="100">
        <v>0</v>
      </c>
      <c r="O448" s="100">
        <v>0</v>
      </c>
      <c r="P448" s="100">
        <v>0</v>
      </c>
      <c r="Q448" s="100">
        <v>0</v>
      </c>
      <c r="R448" s="100">
        <v>0</v>
      </c>
      <c r="S448" s="100">
        <v>0</v>
      </c>
      <c r="T448" s="100">
        <v>0</v>
      </c>
      <c r="U448" s="100">
        <v>0.3</v>
      </c>
    </row>
    <row r="449" spans="4:21">
      <c r="D449" s="97" t="s">
        <v>672</v>
      </c>
      <c r="E449" s="97" t="s">
        <v>662</v>
      </c>
      <c r="F449" s="94" t="s">
        <v>673</v>
      </c>
      <c r="G449" s="97">
        <v>5</v>
      </c>
      <c r="H449" s="98" t="s">
        <v>744</v>
      </c>
      <c r="I449" s="99" t="str">
        <f t="shared" si="6"/>
        <v>순천|5</v>
      </c>
      <c r="J449" s="100">
        <v>2.6</v>
      </c>
      <c r="K449" s="100">
        <v>0.9</v>
      </c>
      <c r="L449" s="100">
        <v>0</v>
      </c>
      <c r="M449" s="100">
        <v>0</v>
      </c>
      <c r="N449" s="100">
        <v>0</v>
      </c>
      <c r="O449" s="100">
        <v>0</v>
      </c>
      <c r="P449" s="100">
        <v>0</v>
      </c>
      <c r="Q449" s="100">
        <v>0</v>
      </c>
      <c r="R449" s="100">
        <v>0</v>
      </c>
      <c r="S449" s="100">
        <v>0</v>
      </c>
      <c r="T449" s="100">
        <v>0</v>
      </c>
      <c r="U449" s="100">
        <v>1.1000000000000001</v>
      </c>
    </row>
    <row r="450" spans="4:21">
      <c r="D450" s="97" t="s">
        <v>674</v>
      </c>
      <c r="E450" s="97" t="s">
        <v>662</v>
      </c>
      <c r="F450" s="94" t="s">
        <v>675</v>
      </c>
      <c r="G450" s="97">
        <v>5</v>
      </c>
      <c r="H450" s="98" t="s">
        <v>744</v>
      </c>
      <c r="I450" s="99" t="str">
        <f t="shared" si="6"/>
        <v>여수|5</v>
      </c>
      <c r="J450" s="100">
        <v>1.3</v>
      </c>
      <c r="K450" s="100">
        <v>0.3</v>
      </c>
      <c r="L450" s="100">
        <v>0</v>
      </c>
      <c r="M450" s="100">
        <v>0</v>
      </c>
      <c r="N450" s="100">
        <v>0</v>
      </c>
      <c r="O450" s="100">
        <v>0</v>
      </c>
      <c r="P450" s="100">
        <v>0</v>
      </c>
      <c r="Q450" s="100">
        <v>0</v>
      </c>
      <c r="R450" s="100">
        <v>0</v>
      </c>
      <c r="S450" s="100">
        <v>0</v>
      </c>
      <c r="T450" s="100">
        <v>0</v>
      </c>
      <c r="U450" s="100">
        <v>0.5</v>
      </c>
    </row>
    <row r="451" spans="4:21">
      <c r="D451" s="97" t="s">
        <v>676</v>
      </c>
      <c r="E451" s="97" t="s">
        <v>662</v>
      </c>
      <c r="F451" s="94" t="s">
        <v>677</v>
      </c>
      <c r="G451" s="97">
        <v>5</v>
      </c>
      <c r="H451" s="98" t="s">
        <v>744</v>
      </c>
      <c r="I451" s="99" t="str">
        <f t="shared" si="6"/>
        <v>영광군|5</v>
      </c>
      <c r="J451" s="100">
        <v>3.1</v>
      </c>
      <c r="K451" s="100">
        <v>1.7</v>
      </c>
      <c r="L451" s="100">
        <v>0</v>
      </c>
      <c r="M451" s="100">
        <v>0</v>
      </c>
      <c r="N451" s="100">
        <v>0</v>
      </c>
      <c r="O451" s="100">
        <v>0</v>
      </c>
      <c r="P451" s="100">
        <v>0</v>
      </c>
      <c r="Q451" s="100">
        <v>0</v>
      </c>
      <c r="R451" s="100">
        <v>0</v>
      </c>
      <c r="S451" s="100">
        <v>0</v>
      </c>
      <c r="T451" s="100">
        <v>0</v>
      </c>
      <c r="U451" s="100">
        <v>2.1</v>
      </c>
    </row>
    <row r="452" spans="4:21">
      <c r="D452" s="97" t="s">
        <v>678</v>
      </c>
      <c r="E452" s="97" t="s">
        <v>662</v>
      </c>
      <c r="F452" s="94" t="s">
        <v>679</v>
      </c>
      <c r="G452" s="97">
        <v>5</v>
      </c>
      <c r="H452" s="98" t="s">
        <v>744</v>
      </c>
      <c r="I452" s="99" t="str">
        <f t="shared" si="6"/>
        <v>완도|5</v>
      </c>
      <c r="J452" s="100">
        <v>1.2</v>
      </c>
      <c r="K452" s="100">
        <v>0.3</v>
      </c>
      <c r="L452" s="100">
        <v>0</v>
      </c>
      <c r="M452" s="100">
        <v>0</v>
      </c>
      <c r="N452" s="100">
        <v>0</v>
      </c>
      <c r="O452" s="100">
        <v>0</v>
      </c>
      <c r="P452" s="100">
        <v>0</v>
      </c>
      <c r="Q452" s="100">
        <v>0</v>
      </c>
      <c r="R452" s="100">
        <v>0</v>
      </c>
      <c r="S452" s="100">
        <v>0</v>
      </c>
      <c r="T452" s="100">
        <v>0</v>
      </c>
      <c r="U452" s="100">
        <v>0.4</v>
      </c>
    </row>
    <row r="453" spans="4:21">
      <c r="D453" s="97" t="s">
        <v>680</v>
      </c>
      <c r="E453" s="97" t="s">
        <v>662</v>
      </c>
      <c r="F453" s="94" t="s">
        <v>681</v>
      </c>
      <c r="G453" s="97">
        <v>5</v>
      </c>
      <c r="H453" s="98" t="s">
        <v>744</v>
      </c>
      <c r="I453" s="99" t="str">
        <f t="shared" si="6"/>
        <v>장흥|5</v>
      </c>
      <c r="J453" s="100">
        <v>1.5</v>
      </c>
      <c r="K453" s="100">
        <v>0.6</v>
      </c>
      <c r="L453" s="100">
        <v>0</v>
      </c>
      <c r="M453" s="100">
        <v>0</v>
      </c>
      <c r="N453" s="100">
        <v>0</v>
      </c>
      <c r="O453" s="100">
        <v>0</v>
      </c>
      <c r="P453" s="100">
        <v>0</v>
      </c>
      <c r="Q453" s="100">
        <v>0</v>
      </c>
      <c r="R453" s="100">
        <v>0</v>
      </c>
      <c r="S453" s="100">
        <v>0</v>
      </c>
      <c r="T453" s="100">
        <v>0</v>
      </c>
      <c r="U453" s="100">
        <v>0.8</v>
      </c>
    </row>
    <row r="454" spans="4:21">
      <c r="D454" s="97" t="s">
        <v>682</v>
      </c>
      <c r="E454" s="97" t="s">
        <v>662</v>
      </c>
      <c r="F454" s="94" t="s">
        <v>683</v>
      </c>
      <c r="G454" s="97">
        <v>5</v>
      </c>
      <c r="H454" s="98" t="s">
        <v>744</v>
      </c>
      <c r="I454" s="99" t="str">
        <f t="shared" si="6"/>
        <v>진도군|5</v>
      </c>
      <c r="J454" s="100">
        <v>1.3</v>
      </c>
      <c r="K454" s="100">
        <v>0.4</v>
      </c>
      <c r="L454" s="100">
        <v>0</v>
      </c>
      <c r="M454" s="100">
        <v>0</v>
      </c>
      <c r="N454" s="100">
        <v>0</v>
      </c>
      <c r="O454" s="100">
        <v>0</v>
      </c>
      <c r="P454" s="100">
        <v>0</v>
      </c>
      <c r="Q454" s="100">
        <v>0</v>
      </c>
      <c r="R454" s="100">
        <v>0</v>
      </c>
      <c r="S454" s="100">
        <v>0</v>
      </c>
      <c r="T454" s="100">
        <v>0</v>
      </c>
      <c r="U454" s="100">
        <v>0.3</v>
      </c>
    </row>
    <row r="455" spans="4:21">
      <c r="D455" s="97" t="s">
        <v>684</v>
      </c>
      <c r="E455" s="97" t="s">
        <v>662</v>
      </c>
      <c r="F455" s="94" t="s">
        <v>685</v>
      </c>
      <c r="G455" s="97">
        <v>5</v>
      </c>
      <c r="H455" s="98" t="s">
        <v>744</v>
      </c>
      <c r="I455" s="99" t="str">
        <f t="shared" ref="I455:I518" si="7">$D455&amp;"|"&amp;$G455</f>
        <v>해남|5</v>
      </c>
      <c r="J455" s="100">
        <v>1.5</v>
      </c>
      <c r="K455" s="100">
        <v>1</v>
      </c>
      <c r="L455" s="100">
        <v>0</v>
      </c>
      <c r="M455" s="100">
        <v>0</v>
      </c>
      <c r="N455" s="100">
        <v>0</v>
      </c>
      <c r="O455" s="100">
        <v>0</v>
      </c>
      <c r="P455" s="100">
        <v>0</v>
      </c>
      <c r="Q455" s="100">
        <v>0</v>
      </c>
      <c r="R455" s="100">
        <v>0</v>
      </c>
      <c r="S455" s="100">
        <v>0</v>
      </c>
      <c r="T455" s="100">
        <v>0</v>
      </c>
      <c r="U455" s="100">
        <v>0.8</v>
      </c>
    </row>
    <row r="456" spans="4:21">
      <c r="D456" s="97" t="s">
        <v>686</v>
      </c>
      <c r="E456" s="97" t="s">
        <v>662</v>
      </c>
      <c r="F456" s="94" t="s">
        <v>687</v>
      </c>
      <c r="G456" s="97">
        <v>5</v>
      </c>
      <c r="H456" s="98" t="s">
        <v>744</v>
      </c>
      <c r="I456" s="99" t="str">
        <f t="shared" si="7"/>
        <v>흑산도|5</v>
      </c>
      <c r="J456" s="100">
        <v>1.2</v>
      </c>
      <c r="K456" s="100">
        <v>0.2</v>
      </c>
      <c r="L456" s="100">
        <v>0</v>
      </c>
      <c r="M456" s="100">
        <v>0</v>
      </c>
      <c r="N456" s="100">
        <v>0</v>
      </c>
      <c r="O456" s="100">
        <v>0</v>
      </c>
      <c r="P456" s="100">
        <v>0</v>
      </c>
      <c r="Q456" s="100">
        <v>0</v>
      </c>
      <c r="R456" s="100">
        <v>0</v>
      </c>
      <c r="S456" s="100">
        <v>0</v>
      </c>
      <c r="T456" s="100">
        <v>0</v>
      </c>
      <c r="U456" s="100">
        <v>0.1</v>
      </c>
    </row>
    <row r="457" spans="4:21">
      <c r="D457" s="97" t="s">
        <v>688</v>
      </c>
      <c r="E457" s="97" t="s">
        <v>689</v>
      </c>
      <c r="F457" s="94" t="s">
        <v>690</v>
      </c>
      <c r="G457" s="97">
        <v>5</v>
      </c>
      <c r="H457" s="98" t="s">
        <v>744</v>
      </c>
      <c r="I457" s="99" t="str">
        <f t="shared" si="7"/>
        <v>고창|5</v>
      </c>
      <c r="J457" s="100">
        <v>3.5</v>
      </c>
      <c r="K457" s="100">
        <v>1.6</v>
      </c>
      <c r="L457" s="100">
        <v>0</v>
      </c>
      <c r="M457" s="100">
        <v>0</v>
      </c>
      <c r="N457" s="100">
        <v>0</v>
      </c>
      <c r="O457" s="100">
        <v>0</v>
      </c>
      <c r="P457" s="100">
        <v>0</v>
      </c>
      <c r="Q457" s="100">
        <v>0</v>
      </c>
      <c r="R457" s="100">
        <v>0</v>
      </c>
      <c r="S457" s="100">
        <v>0</v>
      </c>
      <c r="T457" s="100">
        <v>0</v>
      </c>
      <c r="U457" s="100">
        <v>2.4</v>
      </c>
    </row>
    <row r="458" spans="4:21">
      <c r="D458" s="97" t="s">
        <v>691</v>
      </c>
      <c r="E458" s="97" t="s">
        <v>689</v>
      </c>
      <c r="F458" s="94" t="s">
        <v>692</v>
      </c>
      <c r="G458" s="97">
        <v>5</v>
      </c>
      <c r="H458" s="98" t="s">
        <v>744</v>
      </c>
      <c r="I458" s="99" t="str">
        <f t="shared" si="7"/>
        <v>고창군|5</v>
      </c>
      <c r="J458" s="100">
        <v>3.4</v>
      </c>
      <c r="K458" s="100">
        <v>1.4</v>
      </c>
      <c r="L458" s="100">
        <v>0</v>
      </c>
      <c r="M458" s="100">
        <v>0</v>
      </c>
      <c r="N458" s="100">
        <v>0</v>
      </c>
      <c r="O458" s="100">
        <v>0</v>
      </c>
      <c r="P458" s="100">
        <v>0</v>
      </c>
      <c r="Q458" s="100">
        <v>0</v>
      </c>
      <c r="R458" s="100">
        <v>0</v>
      </c>
      <c r="S458" s="100">
        <v>0</v>
      </c>
      <c r="T458" s="100">
        <v>0</v>
      </c>
      <c r="U458" s="100">
        <v>2.4</v>
      </c>
    </row>
    <row r="459" spans="4:21">
      <c r="D459" s="97" t="s">
        <v>693</v>
      </c>
      <c r="E459" s="97" t="s">
        <v>689</v>
      </c>
      <c r="F459" s="94" t="s">
        <v>694</v>
      </c>
      <c r="G459" s="97">
        <v>5</v>
      </c>
      <c r="H459" s="98" t="s">
        <v>744</v>
      </c>
      <c r="I459" s="99" t="str">
        <f t="shared" si="7"/>
        <v>군산|5</v>
      </c>
      <c r="J459" s="100">
        <v>3.2</v>
      </c>
      <c r="K459" s="100">
        <v>1.1000000000000001</v>
      </c>
      <c r="L459" s="100">
        <v>0</v>
      </c>
      <c r="M459" s="100">
        <v>0</v>
      </c>
      <c r="N459" s="100">
        <v>0</v>
      </c>
      <c r="O459" s="100">
        <v>0</v>
      </c>
      <c r="P459" s="100">
        <v>0</v>
      </c>
      <c r="Q459" s="100">
        <v>0</v>
      </c>
      <c r="R459" s="100">
        <v>0</v>
      </c>
      <c r="S459" s="100">
        <v>0</v>
      </c>
      <c r="T459" s="100">
        <v>0</v>
      </c>
      <c r="U459" s="100">
        <v>1.8</v>
      </c>
    </row>
    <row r="460" spans="4:21">
      <c r="D460" s="97" t="s">
        <v>695</v>
      </c>
      <c r="E460" s="97" t="s">
        <v>689</v>
      </c>
      <c r="F460" s="94" t="s">
        <v>696</v>
      </c>
      <c r="G460" s="97">
        <v>5</v>
      </c>
      <c r="H460" s="98" t="s">
        <v>744</v>
      </c>
      <c r="I460" s="99" t="str">
        <f t="shared" si="7"/>
        <v>남원|5</v>
      </c>
      <c r="J460" s="100">
        <v>3.4</v>
      </c>
      <c r="K460" s="100">
        <v>1.4</v>
      </c>
      <c r="L460" s="100">
        <v>0</v>
      </c>
      <c r="M460" s="100">
        <v>0</v>
      </c>
      <c r="N460" s="100">
        <v>0</v>
      </c>
      <c r="O460" s="100">
        <v>0</v>
      </c>
      <c r="P460" s="100">
        <v>0</v>
      </c>
      <c r="Q460" s="100">
        <v>0</v>
      </c>
      <c r="R460" s="100">
        <v>0</v>
      </c>
      <c r="S460" s="100">
        <v>0</v>
      </c>
      <c r="T460" s="100">
        <v>0</v>
      </c>
      <c r="U460" s="100">
        <v>2</v>
      </c>
    </row>
    <row r="461" spans="4:21">
      <c r="D461" s="97" t="s">
        <v>697</v>
      </c>
      <c r="E461" s="97" t="s">
        <v>689</v>
      </c>
      <c r="F461" s="94" t="s">
        <v>698</v>
      </c>
      <c r="G461" s="97">
        <v>5</v>
      </c>
      <c r="H461" s="98" t="s">
        <v>744</v>
      </c>
      <c r="I461" s="99" t="str">
        <f t="shared" si="7"/>
        <v>부안|5</v>
      </c>
      <c r="J461" s="100">
        <v>3.1</v>
      </c>
      <c r="K461" s="100">
        <v>1.2</v>
      </c>
      <c r="L461" s="100">
        <v>0</v>
      </c>
      <c r="M461" s="100">
        <v>0</v>
      </c>
      <c r="N461" s="100">
        <v>0</v>
      </c>
      <c r="O461" s="100">
        <v>0</v>
      </c>
      <c r="P461" s="100">
        <v>0</v>
      </c>
      <c r="Q461" s="100">
        <v>0</v>
      </c>
      <c r="R461" s="100">
        <v>0</v>
      </c>
      <c r="S461" s="100">
        <v>0</v>
      </c>
      <c r="T461" s="100">
        <v>0</v>
      </c>
      <c r="U461" s="100">
        <v>1.8</v>
      </c>
    </row>
    <row r="462" spans="4:21">
      <c r="D462" s="97" t="s">
        <v>699</v>
      </c>
      <c r="E462" s="97" t="s">
        <v>689</v>
      </c>
      <c r="F462" s="94" t="s">
        <v>700</v>
      </c>
      <c r="G462" s="97">
        <v>5</v>
      </c>
      <c r="H462" s="98" t="s">
        <v>744</v>
      </c>
      <c r="I462" s="99" t="str">
        <f t="shared" si="7"/>
        <v>순창군|5</v>
      </c>
      <c r="J462" s="100">
        <v>3.7</v>
      </c>
      <c r="K462" s="100">
        <v>1.9</v>
      </c>
      <c r="L462" s="100">
        <v>0</v>
      </c>
      <c r="M462" s="100">
        <v>0</v>
      </c>
      <c r="N462" s="100">
        <v>0</v>
      </c>
      <c r="O462" s="100">
        <v>0</v>
      </c>
      <c r="P462" s="100">
        <v>0</v>
      </c>
      <c r="Q462" s="100">
        <v>0</v>
      </c>
      <c r="R462" s="100">
        <v>0</v>
      </c>
      <c r="S462" s="100">
        <v>0</v>
      </c>
      <c r="T462" s="100">
        <v>0</v>
      </c>
      <c r="U462" s="100">
        <v>2.1</v>
      </c>
    </row>
    <row r="463" spans="4:21">
      <c r="D463" s="97" t="s">
        <v>701</v>
      </c>
      <c r="E463" s="97" t="s">
        <v>689</v>
      </c>
      <c r="F463" s="94" t="s">
        <v>702</v>
      </c>
      <c r="G463" s="97">
        <v>5</v>
      </c>
      <c r="H463" s="98" t="s">
        <v>744</v>
      </c>
      <c r="I463" s="99" t="str">
        <f t="shared" si="7"/>
        <v>임실|5</v>
      </c>
      <c r="J463" s="100">
        <v>4</v>
      </c>
      <c r="K463" s="100">
        <v>1.8</v>
      </c>
      <c r="L463" s="100">
        <v>0</v>
      </c>
      <c r="M463" s="100">
        <v>0</v>
      </c>
      <c r="N463" s="100">
        <v>0</v>
      </c>
      <c r="O463" s="100">
        <v>0</v>
      </c>
      <c r="P463" s="100">
        <v>0</v>
      </c>
      <c r="Q463" s="100">
        <v>0</v>
      </c>
      <c r="R463" s="100">
        <v>0</v>
      </c>
      <c r="S463" s="100">
        <v>0</v>
      </c>
      <c r="T463" s="100">
        <v>0</v>
      </c>
      <c r="U463" s="100">
        <v>2.6</v>
      </c>
    </row>
    <row r="464" spans="4:21">
      <c r="D464" s="97" t="s">
        <v>703</v>
      </c>
      <c r="E464" s="97" t="s">
        <v>689</v>
      </c>
      <c r="F464" s="94" t="s">
        <v>704</v>
      </c>
      <c r="G464" s="97">
        <v>5</v>
      </c>
      <c r="H464" s="98" t="s">
        <v>744</v>
      </c>
      <c r="I464" s="99" t="str">
        <f t="shared" si="7"/>
        <v>장수|5</v>
      </c>
      <c r="J464" s="100">
        <v>4.9000000000000004</v>
      </c>
      <c r="K464" s="100">
        <v>2.9</v>
      </c>
      <c r="L464" s="100">
        <v>0.1</v>
      </c>
      <c r="M464" s="100">
        <v>0</v>
      </c>
      <c r="N464" s="100">
        <v>0</v>
      </c>
      <c r="O464" s="100">
        <v>0</v>
      </c>
      <c r="P464" s="100">
        <v>0</v>
      </c>
      <c r="Q464" s="100">
        <v>0</v>
      </c>
      <c r="R464" s="100">
        <v>0</v>
      </c>
      <c r="S464" s="100">
        <v>0</v>
      </c>
      <c r="T464" s="100">
        <v>0</v>
      </c>
      <c r="U464" s="100">
        <v>3.8</v>
      </c>
    </row>
    <row r="465" spans="4:21">
      <c r="D465" s="97" t="s">
        <v>705</v>
      </c>
      <c r="E465" s="97" t="s">
        <v>689</v>
      </c>
      <c r="F465" s="94" t="s">
        <v>706</v>
      </c>
      <c r="G465" s="97">
        <v>5</v>
      </c>
      <c r="H465" s="98" t="s">
        <v>744</v>
      </c>
      <c r="I465" s="99" t="str">
        <f t="shared" si="7"/>
        <v>전주|5</v>
      </c>
      <c r="J465" s="100">
        <v>3.1</v>
      </c>
      <c r="K465" s="100">
        <v>0.7</v>
      </c>
      <c r="L465" s="100">
        <v>0</v>
      </c>
      <c r="M465" s="100">
        <v>0</v>
      </c>
      <c r="N465" s="100">
        <v>0</v>
      </c>
      <c r="O465" s="100">
        <v>0</v>
      </c>
      <c r="P465" s="100">
        <v>0</v>
      </c>
      <c r="Q465" s="100">
        <v>0</v>
      </c>
      <c r="R465" s="100">
        <v>0</v>
      </c>
      <c r="S465" s="100">
        <v>0</v>
      </c>
      <c r="T465" s="100">
        <v>0</v>
      </c>
      <c r="U465" s="100">
        <v>2.2999999999999998</v>
      </c>
    </row>
    <row r="466" spans="4:21">
      <c r="D466" s="97" t="s">
        <v>707</v>
      </c>
      <c r="E466" s="97" t="s">
        <v>689</v>
      </c>
      <c r="F466" s="94" t="s">
        <v>708</v>
      </c>
      <c r="G466" s="97">
        <v>5</v>
      </c>
      <c r="H466" s="98" t="s">
        <v>744</v>
      </c>
      <c r="I466" s="99" t="str">
        <f t="shared" si="7"/>
        <v>정읍|5</v>
      </c>
      <c r="J466" s="100">
        <v>3.7</v>
      </c>
      <c r="K466" s="100">
        <v>2.1</v>
      </c>
      <c r="L466" s="100">
        <v>0</v>
      </c>
      <c r="M466" s="100">
        <v>0</v>
      </c>
      <c r="N466" s="100">
        <v>0</v>
      </c>
      <c r="O466" s="100">
        <v>0</v>
      </c>
      <c r="P466" s="100">
        <v>0</v>
      </c>
      <c r="Q466" s="100">
        <v>0</v>
      </c>
      <c r="R466" s="100">
        <v>0</v>
      </c>
      <c r="S466" s="100">
        <v>0</v>
      </c>
      <c r="T466" s="100">
        <v>0</v>
      </c>
      <c r="U466" s="100">
        <v>2.7</v>
      </c>
    </row>
    <row r="467" spans="4:21">
      <c r="D467" s="97" t="s">
        <v>709</v>
      </c>
      <c r="E467" s="97" t="s">
        <v>710</v>
      </c>
      <c r="F467" s="94" t="s">
        <v>711</v>
      </c>
      <c r="G467" s="97">
        <v>5</v>
      </c>
      <c r="H467" s="98" t="s">
        <v>744</v>
      </c>
      <c r="I467" s="99" t="str">
        <f t="shared" si="7"/>
        <v>고산|5</v>
      </c>
      <c r="J467" s="100">
        <v>0.2</v>
      </c>
      <c r="K467" s="100">
        <v>0</v>
      </c>
      <c r="L467" s="100">
        <v>0</v>
      </c>
      <c r="M467" s="100">
        <v>0</v>
      </c>
      <c r="N467" s="100">
        <v>0</v>
      </c>
      <c r="O467" s="100">
        <v>0</v>
      </c>
      <c r="P467" s="100">
        <v>0</v>
      </c>
      <c r="Q467" s="100">
        <v>0</v>
      </c>
      <c r="R467" s="100">
        <v>0</v>
      </c>
      <c r="S467" s="100">
        <v>0</v>
      </c>
      <c r="T467" s="100">
        <v>0</v>
      </c>
      <c r="U467" s="100">
        <v>0</v>
      </c>
    </row>
    <row r="468" spans="4:21">
      <c r="D468" s="97" t="s">
        <v>712</v>
      </c>
      <c r="E468" s="97" t="s">
        <v>710</v>
      </c>
      <c r="F468" s="94" t="s">
        <v>713</v>
      </c>
      <c r="G468" s="97">
        <v>5</v>
      </c>
      <c r="H468" s="98" t="s">
        <v>744</v>
      </c>
      <c r="I468" s="99" t="str">
        <f t="shared" si="7"/>
        <v>서귀포|5</v>
      </c>
      <c r="J468" s="100">
        <v>0.1</v>
      </c>
      <c r="K468" s="100">
        <v>0</v>
      </c>
      <c r="L468" s="100">
        <v>0</v>
      </c>
      <c r="M468" s="100">
        <v>0</v>
      </c>
      <c r="N468" s="100">
        <v>0</v>
      </c>
      <c r="O468" s="100">
        <v>0</v>
      </c>
      <c r="P468" s="100">
        <v>0</v>
      </c>
      <c r="Q468" s="100">
        <v>0</v>
      </c>
      <c r="R468" s="100">
        <v>0</v>
      </c>
      <c r="S468" s="100">
        <v>0</v>
      </c>
      <c r="T468" s="100">
        <v>0</v>
      </c>
      <c r="U468" s="100">
        <v>0</v>
      </c>
    </row>
    <row r="469" spans="4:21">
      <c r="D469" s="97" t="s">
        <v>714</v>
      </c>
      <c r="E469" s="97" t="s">
        <v>710</v>
      </c>
      <c r="F469" s="94" t="s">
        <v>715</v>
      </c>
      <c r="G469" s="97">
        <v>5</v>
      </c>
      <c r="H469" s="98" t="s">
        <v>744</v>
      </c>
      <c r="I469" s="99" t="str">
        <f t="shared" si="7"/>
        <v>성산|5</v>
      </c>
      <c r="J469" s="100">
        <v>0.5</v>
      </c>
      <c r="K469" s="100">
        <v>0.1</v>
      </c>
      <c r="L469" s="100">
        <v>0</v>
      </c>
      <c r="M469" s="100">
        <v>0</v>
      </c>
      <c r="N469" s="100">
        <v>0</v>
      </c>
      <c r="O469" s="100">
        <v>0</v>
      </c>
      <c r="P469" s="100">
        <v>0</v>
      </c>
      <c r="Q469" s="100">
        <v>0</v>
      </c>
      <c r="R469" s="100">
        <v>0</v>
      </c>
      <c r="S469" s="100">
        <v>0</v>
      </c>
      <c r="T469" s="100">
        <v>0</v>
      </c>
      <c r="U469" s="100">
        <v>0</v>
      </c>
    </row>
    <row r="470" spans="4:21">
      <c r="D470" s="97" t="s">
        <v>716</v>
      </c>
      <c r="E470" s="97" t="s">
        <v>710</v>
      </c>
      <c r="F470" s="94" t="s">
        <v>717</v>
      </c>
      <c r="G470" s="97">
        <v>5</v>
      </c>
      <c r="H470" s="98" t="s">
        <v>744</v>
      </c>
      <c r="I470" s="99" t="str">
        <f t="shared" si="7"/>
        <v>제주|5</v>
      </c>
      <c r="J470" s="100">
        <v>0.2</v>
      </c>
      <c r="K470" s="100">
        <v>0</v>
      </c>
      <c r="L470" s="100">
        <v>0</v>
      </c>
      <c r="M470" s="100">
        <v>0</v>
      </c>
      <c r="N470" s="100">
        <v>0</v>
      </c>
      <c r="O470" s="100">
        <v>0</v>
      </c>
      <c r="P470" s="100">
        <v>0</v>
      </c>
      <c r="Q470" s="100">
        <v>0</v>
      </c>
      <c r="R470" s="100">
        <v>0</v>
      </c>
      <c r="S470" s="100">
        <v>0</v>
      </c>
      <c r="T470" s="100">
        <v>0</v>
      </c>
      <c r="U470" s="100">
        <v>0</v>
      </c>
    </row>
    <row r="471" spans="4:21">
      <c r="D471" s="97" t="s">
        <v>718</v>
      </c>
      <c r="E471" s="97" t="s">
        <v>719</v>
      </c>
      <c r="F471" s="94" t="s">
        <v>720</v>
      </c>
      <c r="G471" s="97">
        <v>5</v>
      </c>
      <c r="H471" s="98" t="s">
        <v>744</v>
      </c>
      <c r="I471" s="99" t="str">
        <f t="shared" si="7"/>
        <v>금산|5</v>
      </c>
      <c r="J471" s="100">
        <v>3.9</v>
      </c>
      <c r="K471" s="100">
        <v>1.6</v>
      </c>
      <c r="L471" s="100">
        <v>0</v>
      </c>
      <c r="M471" s="100">
        <v>0</v>
      </c>
      <c r="N471" s="100">
        <v>0</v>
      </c>
      <c r="O471" s="100">
        <v>0</v>
      </c>
      <c r="P471" s="100">
        <v>0</v>
      </c>
      <c r="Q471" s="100">
        <v>0</v>
      </c>
      <c r="R471" s="100">
        <v>0</v>
      </c>
      <c r="S471" s="100">
        <v>0</v>
      </c>
      <c r="T471" s="100">
        <v>0</v>
      </c>
      <c r="U471" s="100">
        <v>3.1</v>
      </c>
    </row>
    <row r="472" spans="4:21">
      <c r="D472" s="97" t="s">
        <v>721</v>
      </c>
      <c r="E472" s="97" t="s">
        <v>719</v>
      </c>
      <c r="F472" s="94" t="s">
        <v>722</v>
      </c>
      <c r="G472" s="97">
        <v>5</v>
      </c>
      <c r="H472" s="98" t="s">
        <v>744</v>
      </c>
      <c r="I472" s="99" t="str">
        <f t="shared" si="7"/>
        <v>보령|5</v>
      </c>
      <c r="J472" s="100">
        <v>3.6</v>
      </c>
      <c r="K472" s="100">
        <v>1.3</v>
      </c>
      <c r="L472" s="100">
        <v>0</v>
      </c>
      <c r="M472" s="100">
        <v>0</v>
      </c>
      <c r="N472" s="100">
        <v>0</v>
      </c>
      <c r="O472" s="100">
        <v>0</v>
      </c>
      <c r="P472" s="100">
        <v>0</v>
      </c>
      <c r="Q472" s="100">
        <v>0</v>
      </c>
      <c r="R472" s="100">
        <v>0</v>
      </c>
      <c r="S472" s="100">
        <v>0</v>
      </c>
      <c r="T472" s="100">
        <v>0</v>
      </c>
      <c r="U472" s="100">
        <v>2.6</v>
      </c>
    </row>
    <row r="473" spans="4:21">
      <c r="D473" s="97" t="s">
        <v>723</v>
      </c>
      <c r="E473" s="97" t="s">
        <v>719</v>
      </c>
      <c r="F473" s="94" t="s">
        <v>724</v>
      </c>
      <c r="G473" s="97">
        <v>5</v>
      </c>
      <c r="H473" s="98" t="s">
        <v>744</v>
      </c>
      <c r="I473" s="99" t="str">
        <f t="shared" si="7"/>
        <v>부여|5</v>
      </c>
      <c r="J473" s="100">
        <v>3.6</v>
      </c>
      <c r="K473" s="100">
        <v>0.9</v>
      </c>
      <c r="L473" s="100">
        <v>0</v>
      </c>
      <c r="M473" s="100">
        <v>0</v>
      </c>
      <c r="N473" s="100">
        <v>0</v>
      </c>
      <c r="O473" s="100">
        <v>0</v>
      </c>
      <c r="P473" s="100">
        <v>0</v>
      </c>
      <c r="Q473" s="100">
        <v>0</v>
      </c>
      <c r="R473" s="100">
        <v>0</v>
      </c>
      <c r="S473" s="100">
        <v>0</v>
      </c>
      <c r="T473" s="100">
        <v>0</v>
      </c>
      <c r="U473" s="100">
        <v>2.5</v>
      </c>
    </row>
    <row r="474" spans="4:21">
      <c r="D474" s="97" t="s">
        <v>91</v>
      </c>
      <c r="E474" s="97" t="s">
        <v>719</v>
      </c>
      <c r="F474" s="94" t="s">
        <v>725</v>
      </c>
      <c r="G474" s="97">
        <v>5</v>
      </c>
      <c r="H474" s="98" t="s">
        <v>744</v>
      </c>
      <c r="I474" s="99" t="str">
        <f t="shared" si="7"/>
        <v>서산|5</v>
      </c>
      <c r="J474" s="100">
        <v>5.4</v>
      </c>
      <c r="K474" s="100">
        <v>2.7</v>
      </c>
      <c r="L474" s="100">
        <v>0</v>
      </c>
      <c r="M474" s="100">
        <v>0</v>
      </c>
      <c r="N474" s="100">
        <v>0</v>
      </c>
      <c r="O474" s="100">
        <v>0</v>
      </c>
      <c r="P474" s="100">
        <v>0</v>
      </c>
      <c r="Q474" s="100">
        <v>0</v>
      </c>
      <c r="R474" s="100">
        <v>0</v>
      </c>
      <c r="S474" s="100">
        <v>0</v>
      </c>
      <c r="T474" s="100">
        <v>0</v>
      </c>
      <c r="U474" s="100">
        <v>3.4</v>
      </c>
    </row>
    <row r="475" spans="4:21">
      <c r="D475" s="97" t="s">
        <v>726</v>
      </c>
      <c r="E475" s="97" t="s">
        <v>719</v>
      </c>
      <c r="F475" s="94" t="s">
        <v>727</v>
      </c>
      <c r="G475" s="97">
        <v>5</v>
      </c>
      <c r="H475" s="98" t="s">
        <v>744</v>
      </c>
      <c r="I475" s="99" t="str">
        <f t="shared" si="7"/>
        <v>천안|5</v>
      </c>
      <c r="J475" s="100">
        <v>5.6</v>
      </c>
      <c r="K475" s="100">
        <v>2.4</v>
      </c>
      <c r="L475" s="100">
        <v>0</v>
      </c>
      <c r="M475" s="100">
        <v>0</v>
      </c>
      <c r="N475" s="100">
        <v>0</v>
      </c>
      <c r="O475" s="100">
        <v>0</v>
      </c>
      <c r="P475" s="100">
        <v>0</v>
      </c>
      <c r="Q475" s="100">
        <v>0</v>
      </c>
      <c r="R475" s="100">
        <v>0</v>
      </c>
      <c r="S475" s="100">
        <v>0</v>
      </c>
      <c r="T475" s="100">
        <v>0</v>
      </c>
      <c r="U475" s="100">
        <v>3.9</v>
      </c>
    </row>
    <row r="476" spans="4:21">
      <c r="D476" s="97" t="s">
        <v>728</v>
      </c>
      <c r="E476" s="97" t="s">
        <v>719</v>
      </c>
      <c r="F476" s="94" t="s">
        <v>729</v>
      </c>
      <c r="G476" s="97">
        <v>5</v>
      </c>
      <c r="H476" s="98" t="s">
        <v>744</v>
      </c>
      <c r="I476" s="99" t="str">
        <f t="shared" si="7"/>
        <v>홍성|5</v>
      </c>
      <c r="J476" s="100">
        <v>4.5999999999999996</v>
      </c>
      <c r="K476" s="100">
        <v>2</v>
      </c>
      <c r="L476" s="100">
        <v>0</v>
      </c>
      <c r="M476" s="100">
        <v>0</v>
      </c>
      <c r="N476" s="100">
        <v>0</v>
      </c>
      <c r="O476" s="100">
        <v>0</v>
      </c>
      <c r="P476" s="100">
        <v>0</v>
      </c>
      <c r="Q476" s="100">
        <v>0</v>
      </c>
      <c r="R476" s="100">
        <v>0</v>
      </c>
      <c r="S476" s="100">
        <v>0</v>
      </c>
      <c r="T476" s="100">
        <v>0</v>
      </c>
      <c r="U476" s="100">
        <v>3.8</v>
      </c>
    </row>
    <row r="477" spans="4:21">
      <c r="D477" s="97" t="s">
        <v>730</v>
      </c>
      <c r="E477" s="97" t="s">
        <v>731</v>
      </c>
      <c r="F477" s="94" t="s">
        <v>732</v>
      </c>
      <c r="G477" s="97">
        <v>5</v>
      </c>
      <c r="H477" s="98" t="s">
        <v>744</v>
      </c>
      <c r="I477" s="99" t="str">
        <f t="shared" si="7"/>
        <v>보은|5</v>
      </c>
      <c r="J477" s="100">
        <v>5</v>
      </c>
      <c r="K477" s="100">
        <v>1.9</v>
      </c>
      <c r="L477" s="100">
        <v>0</v>
      </c>
      <c r="M477" s="100">
        <v>0</v>
      </c>
      <c r="N477" s="100">
        <v>0</v>
      </c>
      <c r="O477" s="100">
        <v>0</v>
      </c>
      <c r="P477" s="100">
        <v>0</v>
      </c>
      <c r="Q477" s="100">
        <v>0</v>
      </c>
      <c r="R477" s="100">
        <v>0</v>
      </c>
      <c r="S477" s="100">
        <v>0</v>
      </c>
      <c r="T477" s="100">
        <v>0</v>
      </c>
      <c r="U477" s="100">
        <v>3.9</v>
      </c>
    </row>
    <row r="478" spans="4:21">
      <c r="D478" s="97" t="s">
        <v>733</v>
      </c>
      <c r="E478" s="97" t="s">
        <v>731</v>
      </c>
      <c r="F478" s="94" t="s">
        <v>734</v>
      </c>
      <c r="G478" s="97">
        <v>5</v>
      </c>
      <c r="H478" s="98" t="s">
        <v>744</v>
      </c>
      <c r="I478" s="99" t="str">
        <f t="shared" si="7"/>
        <v>제천|5</v>
      </c>
      <c r="J478" s="100">
        <v>8</v>
      </c>
      <c r="K478" s="100">
        <v>3.1</v>
      </c>
      <c r="L478" s="100">
        <v>0.1</v>
      </c>
      <c r="M478" s="100">
        <v>0</v>
      </c>
      <c r="N478" s="100">
        <v>0</v>
      </c>
      <c r="O478" s="100">
        <v>0</v>
      </c>
      <c r="P478" s="100">
        <v>0</v>
      </c>
      <c r="Q478" s="100">
        <v>0</v>
      </c>
      <c r="R478" s="100">
        <v>0</v>
      </c>
      <c r="S478" s="100">
        <v>0</v>
      </c>
      <c r="T478" s="100">
        <v>0.1</v>
      </c>
      <c r="U478" s="100">
        <v>7</v>
      </c>
    </row>
    <row r="479" spans="4:21">
      <c r="D479" s="97" t="s">
        <v>735</v>
      </c>
      <c r="E479" s="97" t="s">
        <v>731</v>
      </c>
      <c r="F479" s="94" t="s">
        <v>736</v>
      </c>
      <c r="G479" s="97">
        <v>5</v>
      </c>
      <c r="H479" s="98" t="s">
        <v>744</v>
      </c>
      <c r="I479" s="99" t="str">
        <f t="shared" si="7"/>
        <v>청주|5</v>
      </c>
      <c r="J479" s="100">
        <v>5.2</v>
      </c>
      <c r="K479" s="100">
        <v>2.2000000000000002</v>
      </c>
      <c r="L479" s="100">
        <v>0</v>
      </c>
      <c r="M479" s="100">
        <v>0</v>
      </c>
      <c r="N479" s="100">
        <v>0</v>
      </c>
      <c r="O479" s="100">
        <v>0</v>
      </c>
      <c r="P479" s="100">
        <v>0</v>
      </c>
      <c r="Q479" s="100">
        <v>0</v>
      </c>
      <c r="R479" s="100">
        <v>0</v>
      </c>
      <c r="S479" s="100">
        <v>0</v>
      </c>
      <c r="T479" s="100">
        <v>0</v>
      </c>
      <c r="U479" s="100">
        <v>3.8</v>
      </c>
    </row>
    <row r="480" spans="4:21">
      <c r="D480" s="97" t="s">
        <v>737</v>
      </c>
      <c r="E480" s="97" t="s">
        <v>731</v>
      </c>
      <c r="F480" s="94" t="s">
        <v>738</v>
      </c>
      <c r="G480" s="97">
        <v>5</v>
      </c>
      <c r="H480" s="98" t="s">
        <v>744</v>
      </c>
      <c r="I480" s="99" t="str">
        <f t="shared" si="7"/>
        <v>추풍령|5</v>
      </c>
      <c r="J480" s="100">
        <v>5.4</v>
      </c>
      <c r="K480" s="100">
        <v>2.4</v>
      </c>
      <c r="L480" s="100">
        <v>0</v>
      </c>
      <c r="M480" s="100">
        <v>0</v>
      </c>
      <c r="N480" s="100">
        <v>0</v>
      </c>
      <c r="O480" s="100">
        <v>0</v>
      </c>
      <c r="P480" s="100">
        <v>0</v>
      </c>
      <c r="Q480" s="100">
        <v>0</v>
      </c>
      <c r="R480" s="100">
        <v>0</v>
      </c>
      <c r="S480" s="100">
        <v>0</v>
      </c>
      <c r="T480" s="100">
        <v>0.1</v>
      </c>
      <c r="U480" s="100">
        <v>4.5999999999999996</v>
      </c>
    </row>
    <row r="481" spans="4:21">
      <c r="D481" s="97" t="s">
        <v>739</v>
      </c>
      <c r="E481" s="97" t="s">
        <v>731</v>
      </c>
      <c r="F481" s="94" t="s">
        <v>740</v>
      </c>
      <c r="G481" s="97">
        <v>5</v>
      </c>
      <c r="H481" s="98" t="s">
        <v>744</v>
      </c>
      <c r="I481" s="99" t="str">
        <f t="shared" si="7"/>
        <v>충주|5</v>
      </c>
      <c r="J481" s="100">
        <v>6.6</v>
      </c>
      <c r="K481" s="100">
        <v>2.2999999999999998</v>
      </c>
      <c r="L481" s="100">
        <v>0</v>
      </c>
      <c r="M481" s="100">
        <v>0</v>
      </c>
      <c r="N481" s="100">
        <v>0</v>
      </c>
      <c r="O481" s="100">
        <v>0</v>
      </c>
      <c r="P481" s="100">
        <v>0</v>
      </c>
      <c r="Q481" s="100">
        <v>0</v>
      </c>
      <c r="R481" s="100">
        <v>0</v>
      </c>
      <c r="S481" s="100">
        <v>0</v>
      </c>
      <c r="T481" s="100">
        <v>0</v>
      </c>
      <c r="U481" s="100">
        <v>5</v>
      </c>
    </row>
    <row r="482" spans="4:21">
      <c r="D482" s="97" t="s">
        <v>535</v>
      </c>
      <c r="E482" s="97" t="s">
        <v>536</v>
      </c>
      <c r="F482" s="94" t="s">
        <v>537</v>
      </c>
      <c r="G482" s="97">
        <v>6</v>
      </c>
      <c r="H482" s="98" t="s">
        <v>745</v>
      </c>
      <c r="I482" s="99" t="str">
        <f t="shared" si="7"/>
        <v>강릉|6</v>
      </c>
      <c r="J482" s="100">
        <v>0</v>
      </c>
      <c r="K482" s="100">
        <v>0</v>
      </c>
      <c r="L482" s="100">
        <v>0</v>
      </c>
      <c r="M482" s="100">
        <v>0</v>
      </c>
      <c r="N482" s="100">
        <v>0</v>
      </c>
      <c r="O482" s="100">
        <v>0</v>
      </c>
      <c r="P482" s="100">
        <v>0</v>
      </c>
      <c r="Q482" s="100">
        <v>0</v>
      </c>
      <c r="R482" s="100">
        <v>0</v>
      </c>
      <c r="S482" s="100">
        <v>0</v>
      </c>
      <c r="T482" s="100">
        <v>0</v>
      </c>
      <c r="U482" s="100">
        <v>0</v>
      </c>
    </row>
    <row r="483" spans="4:21">
      <c r="D483" s="97" t="s">
        <v>539</v>
      </c>
      <c r="E483" s="97" t="s">
        <v>536</v>
      </c>
      <c r="F483" s="94" t="s">
        <v>540</v>
      </c>
      <c r="G483" s="97">
        <v>6</v>
      </c>
      <c r="H483" s="98" t="s">
        <v>745</v>
      </c>
      <c r="I483" s="99" t="str">
        <f t="shared" si="7"/>
        <v>대관령|6</v>
      </c>
      <c r="J483" s="100">
        <v>0</v>
      </c>
      <c r="K483" s="100">
        <v>0</v>
      </c>
      <c r="L483" s="100">
        <v>0</v>
      </c>
      <c r="M483" s="100">
        <v>0</v>
      </c>
      <c r="N483" s="100">
        <v>0</v>
      </c>
      <c r="O483" s="100">
        <v>0</v>
      </c>
      <c r="P483" s="100">
        <v>0</v>
      </c>
      <c r="Q483" s="100">
        <v>0</v>
      </c>
      <c r="R483" s="100">
        <v>0</v>
      </c>
      <c r="S483" s="100">
        <v>0</v>
      </c>
      <c r="T483" s="100">
        <v>0</v>
      </c>
      <c r="U483" s="100">
        <v>0</v>
      </c>
    </row>
    <row r="484" spans="4:21">
      <c r="D484" s="97" t="s">
        <v>541</v>
      </c>
      <c r="E484" s="97" t="s">
        <v>536</v>
      </c>
      <c r="F484" s="94" t="s">
        <v>542</v>
      </c>
      <c r="G484" s="97">
        <v>6</v>
      </c>
      <c r="H484" s="98" t="s">
        <v>745</v>
      </c>
      <c r="I484" s="99" t="str">
        <f t="shared" si="7"/>
        <v>동해|6</v>
      </c>
      <c r="J484" s="100">
        <v>0</v>
      </c>
      <c r="K484" s="100">
        <v>0</v>
      </c>
      <c r="L484" s="100">
        <v>0</v>
      </c>
      <c r="M484" s="100">
        <v>0</v>
      </c>
      <c r="N484" s="100">
        <v>0</v>
      </c>
      <c r="O484" s="100">
        <v>0</v>
      </c>
      <c r="P484" s="100">
        <v>0</v>
      </c>
      <c r="Q484" s="100">
        <v>0</v>
      </c>
      <c r="R484" s="100">
        <v>0</v>
      </c>
      <c r="S484" s="100">
        <v>0</v>
      </c>
      <c r="T484" s="100">
        <v>0</v>
      </c>
      <c r="U484" s="100">
        <v>0</v>
      </c>
    </row>
    <row r="485" spans="4:21">
      <c r="D485" s="97" t="s">
        <v>543</v>
      </c>
      <c r="E485" s="97" t="s">
        <v>536</v>
      </c>
      <c r="F485" s="94" t="s">
        <v>544</v>
      </c>
      <c r="G485" s="97">
        <v>6</v>
      </c>
      <c r="H485" s="98" t="s">
        <v>745</v>
      </c>
      <c r="I485" s="99" t="str">
        <f t="shared" si="7"/>
        <v>북강릉|6</v>
      </c>
      <c r="J485" s="100">
        <v>1</v>
      </c>
      <c r="K485" s="100">
        <v>1.1000000000000001</v>
      </c>
      <c r="L485" s="100">
        <v>0.6</v>
      </c>
      <c r="M485" s="100">
        <v>0</v>
      </c>
      <c r="N485" s="100">
        <v>0</v>
      </c>
      <c r="O485" s="100">
        <v>0</v>
      </c>
      <c r="P485" s="100">
        <v>0</v>
      </c>
      <c r="Q485" s="100">
        <v>0</v>
      </c>
      <c r="R485" s="100">
        <v>0</v>
      </c>
      <c r="S485" s="100">
        <v>0</v>
      </c>
      <c r="T485" s="100">
        <v>0</v>
      </c>
      <c r="U485" s="100">
        <v>0.4</v>
      </c>
    </row>
    <row r="486" spans="4:21">
      <c r="D486" s="97" t="s">
        <v>545</v>
      </c>
      <c r="E486" s="97" t="s">
        <v>536</v>
      </c>
      <c r="F486" s="94" t="s">
        <v>546</v>
      </c>
      <c r="G486" s="97">
        <v>6</v>
      </c>
      <c r="H486" s="98" t="s">
        <v>745</v>
      </c>
      <c r="I486" s="99" t="str">
        <f t="shared" si="7"/>
        <v>북춘천|6</v>
      </c>
      <c r="J486" s="100">
        <v>0.5</v>
      </c>
      <c r="K486" s="100">
        <v>0.1</v>
      </c>
      <c r="L486" s="100">
        <v>0.1</v>
      </c>
      <c r="M486" s="100">
        <v>0</v>
      </c>
      <c r="N486" s="100">
        <v>0</v>
      </c>
      <c r="O486" s="100">
        <v>0</v>
      </c>
      <c r="P486" s="100">
        <v>0</v>
      </c>
      <c r="Q486" s="100">
        <v>0</v>
      </c>
      <c r="R486" s="100">
        <v>0</v>
      </c>
      <c r="S486" s="100">
        <v>0</v>
      </c>
      <c r="T486" s="100">
        <v>0.1</v>
      </c>
      <c r="U486" s="100">
        <v>0.6</v>
      </c>
    </row>
    <row r="487" spans="4:21">
      <c r="D487" s="97" t="s">
        <v>547</v>
      </c>
      <c r="E487" s="97" t="s">
        <v>536</v>
      </c>
      <c r="F487" s="94" t="s">
        <v>548</v>
      </c>
      <c r="G487" s="97">
        <v>6</v>
      </c>
      <c r="H487" s="98" t="s">
        <v>745</v>
      </c>
      <c r="I487" s="99" t="str">
        <f t="shared" si="7"/>
        <v>속초|6</v>
      </c>
      <c r="J487" s="100">
        <v>0</v>
      </c>
      <c r="K487" s="100">
        <v>0.1</v>
      </c>
      <c r="L487" s="100">
        <v>0</v>
      </c>
      <c r="M487" s="100">
        <v>0</v>
      </c>
      <c r="N487" s="100">
        <v>0</v>
      </c>
      <c r="O487" s="100">
        <v>0</v>
      </c>
      <c r="P487" s="100">
        <v>0</v>
      </c>
      <c r="Q487" s="100">
        <v>0</v>
      </c>
      <c r="R487" s="100">
        <v>0</v>
      </c>
      <c r="S487" s="100">
        <v>0</v>
      </c>
      <c r="T487" s="100">
        <v>0</v>
      </c>
      <c r="U487" s="100">
        <v>0</v>
      </c>
    </row>
    <row r="488" spans="4:21">
      <c r="D488" s="97" t="s">
        <v>549</v>
      </c>
      <c r="E488" s="97" t="s">
        <v>536</v>
      </c>
      <c r="F488" s="94" t="s">
        <v>550</v>
      </c>
      <c r="G488" s="97">
        <v>6</v>
      </c>
      <c r="H488" s="98" t="s">
        <v>745</v>
      </c>
      <c r="I488" s="99" t="str">
        <f t="shared" si="7"/>
        <v>영월|6</v>
      </c>
      <c r="J488" s="100">
        <v>0</v>
      </c>
      <c r="K488" s="100">
        <v>0</v>
      </c>
      <c r="L488" s="100">
        <v>0</v>
      </c>
      <c r="M488" s="100">
        <v>0</v>
      </c>
      <c r="N488" s="100">
        <v>0</v>
      </c>
      <c r="O488" s="100">
        <v>0</v>
      </c>
      <c r="P488" s="100">
        <v>0</v>
      </c>
      <c r="Q488" s="100">
        <v>0</v>
      </c>
      <c r="R488" s="100">
        <v>0</v>
      </c>
      <c r="S488" s="100">
        <v>0</v>
      </c>
      <c r="T488" s="100">
        <v>0</v>
      </c>
      <c r="U488" s="100">
        <v>0</v>
      </c>
    </row>
    <row r="489" spans="4:21">
      <c r="D489" s="97" t="s">
        <v>551</v>
      </c>
      <c r="E489" s="97" t="s">
        <v>536</v>
      </c>
      <c r="F489" s="94" t="s">
        <v>552</v>
      </c>
      <c r="G489" s="97">
        <v>6</v>
      </c>
      <c r="H489" s="98" t="s">
        <v>745</v>
      </c>
      <c r="I489" s="99" t="str">
        <f t="shared" si="7"/>
        <v>원주|6</v>
      </c>
      <c r="J489" s="100">
        <v>0</v>
      </c>
      <c r="K489" s="100">
        <v>0</v>
      </c>
      <c r="L489" s="100">
        <v>0</v>
      </c>
      <c r="M489" s="100">
        <v>0</v>
      </c>
      <c r="N489" s="100">
        <v>0</v>
      </c>
      <c r="O489" s="100">
        <v>0</v>
      </c>
      <c r="P489" s="100">
        <v>0</v>
      </c>
      <c r="Q489" s="100">
        <v>0</v>
      </c>
      <c r="R489" s="100">
        <v>0</v>
      </c>
      <c r="S489" s="100">
        <v>0</v>
      </c>
      <c r="T489" s="100">
        <v>0</v>
      </c>
      <c r="U489" s="100">
        <v>0</v>
      </c>
    </row>
    <row r="490" spans="4:21">
      <c r="D490" s="97" t="s">
        <v>553</v>
      </c>
      <c r="E490" s="97" t="s">
        <v>536</v>
      </c>
      <c r="F490" s="94" t="s">
        <v>554</v>
      </c>
      <c r="G490" s="97">
        <v>6</v>
      </c>
      <c r="H490" s="98" t="s">
        <v>745</v>
      </c>
      <c r="I490" s="99" t="str">
        <f t="shared" si="7"/>
        <v>인제|6</v>
      </c>
      <c r="J490" s="100">
        <v>0</v>
      </c>
      <c r="K490" s="100">
        <v>0</v>
      </c>
      <c r="L490" s="100">
        <v>0</v>
      </c>
      <c r="M490" s="100">
        <v>0</v>
      </c>
      <c r="N490" s="100">
        <v>0</v>
      </c>
      <c r="O490" s="100">
        <v>0</v>
      </c>
      <c r="P490" s="100">
        <v>0</v>
      </c>
      <c r="Q490" s="100">
        <v>0</v>
      </c>
      <c r="R490" s="100">
        <v>0</v>
      </c>
      <c r="S490" s="100">
        <v>0</v>
      </c>
      <c r="T490" s="100">
        <v>0</v>
      </c>
      <c r="U490" s="100">
        <v>0</v>
      </c>
    </row>
    <row r="491" spans="4:21">
      <c r="D491" s="97" t="s">
        <v>555</v>
      </c>
      <c r="E491" s="97" t="s">
        <v>536</v>
      </c>
      <c r="F491" s="94" t="s">
        <v>556</v>
      </c>
      <c r="G491" s="97">
        <v>6</v>
      </c>
      <c r="H491" s="98" t="s">
        <v>745</v>
      </c>
      <c r="I491" s="99" t="str">
        <f t="shared" si="7"/>
        <v>정선군|6</v>
      </c>
      <c r="J491" s="100">
        <v>0</v>
      </c>
      <c r="K491" s="100">
        <v>0</v>
      </c>
      <c r="L491" s="100">
        <v>0</v>
      </c>
      <c r="M491" s="100">
        <v>0</v>
      </c>
      <c r="N491" s="100">
        <v>0</v>
      </c>
      <c r="O491" s="100">
        <v>0</v>
      </c>
      <c r="P491" s="100">
        <v>0</v>
      </c>
      <c r="Q491" s="100">
        <v>0</v>
      </c>
      <c r="R491" s="100">
        <v>0</v>
      </c>
      <c r="S491" s="100">
        <v>0</v>
      </c>
      <c r="T491" s="100">
        <v>0</v>
      </c>
      <c r="U491" s="100">
        <v>0</v>
      </c>
    </row>
    <row r="492" spans="4:21">
      <c r="D492" s="97" t="s">
        <v>557</v>
      </c>
      <c r="E492" s="97" t="s">
        <v>536</v>
      </c>
      <c r="F492" s="94" t="s">
        <v>558</v>
      </c>
      <c r="G492" s="97">
        <v>6</v>
      </c>
      <c r="H492" s="98" t="s">
        <v>745</v>
      </c>
      <c r="I492" s="99" t="str">
        <f t="shared" si="7"/>
        <v>철원|6</v>
      </c>
      <c r="J492" s="100">
        <v>0.1</v>
      </c>
      <c r="K492" s="100">
        <v>0</v>
      </c>
      <c r="L492" s="100">
        <v>0</v>
      </c>
      <c r="M492" s="100">
        <v>0</v>
      </c>
      <c r="N492" s="100">
        <v>0</v>
      </c>
      <c r="O492" s="100">
        <v>0</v>
      </c>
      <c r="P492" s="100">
        <v>0</v>
      </c>
      <c r="Q492" s="100">
        <v>0</v>
      </c>
      <c r="R492" s="100">
        <v>0</v>
      </c>
      <c r="S492" s="100">
        <v>0</v>
      </c>
      <c r="T492" s="100">
        <v>0</v>
      </c>
      <c r="U492" s="100">
        <v>0</v>
      </c>
    </row>
    <row r="493" spans="4:21">
      <c r="D493" s="97" t="s">
        <v>559</v>
      </c>
      <c r="E493" s="97" t="s">
        <v>536</v>
      </c>
      <c r="F493" s="94" t="s">
        <v>560</v>
      </c>
      <c r="G493" s="97">
        <v>6</v>
      </c>
      <c r="H493" s="98" t="s">
        <v>745</v>
      </c>
      <c r="I493" s="99" t="str">
        <f t="shared" si="7"/>
        <v>춘천|6</v>
      </c>
      <c r="J493" s="100">
        <v>0.1</v>
      </c>
      <c r="K493" s="100">
        <v>0</v>
      </c>
      <c r="L493" s="100">
        <v>0</v>
      </c>
      <c r="M493" s="100">
        <v>0</v>
      </c>
      <c r="N493" s="100">
        <v>0</v>
      </c>
      <c r="O493" s="100">
        <v>0</v>
      </c>
      <c r="P493" s="100">
        <v>0</v>
      </c>
      <c r="Q493" s="100">
        <v>0</v>
      </c>
      <c r="R493" s="100">
        <v>0</v>
      </c>
      <c r="S493" s="100">
        <v>0</v>
      </c>
      <c r="T493" s="100">
        <v>0</v>
      </c>
      <c r="U493" s="100">
        <v>0</v>
      </c>
    </row>
    <row r="494" spans="4:21">
      <c r="D494" s="97" t="s">
        <v>561</v>
      </c>
      <c r="E494" s="97" t="s">
        <v>536</v>
      </c>
      <c r="F494" s="94" t="s">
        <v>562</v>
      </c>
      <c r="G494" s="97">
        <v>6</v>
      </c>
      <c r="H494" s="98" t="s">
        <v>745</v>
      </c>
      <c r="I494" s="99" t="str">
        <f t="shared" si="7"/>
        <v>태백|6</v>
      </c>
      <c r="J494" s="100">
        <v>0</v>
      </c>
      <c r="K494" s="100">
        <v>0</v>
      </c>
      <c r="L494" s="100">
        <v>0</v>
      </c>
      <c r="M494" s="100">
        <v>0</v>
      </c>
      <c r="N494" s="100">
        <v>0</v>
      </c>
      <c r="O494" s="100">
        <v>0</v>
      </c>
      <c r="P494" s="100">
        <v>0</v>
      </c>
      <c r="Q494" s="100">
        <v>0</v>
      </c>
      <c r="R494" s="100">
        <v>0</v>
      </c>
      <c r="S494" s="100">
        <v>0</v>
      </c>
      <c r="T494" s="100">
        <v>0</v>
      </c>
      <c r="U494" s="100">
        <v>0</v>
      </c>
    </row>
    <row r="495" spans="4:21">
      <c r="D495" s="97" t="s">
        <v>563</v>
      </c>
      <c r="E495" s="97" t="s">
        <v>536</v>
      </c>
      <c r="F495" s="94" t="s">
        <v>564</v>
      </c>
      <c r="G495" s="97">
        <v>6</v>
      </c>
      <c r="H495" s="98" t="s">
        <v>745</v>
      </c>
      <c r="I495" s="99" t="str">
        <f t="shared" si="7"/>
        <v>홍천|6</v>
      </c>
      <c r="J495" s="100">
        <v>0</v>
      </c>
      <c r="K495" s="100">
        <v>0</v>
      </c>
      <c r="L495" s="100">
        <v>0</v>
      </c>
      <c r="M495" s="100">
        <v>0</v>
      </c>
      <c r="N495" s="100">
        <v>0</v>
      </c>
      <c r="O495" s="100">
        <v>0</v>
      </c>
      <c r="P495" s="100">
        <v>0</v>
      </c>
      <c r="Q495" s="100">
        <v>0</v>
      </c>
      <c r="R495" s="100">
        <v>0</v>
      </c>
      <c r="S495" s="100">
        <v>0</v>
      </c>
      <c r="T495" s="100">
        <v>0</v>
      </c>
      <c r="U495" s="100">
        <v>0</v>
      </c>
    </row>
    <row r="496" spans="4:21">
      <c r="D496" s="97" t="s">
        <v>565</v>
      </c>
      <c r="E496" s="97" t="s">
        <v>566</v>
      </c>
      <c r="F496" s="94" t="s">
        <v>567</v>
      </c>
      <c r="G496" s="97">
        <v>6</v>
      </c>
      <c r="H496" s="98" t="s">
        <v>745</v>
      </c>
      <c r="I496" s="99" t="str">
        <f t="shared" si="7"/>
        <v>동두천|6</v>
      </c>
      <c r="J496" s="100">
        <v>0</v>
      </c>
      <c r="K496" s="100">
        <v>0</v>
      </c>
      <c r="L496" s="100">
        <v>0</v>
      </c>
      <c r="M496" s="100">
        <v>0</v>
      </c>
      <c r="N496" s="100">
        <v>0</v>
      </c>
      <c r="O496" s="100">
        <v>0</v>
      </c>
      <c r="P496" s="100">
        <v>0</v>
      </c>
      <c r="Q496" s="100">
        <v>0</v>
      </c>
      <c r="R496" s="100">
        <v>0</v>
      </c>
      <c r="S496" s="100">
        <v>0</v>
      </c>
      <c r="T496" s="100">
        <v>0</v>
      </c>
      <c r="U496" s="100">
        <v>0</v>
      </c>
    </row>
    <row r="497" spans="4:21">
      <c r="D497" s="97" t="s">
        <v>568</v>
      </c>
      <c r="E497" s="97" t="s">
        <v>566</v>
      </c>
      <c r="F497" s="94" t="s">
        <v>569</v>
      </c>
      <c r="G497" s="97">
        <v>6</v>
      </c>
      <c r="H497" s="98" t="s">
        <v>745</v>
      </c>
      <c r="I497" s="99" t="str">
        <f t="shared" si="7"/>
        <v>수원|6</v>
      </c>
      <c r="J497" s="100">
        <v>0.4</v>
      </c>
      <c r="K497" s="100">
        <v>0.2</v>
      </c>
      <c r="L497" s="100">
        <v>0</v>
      </c>
      <c r="M497" s="100">
        <v>0</v>
      </c>
      <c r="N497" s="100">
        <v>0</v>
      </c>
      <c r="O497" s="100">
        <v>0</v>
      </c>
      <c r="P497" s="100">
        <v>0</v>
      </c>
      <c r="Q497" s="100">
        <v>0</v>
      </c>
      <c r="R497" s="100">
        <v>0</v>
      </c>
      <c r="S497" s="100">
        <v>0</v>
      </c>
      <c r="T497" s="100">
        <v>0.3</v>
      </c>
      <c r="U497" s="100">
        <v>0.3</v>
      </c>
    </row>
    <row r="498" spans="4:21">
      <c r="D498" s="97" t="s">
        <v>570</v>
      </c>
      <c r="E498" s="97" t="s">
        <v>566</v>
      </c>
      <c r="F498" s="94" t="s">
        <v>571</v>
      </c>
      <c r="G498" s="97">
        <v>6</v>
      </c>
      <c r="H498" s="98" t="s">
        <v>745</v>
      </c>
      <c r="I498" s="99" t="str">
        <f t="shared" si="7"/>
        <v>양평|6</v>
      </c>
      <c r="J498" s="100">
        <v>0</v>
      </c>
      <c r="K498" s="100">
        <v>0</v>
      </c>
      <c r="L498" s="100">
        <v>0</v>
      </c>
      <c r="M498" s="100">
        <v>0</v>
      </c>
      <c r="N498" s="100">
        <v>0</v>
      </c>
      <c r="O498" s="100">
        <v>0</v>
      </c>
      <c r="P498" s="100">
        <v>0</v>
      </c>
      <c r="Q498" s="100">
        <v>0</v>
      </c>
      <c r="R498" s="100">
        <v>0</v>
      </c>
      <c r="S498" s="100">
        <v>0</v>
      </c>
      <c r="T498" s="100">
        <v>0</v>
      </c>
      <c r="U498" s="100">
        <v>0</v>
      </c>
    </row>
    <row r="499" spans="4:21">
      <c r="D499" s="97" t="s">
        <v>572</v>
      </c>
      <c r="E499" s="97" t="s">
        <v>566</v>
      </c>
      <c r="F499" s="94" t="s">
        <v>573</v>
      </c>
      <c r="G499" s="97">
        <v>6</v>
      </c>
      <c r="H499" s="98" t="s">
        <v>745</v>
      </c>
      <c r="I499" s="99" t="str">
        <f t="shared" si="7"/>
        <v>이천|6</v>
      </c>
      <c r="J499" s="100">
        <v>0</v>
      </c>
      <c r="K499" s="100">
        <v>0</v>
      </c>
      <c r="L499" s="100">
        <v>0</v>
      </c>
      <c r="M499" s="100">
        <v>0</v>
      </c>
      <c r="N499" s="100">
        <v>0</v>
      </c>
      <c r="O499" s="100">
        <v>0</v>
      </c>
      <c r="P499" s="100">
        <v>0</v>
      </c>
      <c r="Q499" s="100">
        <v>0</v>
      </c>
      <c r="R499" s="100">
        <v>0</v>
      </c>
      <c r="S499" s="100">
        <v>0</v>
      </c>
      <c r="T499" s="100">
        <v>0</v>
      </c>
      <c r="U499" s="100">
        <v>0</v>
      </c>
    </row>
    <row r="500" spans="4:21">
      <c r="D500" s="97" t="s">
        <v>574</v>
      </c>
      <c r="E500" s="97" t="s">
        <v>566</v>
      </c>
      <c r="F500" s="94" t="s">
        <v>575</v>
      </c>
      <c r="G500" s="97">
        <v>6</v>
      </c>
      <c r="H500" s="98" t="s">
        <v>745</v>
      </c>
      <c r="I500" s="99" t="str">
        <f t="shared" si="7"/>
        <v>파주|6</v>
      </c>
      <c r="J500" s="100">
        <v>0</v>
      </c>
      <c r="K500" s="100">
        <v>0</v>
      </c>
      <c r="L500" s="100">
        <v>0</v>
      </c>
      <c r="M500" s="100">
        <v>0</v>
      </c>
      <c r="N500" s="100">
        <v>0</v>
      </c>
      <c r="O500" s="100">
        <v>0</v>
      </c>
      <c r="P500" s="100">
        <v>0</v>
      </c>
      <c r="Q500" s="100">
        <v>0</v>
      </c>
      <c r="R500" s="100">
        <v>0</v>
      </c>
      <c r="S500" s="100">
        <v>0</v>
      </c>
      <c r="T500" s="100">
        <v>0</v>
      </c>
      <c r="U500" s="100">
        <v>0</v>
      </c>
    </row>
    <row r="501" spans="4:21">
      <c r="D501" s="97" t="s">
        <v>576</v>
      </c>
      <c r="E501" s="97" t="s">
        <v>577</v>
      </c>
      <c r="F501" s="94" t="s">
        <v>578</v>
      </c>
      <c r="G501" s="97">
        <v>6</v>
      </c>
      <c r="H501" s="98" t="s">
        <v>745</v>
      </c>
      <c r="I501" s="99" t="str">
        <f t="shared" si="7"/>
        <v>거제|6</v>
      </c>
      <c r="J501" s="100">
        <v>0</v>
      </c>
      <c r="K501" s="100">
        <v>0</v>
      </c>
      <c r="L501" s="100">
        <v>0</v>
      </c>
      <c r="M501" s="100">
        <v>0</v>
      </c>
      <c r="N501" s="100">
        <v>0</v>
      </c>
      <c r="O501" s="100">
        <v>0</v>
      </c>
      <c r="P501" s="100">
        <v>0</v>
      </c>
      <c r="Q501" s="100">
        <v>0</v>
      </c>
      <c r="R501" s="100">
        <v>0</v>
      </c>
      <c r="S501" s="100">
        <v>0</v>
      </c>
      <c r="T501" s="100">
        <v>0</v>
      </c>
      <c r="U501" s="100">
        <v>0</v>
      </c>
    </row>
    <row r="502" spans="4:21">
      <c r="D502" s="97" t="s">
        <v>579</v>
      </c>
      <c r="E502" s="97" t="s">
        <v>577</v>
      </c>
      <c r="F502" s="94" t="s">
        <v>580</v>
      </c>
      <c r="G502" s="97">
        <v>6</v>
      </c>
      <c r="H502" s="98" t="s">
        <v>745</v>
      </c>
      <c r="I502" s="99" t="str">
        <f t="shared" si="7"/>
        <v>거창|6</v>
      </c>
      <c r="J502" s="100">
        <v>0</v>
      </c>
      <c r="K502" s="100">
        <v>0</v>
      </c>
      <c r="L502" s="100">
        <v>0</v>
      </c>
      <c r="M502" s="100">
        <v>0</v>
      </c>
      <c r="N502" s="100">
        <v>0</v>
      </c>
      <c r="O502" s="100">
        <v>0</v>
      </c>
      <c r="P502" s="100">
        <v>0</v>
      </c>
      <c r="Q502" s="100">
        <v>0</v>
      </c>
      <c r="R502" s="100">
        <v>0</v>
      </c>
      <c r="S502" s="100">
        <v>0</v>
      </c>
      <c r="T502" s="100">
        <v>0</v>
      </c>
      <c r="U502" s="100">
        <v>0</v>
      </c>
    </row>
    <row r="503" spans="4:21">
      <c r="D503" s="97" t="s">
        <v>581</v>
      </c>
      <c r="E503" s="97" t="s">
        <v>577</v>
      </c>
      <c r="F503" s="94" t="s">
        <v>582</v>
      </c>
      <c r="G503" s="97">
        <v>6</v>
      </c>
      <c r="H503" s="98" t="s">
        <v>745</v>
      </c>
      <c r="I503" s="99" t="str">
        <f t="shared" si="7"/>
        <v>김해시|6</v>
      </c>
      <c r="J503" s="100">
        <v>0</v>
      </c>
      <c r="K503" s="100">
        <v>0</v>
      </c>
      <c r="L503" s="100">
        <v>0</v>
      </c>
      <c r="M503" s="100">
        <v>0</v>
      </c>
      <c r="N503" s="100">
        <v>0</v>
      </c>
      <c r="O503" s="100">
        <v>0</v>
      </c>
      <c r="P503" s="100">
        <v>0</v>
      </c>
      <c r="Q503" s="100">
        <v>0</v>
      </c>
      <c r="R503" s="100">
        <v>0</v>
      </c>
      <c r="S503" s="100">
        <v>0</v>
      </c>
      <c r="T503" s="100">
        <v>0</v>
      </c>
      <c r="U503" s="100">
        <v>0</v>
      </c>
    </row>
    <row r="504" spans="4:21">
      <c r="D504" s="97" t="s">
        <v>583</v>
      </c>
      <c r="E504" s="97" t="s">
        <v>577</v>
      </c>
      <c r="F504" s="94" t="s">
        <v>584</v>
      </c>
      <c r="G504" s="97">
        <v>6</v>
      </c>
      <c r="H504" s="98" t="s">
        <v>745</v>
      </c>
      <c r="I504" s="99" t="str">
        <f t="shared" si="7"/>
        <v>남해|6</v>
      </c>
      <c r="J504" s="100">
        <v>0</v>
      </c>
      <c r="K504" s="100">
        <v>0</v>
      </c>
      <c r="L504" s="100">
        <v>0</v>
      </c>
      <c r="M504" s="100">
        <v>0</v>
      </c>
      <c r="N504" s="100">
        <v>0</v>
      </c>
      <c r="O504" s="100">
        <v>0</v>
      </c>
      <c r="P504" s="100">
        <v>0</v>
      </c>
      <c r="Q504" s="100">
        <v>0</v>
      </c>
      <c r="R504" s="100">
        <v>0</v>
      </c>
      <c r="S504" s="100">
        <v>0</v>
      </c>
      <c r="T504" s="100">
        <v>0</v>
      </c>
      <c r="U504" s="100">
        <v>0</v>
      </c>
    </row>
    <row r="505" spans="4:21">
      <c r="D505" s="97" t="s">
        <v>585</v>
      </c>
      <c r="E505" s="97" t="s">
        <v>577</v>
      </c>
      <c r="F505" s="94" t="s">
        <v>586</v>
      </c>
      <c r="G505" s="97">
        <v>6</v>
      </c>
      <c r="H505" s="98" t="s">
        <v>745</v>
      </c>
      <c r="I505" s="99" t="str">
        <f t="shared" si="7"/>
        <v>밀양|6</v>
      </c>
      <c r="J505" s="100">
        <v>0</v>
      </c>
      <c r="K505" s="100">
        <v>0</v>
      </c>
      <c r="L505" s="100">
        <v>0</v>
      </c>
      <c r="M505" s="100">
        <v>0</v>
      </c>
      <c r="N505" s="100">
        <v>0</v>
      </c>
      <c r="O505" s="100">
        <v>0</v>
      </c>
      <c r="P505" s="100">
        <v>0</v>
      </c>
      <c r="Q505" s="100">
        <v>0</v>
      </c>
      <c r="R505" s="100">
        <v>0</v>
      </c>
      <c r="S505" s="100">
        <v>0</v>
      </c>
      <c r="T505" s="100">
        <v>0</v>
      </c>
      <c r="U505" s="100">
        <v>0</v>
      </c>
    </row>
    <row r="506" spans="4:21">
      <c r="D506" s="97" t="s">
        <v>587</v>
      </c>
      <c r="E506" s="97" t="s">
        <v>577</v>
      </c>
      <c r="F506" s="94" t="s">
        <v>588</v>
      </c>
      <c r="G506" s="97">
        <v>6</v>
      </c>
      <c r="H506" s="98" t="s">
        <v>745</v>
      </c>
      <c r="I506" s="99" t="str">
        <f t="shared" si="7"/>
        <v>북창원|6</v>
      </c>
      <c r="J506" s="100">
        <v>0</v>
      </c>
      <c r="K506" s="100">
        <v>0</v>
      </c>
      <c r="L506" s="100">
        <v>0</v>
      </c>
      <c r="M506" s="100">
        <v>0</v>
      </c>
      <c r="N506" s="100">
        <v>0</v>
      </c>
      <c r="O506" s="100">
        <v>0</v>
      </c>
      <c r="P506" s="100">
        <v>0</v>
      </c>
      <c r="Q506" s="100">
        <v>0</v>
      </c>
      <c r="R506" s="100">
        <v>0</v>
      </c>
      <c r="S506" s="100">
        <v>0</v>
      </c>
      <c r="T506" s="100">
        <v>0</v>
      </c>
      <c r="U506" s="100">
        <v>0</v>
      </c>
    </row>
    <row r="507" spans="4:21">
      <c r="D507" s="97" t="s">
        <v>589</v>
      </c>
      <c r="E507" s="97" t="s">
        <v>577</v>
      </c>
      <c r="F507" s="94" t="s">
        <v>590</v>
      </c>
      <c r="G507" s="97">
        <v>6</v>
      </c>
      <c r="H507" s="98" t="s">
        <v>745</v>
      </c>
      <c r="I507" s="99" t="str">
        <f t="shared" si="7"/>
        <v>산청|6</v>
      </c>
      <c r="J507" s="100">
        <v>0</v>
      </c>
      <c r="K507" s="100">
        <v>0</v>
      </c>
      <c r="L507" s="100">
        <v>0</v>
      </c>
      <c r="M507" s="100">
        <v>0</v>
      </c>
      <c r="N507" s="100">
        <v>0</v>
      </c>
      <c r="O507" s="100">
        <v>0</v>
      </c>
      <c r="P507" s="100">
        <v>0</v>
      </c>
      <c r="Q507" s="100">
        <v>0</v>
      </c>
      <c r="R507" s="100">
        <v>0</v>
      </c>
      <c r="S507" s="100">
        <v>0</v>
      </c>
      <c r="T507" s="100">
        <v>0</v>
      </c>
      <c r="U507" s="100">
        <v>0</v>
      </c>
    </row>
    <row r="508" spans="4:21">
      <c r="D508" s="97" t="s">
        <v>591</v>
      </c>
      <c r="E508" s="97" t="s">
        <v>577</v>
      </c>
      <c r="F508" s="94" t="s">
        <v>592</v>
      </c>
      <c r="G508" s="97">
        <v>6</v>
      </c>
      <c r="H508" s="98" t="s">
        <v>745</v>
      </c>
      <c r="I508" s="99" t="str">
        <f t="shared" si="7"/>
        <v>양산시|6</v>
      </c>
      <c r="J508" s="100">
        <v>0</v>
      </c>
      <c r="K508" s="100">
        <v>0</v>
      </c>
      <c r="L508" s="100">
        <v>0</v>
      </c>
      <c r="M508" s="100">
        <v>0</v>
      </c>
      <c r="N508" s="100">
        <v>0</v>
      </c>
      <c r="O508" s="100">
        <v>0</v>
      </c>
      <c r="P508" s="100">
        <v>0</v>
      </c>
      <c r="Q508" s="100">
        <v>0</v>
      </c>
      <c r="R508" s="100">
        <v>0</v>
      </c>
      <c r="S508" s="100">
        <v>0</v>
      </c>
      <c r="T508" s="100">
        <v>0</v>
      </c>
      <c r="U508" s="100">
        <v>0</v>
      </c>
    </row>
    <row r="509" spans="4:21">
      <c r="D509" s="97" t="s">
        <v>593</v>
      </c>
      <c r="E509" s="97" t="s">
        <v>577</v>
      </c>
      <c r="F509" s="94" t="s">
        <v>594</v>
      </c>
      <c r="G509" s="97">
        <v>6</v>
      </c>
      <c r="H509" s="98" t="s">
        <v>745</v>
      </c>
      <c r="I509" s="99" t="str">
        <f t="shared" si="7"/>
        <v>의령군|6</v>
      </c>
      <c r="J509" s="100">
        <v>0</v>
      </c>
      <c r="K509" s="100">
        <v>0</v>
      </c>
      <c r="L509" s="100">
        <v>0</v>
      </c>
      <c r="M509" s="100">
        <v>0</v>
      </c>
      <c r="N509" s="100">
        <v>0</v>
      </c>
      <c r="O509" s="100">
        <v>0</v>
      </c>
      <c r="P509" s="100">
        <v>0</v>
      </c>
      <c r="Q509" s="100">
        <v>0</v>
      </c>
      <c r="R509" s="100">
        <v>0</v>
      </c>
      <c r="S509" s="100">
        <v>0</v>
      </c>
      <c r="T509" s="100">
        <v>0</v>
      </c>
      <c r="U509" s="100">
        <v>0</v>
      </c>
    </row>
    <row r="510" spans="4:21">
      <c r="D510" s="97" t="s">
        <v>595</v>
      </c>
      <c r="E510" s="97" t="s">
        <v>577</v>
      </c>
      <c r="F510" s="94" t="s">
        <v>596</v>
      </c>
      <c r="G510" s="97">
        <v>6</v>
      </c>
      <c r="H510" s="98" t="s">
        <v>745</v>
      </c>
      <c r="I510" s="99" t="str">
        <f t="shared" si="7"/>
        <v>진주|6</v>
      </c>
      <c r="J510" s="100">
        <v>0</v>
      </c>
      <c r="K510" s="100">
        <v>0</v>
      </c>
      <c r="L510" s="100">
        <v>0</v>
      </c>
      <c r="M510" s="100">
        <v>0</v>
      </c>
      <c r="N510" s="100">
        <v>0</v>
      </c>
      <c r="O510" s="100">
        <v>0</v>
      </c>
      <c r="P510" s="100">
        <v>0</v>
      </c>
      <c r="Q510" s="100">
        <v>0</v>
      </c>
      <c r="R510" s="100">
        <v>0</v>
      </c>
      <c r="S510" s="100">
        <v>0</v>
      </c>
      <c r="T510" s="100">
        <v>0</v>
      </c>
      <c r="U510" s="100">
        <v>0</v>
      </c>
    </row>
    <row r="511" spans="4:21">
      <c r="D511" s="97" t="s">
        <v>597</v>
      </c>
      <c r="E511" s="97" t="s">
        <v>577</v>
      </c>
      <c r="F511" s="94" t="s">
        <v>598</v>
      </c>
      <c r="G511" s="97">
        <v>6</v>
      </c>
      <c r="H511" s="98" t="s">
        <v>745</v>
      </c>
      <c r="I511" s="99" t="str">
        <f t="shared" si="7"/>
        <v>창원|6</v>
      </c>
      <c r="J511" s="100">
        <v>0</v>
      </c>
      <c r="K511" s="100">
        <v>0</v>
      </c>
      <c r="L511" s="100">
        <v>0</v>
      </c>
      <c r="M511" s="100">
        <v>0</v>
      </c>
      <c r="N511" s="100">
        <v>0</v>
      </c>
      <c r="O511" s="100">
        <v>0</v>
      </c>
      <c r="P511" s="100">
        <v>0</v>
      </c>
      <c r="Q511" s="100">
        <v>0</v>
      </c>
      <c r="R511" s="100">
        <v>0</v>
      </c>
      <c r="S511" s="100">
        <v>0</v>
      </c>
      <c r="T511" s="100">
        <v>0</v>
      </c>
      <c r="U511" s="100">
        <v>0</v>
      </c>
    </row>
    <row r="512" spans="4:21">
      <c r="D512" s="97" t="s">
        <v>599</v>
      </c>
      <c r="E512" s="97" t="s">
        <v>577</v>
      </c>
      <c r="F512" s="94" t="s">
        <v>600</v>
      </c>
      <c r="G512" s="97">
        <v>6</v>
      </c>
      <c r="H512" s="98" t="s">
        <v>745</v>
      </c>
      <c r="I512" s="99" t="str">
        <f t="shared" si="7"/>
        <v>통영|6</v>
      </c>
      <c r="J512" s="100">
        <v>0</v>
      </c>
      <c r="K512" s="100">
        <v>0</v>
      </c>
      <c r="L512" s="100">
        <v>0</v>
      </c>
      <c r="M512" s="100">
        <v>0</v>
      </c>
      <c r="N512" s="100">
        <v>0</v>
      </c>
      <c r="O512" s="100">
        <v>0</v>
      </c>
      <c r="P512" s="100">
        <v>0</v>
      </c>
      <c r="Q512" s="100">
        <v>0</v>
      </c>
      <c r="R512" s="100">
        <v>0</v>
      </c>
      <c r="S512" s="100">
        <v>0</v>
      </c>
      <c r="T512" s="100">
        <v>0</v>
      </c>
      <c r="U512" s="100">
        <v>0</v>
      </c>
    </row>
    <row r="513" spans="4:21">
      <c r="D513" s="97" t="s">
        <v>601</v>
      </c>
      <c r="E513" s="97" t="s">
        <v>577</v>
      </c>
      <c r="F513" s="94" t="s">
        <v>602</v>
      </c>
      <c r="G513" s="97">
        <v>6</v>
      </c>
      <c r="H513" s="98" t="s">
        <v>745</v>
      </c>
      <c r="I513" s="99" t="str">
        <f t="shared" si="7"/>
        <v>함양군|6</v>
      </c>
      <c r="J513" s="100">
        <v>0</v>
      </c>
      <c r="K513" s="100">
        <v>0</v>
      </c>
      <c r="L513" s="100">
        <v>0</v>
      </c>
      <c r="M513" s="100">
        <v>0</v>
      </c>
      <c r="N513" s="100">
        <v>0</v>
      </c>
      <c r="O513" s="100">
        <v>0</v>
      </c>
      <c r="P513" s="100">
        <v>0</v>
      </c>
      <c r="Q513" s="100">
        <v>0</v>
      </c>
      <c r="R513" s="100">
        <v>0</v>
      </c>
      <c r="S513" s="100">
        <v>0</v>
      </c>
      <c r="T513" s="100">
        <v>0</v>
      </c>
      <c r="U513" s="100">
        <v>0</v>
      </c>
    </row>
    <row r="514" spans="4:21">
      <c r="D514" s="97" t="s">
        <v>603</v>
      </c>
      <c r="E514" s="97" t="s">
        <v>577</v>
      </c>
      <c r="F514" s="94" t="s">
        <v>604</v>
      </c>
      <c r="G514" s="97">
        <v>6</v>
      </c>
      <c r="H514" s="98" t="s">
        <v>745</v>
      </c>
      <c r="I514" s="99" t="str">
        <f t="shared" si="7"/>
        <v>합천|6</v>
      </c>
      <c r="J514" s="100">
        <v>0</v>
      </c>
      <c r="K514" s="100">
        <v>0</v>
      </c>
      <c r="L514" s="100">
        <v>0</v>
      </c>
      <c r="M514" s="100">
        <v>0</v>
      </c>
      <c r="N514" s="100">
        <v>0</v>
      </c>
      <c r="O514" s="100">
        <v>0</v>
      </c>
      <c r="P514" s="100">
        <v>0</v>
      </c>
      <c r="Q514" s="100">
        <v>0</v>
      </c>
      <c r="R514" s="100">
        <v>0</v>
      </c>
      <c r="S514" s="100">
        <v>0</v>
      </c>
      <c r="T514" s="100">
        <v>0</v>
      </c>
      <c r="U514" s="100">
        <v>0</v>
      </c>
    </row>
    <row r="515" spans="4:21">
      <c r="D515" s="97" t="s">
        <v>605</v>
      </c>
      <c r="E515" s="97" t="s">
        <v>606</v>
      </c>
      <c r="F515" s="94" t="s">
        <v>607</v>
      </c>
      <c r="G515" s="97">
        <v>6</v>
      </c>
      <c r="H515" s="98" t="s">
        <v>745</v>
      </c>
      <c r="I515" s="99" t="str">
        <f t="shared" si="7"/>
        <v>경주시|6</v>
      </c>
      <c r="J515" s="100">
        <v>0</v>
      </c>
      <c r="K515" s="100">
        <v>0</v>
      </c>
      <c r="L515" s="100">
        <v>0</v>
      </c>
      <c r="M515" s="100">
        <v>0</v>
      </c>
      <c r="N515" s="100">
        <v>0</v>
      </c>
      <c r="O515" s="100">
        <v>0</v>
      </c>
      <c r="P515" s="100">
        <v>0</v>
      </c>
      <c r="Q515" s="100">
        <v>0</v>
      </c>
      <c r="R515" s="100">
        <v>0</v>
      </c>
      <c r="S515" s="100">
        <v>0</v>
      </c>
      <c r="T515" s="100">
        <v>0</v>
      </c>
      <c r="U515" s="100">
        <v>0</v>
      </c>
    </row>
    <row r="516" spans="4:21">
      <c r="D516" s="97" t="s">
        <v>608</v>
      </c>
      <c r="E516" s="97" t="s">
        <v>606</v>
      </c>
      <c r="F516" s="94" t="s">
        <v>609</v>
      </c>
      <c r="G516" s="97">
        <v>6</v>
      </c>
      <c r="H516" s="98" t="s">
        <v>745</v>
      </c>
      <c r="I516" s="99" t="str">
        <f t="shared" si="7"/>
        <v>구미|6</v>
      </c>
      <c r="J516" s="100">
        <v>0</v>
      </c>
      <c r="K516" s="100">
        <v>0</v>
      </c>
      <c r="L516" s="100">
        <v>0</v>
      </c>
      <c r="M516" s="100">
        <v>0</v>
      </c>
      <c r="N516" s="100">
        <v>0</v>
      </c>
      <c r="O516" s="100">
        <v>0</v>
      </c>
      <c r="P516" s="100">
        <v>0</v>
      </c>
      <c r="Q516" s="100">
        <v>0</v>
      </c>
      <c r="R516" s="100">
        <v>0</v>
      </c>
      <c r="S516" s="100">
        <v>0</v>
      </c>
      <c r="T516" s="100">
        <v>0</v>
      </c>
      <c r="U516" s="100">
        <v>0</v>
      </c>
    </row>
    <row r="517" spans="4:21">
      <c r="D517" s="97" t="s">
        <v>610</v>
      </c>
      <c r="E517" s="97" t="s">
        <v>606</v>
      </c>
      <c r="F517" s="94" t="s">
        <v>611</v>
      </c>
      <c r="G517" s="97">
        <v>6</v>
      </c>
      <c r="H517" s="98" t="s">
        <v>745</v>
      </c>
      <c r="I517" s="99" t="str">
        <f t="shared" si="7"/>
        <v>문경|6</v>
      </c>
      <c r="J517" s="100">
        <v>0</v>
      </c>
      <c r="K517" s="100">
        <v>0</v>
      </c>
      <c r="L517" s="100">
        <v>0</v>
      </c>
      <c r="M517" s="100">
        <v>0</v>
      </c>
      <c r="N517" s="100">
        <v>0</v>
      </c>
      <c r="O517" s="100">
        <v>0</v>
      </c>
      <c r="P517" s="100">
        <v>0</v>
      </c>
      <c r="Q517" s="100">
        <v>0</v>
      </c>
      <c r="R517" s="100">
        <v>0</v>
      </c>
      <c r="S517" s="100">
        <v>0</v>
      </c>
      <c r="T517" s="100">
        <v>0</v>
      </c>
      <c r="U517" s="100">
        <v>0</v>
      </c>
    </row>
    <row r="518" spans="4:21">
      <c r="D518" s="97" t="s">
        <v>612</v>
      </c>
      <c r="E518" s="97" t="s">
        <v>606</v>
      </c>
      <c r="F518" s="94" t="s">
        <v>613</v>
      </c>
      <c r="G518" s="97">
        <v>6</v>
      </c>
      <c r="H518" s="98" t="s">
        <v>745</v>
      </c>
      <c r="I518" s="99" t="str">
        <f t="shared" si="7"/>
        <v>봉화|6</v>
      </c>
      <c r="J518" s="100">
        <v>0</v>
      </c>
      <c r="K518" s="100">
        <v>0</v>
      </c>
      <c r="L518" s="100">
        <v>0</v>
      </c>
      <c r="M518" s="100">
        <v>0</v>
      </c>
      <c r="N518" s="100">
        <v>0</v>
      </c>
      <c r="O518" s="100">
        <v>0</v>
      </c>
      <c r="P518" s="100">
        <v>0</v>
      </c>
      <c r="Q518" s="100">
        <v>0</v>
      </c>
      <c r="R518" s="100">
        <v>0</v>
      </c>
      <c r="S518" s="100">
        <v>0</v>
      </c>
      <c r="T518" s="100">
        <v>0</v>
      </c>
      <c r="U518" s="100">
        <v>0</v>
      </c>
    </row>
    <row r="519" spans="4:21">
      <c r="D519" s="97" t="s">
        <v>614</v>
      </c>
      <c r="E519" s="97" t="s">
        <v>606</v>
      </c>
      <c r="F519" s="94" t="s">
        <v>615</v>
      </c>
      <c r="G519" s="97">
        <v>6</v>
      </c>
      <c r="H519" s="98" t="s">
        <v>745</v>
      </c>
      <c r="I519" s="99" t="str">
        <f t="shared" ref="I519:I582" si="8">$D519&amp;"|"&amp;$G519</f>
        <v>상주|6</v>
      </c>
      <c r="J519" s="100">
        <v>0</v>
      </c>
      <c r="K519" s="100">
        <v>0</v>
      </c>
      <c r="L519" s="100">
        <v>0</v>
      </c>
      <c r="M519" s="100">
        <v>0</v>
      </c>
      <c r="N519" s="100">
        <v>0</v>
      </c>
      <c r="O519" s="100">
        <v>0</v>
      </c>
      <c r="P519" s="100">
        <v>0</v>
      </c>
      <c r="Q519" s="100">
        <v>0</v>
      </c>
      <c r="R519" s="100">
        <v>0</v>
      </c>
      <c r="S519" s="100">
        <v>0</v>
      </c>
      <c r="T519" s="100">
        <v>0</v>
      </c>
      <c r="U519" s="100">
        <v>0</v>
      </c>
    </row>
    <row r="520" spans="4:21">
      <c r="D520" s="97" t="s">
        <v>616</v>
      </c>
      <c r="E520" s="97" t="s">
        <v>606</v>
      </c>
      <c r="F520" s="94" t="s">
        <v>617</v>
      </c>
      <c r="G520" s="97">
        <v>6</v>
      </c>
      <c r="H520" s="98" t="s">
        <v>745</v>
      </c>
      <c r="I520" s="99" t="str">
        <f t="shared" si="8"/>
        <v>안동|6</v>
      </c>
      <c r="J520" s="100">
        <v>0</v>
      </c>
      <c r="K520" s="100">
        <v>0</v>
      </c>
      <c r="L520" s="100">
        <v>0</v>
      </c>
      <c r="M520" s="100">
        <v>0</v>
      </c>
      <c r="N520" s="100">
        <v>0</v>
      </c>
      <c r="O520" s="100">
        <v>0</v>
      </c>
      <c r="P520" s="100">
        <v>0</v>
      </c>
      <c r="Q520" s="100">
        <v>0</v>
      </c>
      <c r="R520" s="100">
        <v>0</v>
      </c>
      <c r="S520" s="100">
        <v>0</v>
      </c>
      <c r="T520" s="100">
        <v>0</v>
      </c>
      <c r="U520" s="100">
        <v>0.1</v>
      </c>
    </row>
    <row r="521" spans="4:21">
      <c r="D521" s="97" t="s">
        <v>618</v>
      </c>
      <c r="E521" s="97" t="s">
        <v>606</v>
      </c>
      <c r="F521" s="94" t="s">
        <v>619</v>
      </c>
      <c r="G521" s="97">
        <v>6</v>
      </c>
      <c r="H521" s="98" t="s">
        <v>745</v>
      </c>
      <c r="I521" s="99" t="str">
        <f t="shared" si="8"/>
        <v>영덕|6</v>
      </c>
      <c r="J521" s="100">
        <v>0</v>
      </c>
      <c r="K521" s="100">
        <v>0</v>
      </c>
      <c r="L521" s="100">
        <v>0</v>
      </c>
      <c r="M521" s="100">
        <v>0</v>
      </c>
      <c r="N521" s="100">
        <v>0</v>
      </c>
      <c r="O521" s="100">
        <v>0</v>
      </c>
      <c r="P521" s="100">
        <v>0</v>
      </c>
      <c r="Q521" s="100">
        <v>0</v>
      </c>
      <c r="R521" s="100">
        <v>0</v>
      </c>
      <c r="S521" s="100">
        <v>0</v>
      </c>
      <c r="T521" s="100">
        <v>0</v>
      </c>
      <c r="U521" s="100">
        <v>0</v>
      </c>
    </row>
    <row r="522" spans="4:21">
      <c r="D522" s="97" t="s">
        <v>620</v>
      </c>
      <c r="E522" s="97" t="s">
        <v>606</v>
      </c>
      <c r="F522" s="94" t="s">
        <v>621</v>
      </c>
      <c r="G522" s="97">
        <v>6</v>
      </c>
      <c r="H522" s="98" t="s">
        <v>745</v>
      </c>
      <c r="I522" s="99" t="str">
        <f t="shared" si="8"/>
        <v>영주|6</v>
      </c>
      <c r="J522" s="100">
        <v>0</v>
      </c>
      <c r="K522" s="100">
        <v>0</v>
      </c>
      <c r="L522" s="100">
        <v>0</v>
      </c>
      <c r="M522" s="100">
        <v>0</v>
      </c>
      <c r="N522" s="100">
        <v>0</v>
      </c>
      <c r="O522" s="100">
        <v>0</v>
      </c>
      <c r="P522" s="100">
        <v>0</v>
      </c>
      <c r="Q522" s="100">
        <v>0</v>
      </c>
      <c r="R522" s="100">
        <v>0</v>
      </c>
      <c r="S522" s="100">
        <v>0</v>
      </c>
      <c r="T522" s="100">
        <v>0</v>
      </c>
      <c r="U522" s="100">
        <v>0</v>
      </c>
    </row>
    <row r="523" spans="4:21">
      <c r="D523" s="97" t="s">
        <v>622</v>
      </c>
      <c r="E523" s="97" t="s">
        <v>606</v>
      </c>
      <c r="F523" s="94" t="s">
        <v>623</v>
      </c>
      <c r="G523" s="97">
        <v>6</v>
      </c>
      <c r="H523" s="98" t="s">
        <v>745</v>
      </c>
      <c r="I523" s="99" t="str">
        <f t="shared" si="8"/>
        <v>영천|6</v>
      </c>
      <c r="J523" s="100">
        <v>0</v>
      </c>
      <c r="K523" s="100">
        <v>0</v>
      </c>
      <c r="L523" s="100">
        <v>0</v>
      </c>
      <c r="M523" s="100">
        <v>0</v>
      </c>
      <c r="N523" s="100">
        <v>0</v>
      </c>
      <c r="O523" s="100">
        <v>0</v>
      </c>
      <c r="P523" s="100">
        <v>0</v>
      </c>
      <c r="Q523" s="100">
        <v>0</v>
      </c>
      <c r="R523" s="100">
        <v>0</v>
      </c>
      <c r="S523" s="100">
        <v>0</v>
      </c>
      <c r="T523" s="100">
        <v>0</v>
      </c>
      <c r="U523" s="100">
        <v>0</v>
      </c>
    </row>
    <row r="524" spans="4:21">
      <c r="D524" s="97" t="s">
        <v>624</v>
      </c>
      <c r="E524" s="97" t="s">
        <v>606</v>
      </c>
      <c r="F524" s="94" t="s">
        <v>625</v>
      </c>
      <c r="G524" s="97">
        <v>6</v>
      </c>
      <c r="H524" s="98" t="s">
        <v>745</v>
      </c>
      <c r="I524" s="99" t="str">
        <f t="shared" si="8"/>
        <v>울릉도|6</v>
      </c>
      <c r="J524" s="100">
        <v>4.4000000000000004</v>
      </c>
      <c r="K524" s="100">
        <v>3.7</v>
      </c>
      <c r="L524" s="100">
        <v>0.3</v>
      </c>
      <c r="M524" s="100">
        <v>0</v>
      </c>
      <c r="N524" s="100">
        <v>0</v>
      </c>
      <c r="O524" s="100">
        <v>0</v>
      </c>
      <c r="P524" s="100">
        <v>0</v>
      </c>
      <c r="Q524" s="100">
        <v>0</v>
      </c>
      <c r="R524" s="100">
        <v>0</v>
      </c>
      <c r="S524" s="100">
        <v>0</v>
      </c>
      <c r="T524" s="100">
        <v>0.1</v>
      </c>
      <c r="U524" s="100">
        <v>3.8</v>
      </c>
    </row>
    <row r="525" spans="4:21">
      <c r="D525" s="97" t="s">
        <v>626</v>
      </c>
      <c r="E525" s="97" t="s">
        <v>606</v>
      </c>
      <c r="F525" s="94" t="s">
        <v>627</v>
      </c>
      <c r="G525" s="97">
        <v>6</v>
      </c>
      <c r="H525" s="98" t="s">
        <v>745</v>
      </c>
      <c r="I525" s="99" t="str">
        <f t="shared" si="8"/>
        <v>울진|6</v>
      </c>
      <c r="J525" s="100">
        <v>0</v>
      </c>
      <c r="K525" s="100">
        <v>0</v>
      </c>
      <c r="L525" s="100">
        <v>0</v>
      </c>
      <c r="M525" s="100">
        <v>0</v>
      </c>
      <c r="N525" s="100">
        <v>0</v>
      </c>
      <c r="O525" s="100">
        <v>0</v>
      </c>
      <c r="P525" s="100">
        <v>0</v>
      </c>
      <c r="Q525" s="100">
        <v>0</v>
      </c>
      <c r="R525" s="100">
        <v>0</v>
      </c>
      <c r="S525" s="100">
        <v>0</v>
      </c>
      <c r="T525" s="100">
        <v>0</v>
      </c>
      <c r="U525" s="100">
        <v>0</v>
      </c>
    </row>
    <row r="526" spans="4:21">
      <c r="D526" s="97" t="s">
        <v>628</v>
      </c>
      <c r="E526" s="97" t="s">
        <v>606</v>
      </c>
      <c r="F526" s="94" t="s">
        <v>629</v>
      </c>
      <c r="G526" s="97">
        <v>6</v>
      </c>
      <c r="H526" s="98" t="s">
        <v>745</v>
      </c>
      <c r="I526" s="99" t="str">
        <f t="shared" si="8"/>
        <v>의성|6</v>
      </c>
      <c r="J526" s="100">
        <v>0</v>
      </c>
      <c r="K526" s="100">
        <v>0</v>
      </c>
      <c r="L526" s="100">
        <v>0</v>
      </c>
      <c r="M526" s="100">
        <v>0</v>
      </c>
      <c r="N526" s="100">
        <v>0</v>
      </c>
      <c r="O526" s="100">
        <v>0</v>
      </c>
      <c r="P526" s="100">
        <v>0</v>
      </c>
      <c r="Q526" s="100">
        <v>0</v>
      </c>
      <c r="R526" s="100">
        <v>0</v>
      </c>
      <c r="S526" s="100">
        <v>0</v>
      </c>
      <c r="T526" s="100">
        <v>0</v>
      </c>
      <c r="U526" s="100">
        <v>0</v>
      </c>
    </row>
    <row r="527" spans="4:21">
      <c r="D527" s="97" t="s">
        <v>630</v>
      </c>
      <c r="E527" s="97" t="s">
        <v>606</v>
      </c>
      <c r="F527" s="94" t="s">
        <v>631</v>
      </c>
      <c r="G527" s="97">
        <v>6</v>
      </c>
      <c r="H527" s="98" t="s">
        <v>745</v>
      </c>
      <c r="I527" s="99" t="str">
        <f t="shared" si="8"/>
        <v>청송군|6</v>
      </c>
      <c r="J527" s="100">
        <v>0</v>
      </c>
      <c r="K527" s="100">
        <v>0</v>
      </c>
      <c r="L527" s="100">
        <v>0</v>
      </c>
      <c r="M527" s="100">
        <v>0</v>
      </c>
      <c r="N527" s="100">
        <v>0</v>
      </c>
      <c r="O527" s="100">
        <v>0</v>
      </c>
      <c r="P527" s="100">
        <v>0</v>
      </c>
      <c r="Q527" s="100">
        <v>0</v>
      </c>
      <c r="R527" s="100">
        <v>0</v>
      </c>
      <c r="S527" s="100">
        <v>0</v>
      </c>
      <c r="T527" s="100">
        <v>0</v>
      </c>
      <c r="U527" s="100">
        <v>0</v>
      </c>
    </row>
    <row r="528" spans="4:21">
      <c r="D528" s="97" t="s">
        <v>632</v>
      </c>
      <c r="E528" s="97" t="s">
        <v>606</v>
      </c>
      <c r="F528" s="94" t="s">
        <v>633</v>
      </c>
      <c r="G528" s="97">
        <v>6</v>
      </c>
      <c r="H528" s="98" t="s">
        <v>745</v>
      </c>
      <c r="I528" s="99" t="str">
        <f t="shared" si="8"/>
        <v>포항|6</v>
      </c>
      <c r="J528" s="100">
        <v>0</v>
      </c>
      <c r="K528" s="100">
        <v>0</v>
      </c>
      <c r="L528" s="100">
        <v>0</v>
      </c>
      <c r="M528" s="100">
        <v>0</v>
      </c>
      <c r="N528" s="100">
        <v>0</v>
      </c>
      <c r="O528" s="100">
        <v>0</v>
      </c>
      <c r="P528" s="100">
        <v>0</v>
      </c>
      <c r="Q528" s="100">
        <v>0</v>
      </c>
      <c r="R528" s="100">
        <v>0</v>
      </c>
      <c r="S528" s="100">
        <v>0</v>
      </c>
      <c r="T528" s="100">
        <v>0</v>
      </c>
      <c r="U528" s="100">
        <v>0</v>
      </c>
    </row>
    <row r="529" spans="4:21">
      <c r="D529" s="97" t="s">
        <v>634</v>
      </c>
      <c r="E529" s="97" t="s">
        <v>635</v>
      </c>
      <c r="F529" s="94" t="s">
        <v>636</v>
      </c>
      <c r="G529" s="97">
        <v>6</v>
      </c>
      <c r="H529" s="98" t="s">
        <v>745</v>
      </c>
      <c r="I529" s="99" t="str">
        <f t="shared" si="8"/>
        <v>광주|6</v>
      </c>
      <c r="J529" s="100">
        <v>1.2</v>
      </c>
      <c r="K529" s="100">
        <v>0.4</v>
      </c>
      <c r="L529" s="100">
        <v>0</v>
      </c>
      <c r="M529" s="100">
        <v>0</v>
      </c>
      <c r="N529" s="100">
        <v>0</v>
      </c>
      <c r="O529" s="100">
        <v>0</v>
      </c>
      <c r="P529" s="100">
        <v>0</v>
      </c>
      <c r="Q529" s="100">
        <v>0</v>
      </c>
      <c r="R529" s="100">
        <v>0</v>
      </c>
      <c r="S529" s="100">
        <v>0</v>
      </c>
      <c r="T529" s="100">
        <v>0.1</v>
      </c>
      <c r="U529" s="100">
        <v>0.9</v>
      </c>
    </row>
    <row r="530" spans="4:21">
      <c r="D530" s="97" t="s">
        <v>637</v>
      </c>
      <c r="E530" s="97" t="s">
        <v>638</v>
      </c>
      <c r="F530" s="94" t="s">
        <v>639</v>
      </c>
      <c r="G530" s="97">
        <v>6</v>
      </c>
      <c r="H530" s="98" t="s">
        <v>745</v>
      </c>
      <c r="I530" s="99" t="str">
        <f t="shared" si="8"/>
        <v>대구|6</v>
      </c>
      <c r="J530" s="100">
        <v>0.1</v>
      </c>
      <c r="K530" s="100">
        <v>0</v>
      </c>
      <c r="L530" s="100">
        <v>0.1</v>
      </c>
      <c r="M530" s="100">
        <v>0</v>
      </c>
      <c r="N530" s="100">
        <v>0</v>
      </c>
      <c r="O530" s="100">
        <v>0</v>
      </c>
      <c r="P530" s="100">
        <v>0</v>
      </c>
      <c r="Q530" s="100">
        <v>0</v>
      </c>
      <c r="R530" s="100">
        <v>0</v>
      </c>
      <c r="S530" s="100">
        <v>0</v>
      </c>
      <c r="T530" s="100">
        <v>0</v>
      </c>
      <c r="U530" s="100">
        <v>0</v>
      </c>
    </row>
    <row r="531" spans="4:21">
      <c r="D531" s="97" t="s">
        <v>640</v>
      </c>
      <c r="E531" s="97" t="s">
        <v>641</v>
      </c>
      <c r="F531" s="94" t="s">
        <v>642</v>
      </c>
      <c r="G531" s="97">
        <v>6</v>
      </c>
      <c r="H531" s="98" t="s">
        <v>745</v>
      </c>
      <c r="I531" s="99" t="str">
        <f t="shared" si="8"/>
        <v>대전|6</v>
      </c>
      <c r="J531" s="100">
        <v>0.2</v>
      </c>
      <c r="K531" s="100">
        <v>0.1</v>
      </c>
      <c r="L531" s="100">
        <v>0.1</v>
      </c>
      <c r="M531" s="100">
        <v>0</v>
      </c>
      <c r="N531" s="100">
        <v>0</v>
      </c>
      <c r="O531" s="100">
        <v>0</v>
      </c>
      <c r="P531" s="100">
        <v>0</v>
      </c>
      <c r="Q531" s="100">
        <v>0</v>
      </c>
      <c r="R531" s="100">
        <v>0</v>
      </c>
      <c r="S531" s="100">
        <v>0</v>
      </c>
      <c r="T531" s="100">
        <v>0</v>
      </c>
      <c r="U531" s="100">
        <v>0</v>
      </c>
    </row>
    <row r="532" spans="4:21">
      <c r="D532" s="97" t="s">
        <v>643</v>
      </c>
      <c r="E532" s="97" t="s">
        <v>644</v>
      </c>
      <c r="F532" s="94" t="s">
        <v>645</v>
      </c>
      <c r="G532" s="97">
        <v>6</v>
      </c>
      <c r="H532" s="98" t="s">
        <v>745</v>
      </c>
      <c r="I532" s="99" t="str">
        <f t="shared" si="8"/>
        <v>부산|6</v>
      </c>
      <c r="J532" s="100">
        <v>0</v>
      </c>
      <c r="K532" s="100">
        <v>0</v>
      </c>
      <c r="L532" s="100">
        <v>0</v>
      </c>
      <c r="M532" s="100">
        <v>0</v>
      </c>
      <c r="N532" s="100">
        <v>0</v>
      </c>
      <c r="O532" s="100">
        <v>0</v>
      </c>
      <c r="P532" s="100">
        <v>0</v>
      </c>
      <c r="Q532" s="100">
        <v>0</v>
      </c>
      <c r="R532" s="100">
        <v>0</v>
      </c>
      <c r="S532" s="100">
        <v>0</v>
      </c>
      <c r="T532" s="100">
        <v>0</v>
      </c>
      <c r="U532" s="100">
        <v>0</v>
      </c>
    </row>
    <row r="533" spans="4:21">
      <c r="D533" s="97" t="s">
        <v>64</v>
      </c>
      <c r="E533" s="97" t="s">
        <v>646</v>
      </c>
      <c r="F533" s="94" t="s">
        <v>647</v>
      </c>
      <c r="G533" s="97">
        <v>6</v>
      </c>
      <c r="H533" s="98" t="s">
        <v>745</v>
      </c>
      <c r="I533" s="99" t="str">
        <f t="shared" si="8"/>
        <v>서울|6</v>
      </c>
      <c r="J533" s="100">
        <v>0.4</v>
      </c>
      <c r="K533" s="100">
        <v>0.3</v>
      </c>
      <c r="L533" s="100">
        <v>0</v>
      </c>
      <c r="M533" s="100">
        <v>0</v>
      </c>
      <c r="N533" s="100">
        <v>0</v>
      </c>
      <c r="O533" s="100">
        <v>0</v>
      </c>
      <c r="P533" s="100">
        <v>0</v>
      </c>
      <c r="Q533" s="100">
        <v>0</v>
      </c>
      <c r="R533" s="100">
        <v>0</v>
      </c>
      <c r="S533" s="100">
        <v>0</v>
      </c>
      <c r="T533" s="100">
        <v>0.3</v>
      </c>
      <c r="U533" s="100">
        <v>0.3</v>
      </c>
    </row>
    <row r="534" spans="4:21">
      <c r="D534" s="97" t="s">
        <v>648</v>
      </c>
      <c r="E534" s="97" t="s">
        <v>649</v>
      </c>
      <c r="F534" s="94" t="s">
        <v>650</v>
      </c>
      <c r="G534" s="97">
        <v>6</v>
      </c>
      <c r="H534" s="98" t="s">
        <v>745</v>
      </c>
      <c r="I534" s="99" t="str">
        <f t="shared" si="8"/>
        <v>세종|6</v>
      </c>
      <c r="J534" s="100">
        <v>0</v>
      </c>
      <c r="K534" s="100">
        <v>0</v>
      </c>
      <c r="L534" s="100">
        <v>0</v>
      </c>
      <c r="M534" s="100">
        <v>0</v>
      </c>
      <c r="N534" s="100">
        <v>0</v>
      </c>
      <c r="O534" s="100">
        <v>0</v>
      </c>
      <c r="P534" s="100">
        <v>0</v>
      </c>
      <c r="Q534" s="100">
        <v>0</v>
      </c>
      <c r="R534" s="100">
        <v>0</v>
      </c>
      <c r="S534" s="100">
        <v>0</v>
      </c>
      <c r="T534" s="100">
        <v>0</v>
      </c>
      <c r="U534" s="100">
        <v>0</v>
      </c>
    </row>
    <row r="535" spans="4:21">
      <c r="D535" s="97" t="s">
        <v>651</v>
      </c>
      <c r="E535" s="97" t="s">
        <v>652</v>
      </c>
      <c r="F535" s="94" t="s">
        <v>653</v>
      </c>
      <c r="G535" s="97">
        <v>6</v>
      </c>
      <c r="H535" s="98" t="s">
        <v>745</v>
      </c>
      <c r="I535" s="99" t="str">
        <f t="shared" si="8"/>
        <v>울산|6</v>
      </c>
      <c r="J535" s="100">
        <v>0</v>
      </c>
      <c r="K535" s="100">
        <v>0</v>
      </c>
      <c r="L535" s="100">
        <v>0</v>
      </c>
      <c r="M535" s="100">
        <v>0</v>
      </c>
      <c r="N535" s="100">
        <v>0</v>
      </c>
      <c r="O535" s="100">
        <v>0</v>
      </c>
      <c r="P535" s="100">
        <v>0</v>
      </c>
      <c r="Q535" s="100">
        <v>0</v>
      </c>
      <c r="R535" s="100">
        <v>0</v>
      </c>
      <c r="S535" s="100">
        <v>0</v>
      </c>
      <c r="T535" s="100">
        <v>0</v>
      </c>
      <c r="U535" s="100">
        <v>0</v>
      </c>
    </row>
    <row r="536" spans="4:21">
      <c r="D536" s="97" t="s">
        <v>654</v>
      </c>
      <c r="E536" s="97" t="s">
        <v>655</v>
      </c>
      <c r="F536" s="94" t="s">
        <v>656</v>
      </c>
      <c r="G536" s="97">
        <v>6</v>
      </c>
      <c r="H536" s="98" t="s">
        <v>745</v>
      </c>
      <c r="I536" s="99" t="str">
        <f t="shared" si="8"/>
        <v>강화|6</v>
      </c>
      <c r="J536" s="100">
        <v>0</v>
      </c>
      <c r="K536" s="100">
        <v>0</v>
      </c>
      <c r="L536" s="100">
        <v>0</v>
      </c>
      <c r="M536" s="100">
        <v>0</v>
      </c>
      <c r="N536" s="100">
        <v>0</v>
      </c>
      <c r="O536" s="100">
        <v>0</v>
      </c>
      <c r="P536" s="100">
        <v>0</v>
      </c>
      <c r="Q536" s="100">
        <v>0</v>
      </c>
      <c r="R536" s="100">
        <v>0</v>
      </c>
      <c r="S536" s="100">
        <v>0</v>
      </c>
      <c r="T536" s="100">
        <v>0</v>
      </c>
      <c r="U536" s="100">
        <v>0</v>
      </c>
    </row>
    <row r="537" spans="4:21">
      <c r="D537" s="97" t="s">
        <v>657</v>
      </c>
      <c r="E537" s="97" t="s">
        <v>655</v>
      </c>
      <c r="F537" s="94" t="s">
        <v>658</v>
      </c>
      <c r="G537" s="97">
        <v>6</v>
      </c>
      <c r="H537" s="98" t="s">
        <v>745</v>
      </c>
      <c r="I537" s="99" t="str">
        <f t="shared" si="8"/>
        <v>백령도|6</v>
      </c>
      <c r="J537" s="100">
        <v>1.5</v>
      </c>
      <c r="K537" s="100">
        <v>0.1</v>
      </c>
      <c r="L537" s="100">
        <v>0</v>
      </c>
      <c r="M537" s="100">
        <v>0</v>
      </c>
      <c r="N537" s="100">
        <v>0</v>
      </c>
      <c r="O537" s="100">
        <v>0</v>
      </c>
      <c r="P537" s="100">
        <v>0</v>
      </c>
      <c r="Q537" s="100">
        <v>0</v>
      </c>
      <c r="R537" s="100">
        <v>0</v>
      </c>
      <c r="S537" s="100">
        <v>0</v>
      </c>
      <c r="T537" s="100">
        <v>0</v>
      </c>
      <c r="U537" s="100">
        <v>0.5</v>
      </c>
    </row>
    <row r="538" spans="4:21">
      <c r="D538" s="97" t="s">
        <v>659</v>
      </c>
      <c r="E538" s="97" t="s">
        <v>655</v>
      </c>
      <c r="F538" s="94" t="s">
        <v>660</v>
      </c>
      <c r="G538" s="97">
        <v>6</v>
      </c>
      <c r="H538" s="98" t="s">
        <v>745</v>
      </c>
      <c r="I538" s="99" t="str">
        <f t="shared" si="8"/>
        <v>인천|6</v>
      </c>
      <c r="J538" s="100">
        <v>0.3</v>
      </c>
      <c r="K538" s="100">
        <v>0.2</v>
      </c>
      <c r="L538" s="100">
        <v>0</v>
      </c>
      <c r="M538" s="100">
        <v>0</v>
      </c>
      <c r="N538" s="100">
        <v>0</v>
      </c>
      <c r="O538" s="100">
        <v>0</v>
      </c>
      <c r="P538" s="100">
        <v>0</v>
      </c>
      <c r="Q538" s="100">
        <v>0</v>
      </c>
      <c r="R538" s="100">
        <v>0</v>
      </c>
      <c r="S538" s="100">
        <v>0</v>
      </c>
      <c r="T538" s="100">
        <v>0.2</v>
      </c>
      <c r="U538" s="100">
        <v>0.1</v>
      </c>
    </row>
    <row r="539" spans="4:21">
      <c r="D539" s="97" t="s">
        <v>661</v>
      </c>
      <c r="E539" s="97" t="s">
        <v>662</v>
      </c>
      <c r="F539" s="94" t="s">
        <v>663</v>
      </c>
      <c r="G539" s="97">
        <v>6</v>
      </c>
      <c r="H539" s="98" t="s">
        <v>745</v>
      </c>
      <c r="I539" s="99" t="str">
        <f t="shared" si="8"/>
        <v>강진군|6</v>
      </c>
      <c r="J539" s="100">
        <v>0</v>
      </c>
      <c r="K539" s="100">
        <v>0</v>
      </c>
      <c r="L539" s="100">
        <v>0</v>
      </c>
      <c r="M539" s="100">
        <v>0</v>
      </c>
      <c r="N539" s="100">
        <v>0</v>
      </c>
      <c r="O539" s="100">
        <v>0</v>
      </c>
      <c r="P539" s="100">
        <v>0</v>
      </c>
      <c r="Q539" s="100">
        <v>0</v>
      </c>
      <c r="R539" s="100">
        <v>0</v>
      </c>
      <c r="S539" s="100">
        <v>0</v>
      </c>
      <c r="T539" s="100">
        <v>0</v>
      </c>
      <c r="U539" s="100">
        <v>0</v>
      </c>
    </row>
    <row r="540" spans="4:21">
      <c r="D540" s="97" t="s">
        <v>664</v>
      </c>
      <c r="E540" s="97" t="s">
        <v>662</v>
      </c>
      <c r="F540" s="94" t="s">
        <v>665</v>
      </c>
      <c r="G540" s="97">
        <v>6</v>
      </c>
      <c r="H540" s="98" t="s">
        <v>745</v>
      </c>
      <c r="I540" s="99" t="str">
        <f t="shared" si="8"/>
        <v>고흥|6</v>
      </c>
      <c r="J540" s="100">
        <v>0</v>
      </c>
      <c r="K540" s="100">
        <v>0</v>
      </c>
      <c r="L540" s="100">
        <v>0</v>
      </c>
      <c r="M540" s="100">
        <v>0</v>
      </c>
      <c r="N540" s="100">
        <v>0</v>
      </c>
      <c r="O540" s="100">
        <v>0</v>
      </c>
      <c r="P540" s="100">
        <v>0</v>
      </c>
      <c r="Q540" s="100">
        <v>0</v>
      </c>
      <c r="R540" s="100">
        <v>0</v>
      </c>
      <c r="S540" s="100">
        <v>0</v>
      </c>
      <c r="T540" s="100">
        <v>0</v>
      </c>
      <c r="U540" s="100">
        <v>0</v>
      </c>
    </row>
    <row r="541" spans="4:21">
      <c r="D541" s="97" t="s">
        <v>666</v>
      </c>
      <c r="E541" s="97" t="s">
        <v>662</v>
      </c>
      <c r="F541" s="94" t="s">
        <v>667</v>
      </c>
      <c r="G541" s="97">
        <v>6</v>
      </c>
      <c r="H541" s="98" t="s">
        <v>745</v>
      </c>
      <c r="I541" s="99" t="str">
        <f t="shared" si="8"/>
        <v>광양시|6</v>
      </c>
      <c r="J541" s="100">
        <v>0</v>
      </c>
      <c r="K541" s="100">
        <v>0</v>
      </c>
      <c r="L541" s="100">
        <v>0</v>
      </c>
      <c r="M541" s="100">
        <v>0</v>
      </c>
      <c r="N541" s="100">
        <v>0</v>
      </c>
      <c r="O541" s="100">
        <v>0</v>
      </c>
      <c r="P541" s="100">
        <v>0</v>
      </c>
      <c r="Q541" s="100">
        <v>0</v>
      </c>
      <c r="R541" s="100">
        <v>0</v>
      </c>
      <c r="S541" s="100">
        <v>0</v>
      </c>
      <c r="T541" s="100">
        <v>0</v>
      </c>
      <c r="U541" s="100">
        <v>0</v>
      </c>
    </row>
    <row r="542" spans="4:21">
      <c r="D542" s="97" t="s">
        <v>668</v>
      </c>
      <c r="E542" s="97" t="s">
        <v>662</v>
      </c>
      <c r="F542" s="94" t="s">
        <v>669</v>
      </c>
      <c r="G542" s="97">
        <v>6</v>
      </c>
      <c r="H542" s="98" t="s">
        <v>745</v>
      </c>
      <c r="I542" s="99" t="str">
        <f t="shared" si="8"/>
        <v>목포|6</v>
      </c>
      <c r="J542" s="100">
        <v>1</v>
      </c>
      <c r="K542" s="100">
        <v>0.3</v>
      </c>
      <c r="L542" s="100">
        <v>0</v>
      </c>
      <c r="M542" s="100">
        <v>0</v>
      </c>
      <c r="N542" s="100">
        <v>0</v>
      </c>
      <c r="O542" s="100">
        <v>0</v>
      </c>
      <c r="P542" s="100">
        <v>0</v>
      </c>
      <c r="Q542" s="100">
        <v>0</v>
      </c>
      <c r="R542" s="100">
        <v>0</v>
      </c>
      <c r="S542" s="100">
        <v>0</v>
      </c>
      <c r="T542" s="100">
        <v>0</v>
      </c>
      <c r="U542" s="100">
        <v>0.9</v>
      </c>
    </row>
    <row r="543" spans="4:21">
      <c r="D543" s="97" t="s">
        <v>670</v>
      </c>
      <c r="E543" s="97" t="s">
        <v>662</v>
      </c>
      <c r="F543" s="94" t="s">
        <v>671</v>
      </c>
      <c r="G543" s="97">
        <v>6</v>
      </c>
      <c r="H543" s="98" t="s">
        <v>745</v>
      </c>
      <c r="I543" s="99" t="str">
        <f t="shared" si="8"/>
        <v>보성군|6</v>
      </c>
      <c r="J543" s="100">
        <v>0</v>
      </c>
      <c r="K543" s="100">
        <v>0</v>
      </c>
      <c r="L543" s="100">
        <v>0</v>
      </c>
      <c r="M543" s="100">
        <v>0</v>
      </c>
      <c r="N543" s="100">
        <v>0</v>
      </c>
      <c r="O543" s="100">
        <v>0</v>
      </c>
      <c r="P543" s="100">
        <v>0</v>
      </c>
      <c r="Q543" s="100">
        <v>0</v>
      </c>
      <c r="R543" s="100">
        <v>0</v>
      </c>
      <c r="S543" s="100">
        <v>0</v>
      </c>
      <c r="T543" s="100">
        <v>0</v>
      </c>
      <c r="U543" s="100">
        <v>0</v>
      </c>
    </row>
    <row r="544" spans="4:21">
      <c r="D544" s="97" t="s">
        <v>672</v>
      </c>
      <c r="E544" s="97" t="s">
        <v>662</v>
      </c>
      <c r="F544" s="94" t="s">
        <v>673</v>
      </c>
      <c r="G544" s="97">
        <v>6</v>
      </c>
      <c r="H544" s="98" t="s">
        <v>745</v>
      </c>
      <c r="I544" s="99" t="str">
        <f t="shared" si="8"/>
        <v>순천|6</v>
      </c>
      <c r="J544" s="100">
        <v>0.1</v>
      </c>
      <c r="K544" s="100">
        <v>0</v>
      </c>
      <c r="L544" s="100">
        <v>0</v>
      </c>
      <c r="M544" s="100">
        <v>0</v>
      </c>
      <c r="N544" s="100">
        <v>0</v>
      </c>
      <c r="O544" s="100">
        <v>0</v>
      </c>
      <c r="P544" s="100">
        <v>0</v>
      </c>
      <c r="Q544" s="100">
        <v>0</v>
      </c>
      <c r="R544" s="100">
        <v>0</v>
      </c>
      <c r="S544" s="100">
        <v>0</v>
      </c>
      <c r="T544" s="100">
        <v>0</v>
      </c>
      <c r="U544" s="100">
        <v>0</v>
      </c>
    </row>
    <row r="545" spans="4:21">
      <c r="D545" s="97" t="s">
        <v>674</v>
      </c>
      <c r="E545" s="97" t="s">
        <v>662</v>
      </c>
      <c r="F545" s="94" t="s">
        <v>675</v>
      </c>
      <c r="G545" s="97">
        <v>6</v>
      </c>
      <c r="H545" s="98" t="s">
        <v>745</v>
      </c>
      <c r="I545" s="99" t="str">
        <f t="shared" si="8"/>
        <v>여수|6</v>
      </c>
      <c r="J545" s="100">
        <v>0</v>
      </c>
      <c r="K545" s="100">
        <v>0</v>
      </c>
      <c r="L545" s="100">
        <v>0</v>
      </c>
      <c r="M545" s="100">
        <v>0</v>
      </c>
      <c r="N545" s="100">
        <v>0</v>
      </c>
      <c r="O545" s="100">
        <v>0</v>
      </c>
      <c r="P545" s="100">
        <v>0</v>
      </c>
      <c r="Q545" s="100">
        <v>0</v>
      </c>
      <c r="R545" s="100">
        <v>0</v>
      </c>
      <c r="S545" s="100">
        <v>0</v>
      </c>
      <c r="T545" s="100">
        <v>0</v>
      </c>
      <c r="U545" s="100">
        <v>0</v>
      </c>
    </row>
    <row r="546" spans="4:21">
      <c r="D546" s="97" t="s">
        <v>676</v>
      </c>
      <c r="E546" s="97" t="s">
        <v>662</v>
      </c>
      <c r="F546" s="94" t="s">
        <v>677</v>
      </c>
      <c r="G546" s="97">
        <v>6</v>
      </c>
      <c r="H546" s="98" t="s">
        <v>745</v>
      </c>
      <c r="I546" s="99" t="str">
        <f t="shared" si="8"/>
        <v>영광군|6</v>
      </c>
      <c r="J546" s="100">
        <v>0</v>
      </c>
      <c r="K546" s="100">
        <v>0</v>
      </c>
      <c r="L546" s="100">
        <v>0</v>
      </c>
      <c r="M546" s="100">
        <v>0</v>
      </c>
      <c r="N546" s="100">
        <v>0</v>
      </c>
      <c r="O546" s="100">
        <v>0</v>
      </c>
      <c r="P546" s="100">
        <v>0</v>
      </c>
      <c r="Q546" s="100">
        <v>0</v>
      </c>
      <c r="R546" s="100">
        <v>0</v>
      </c>
      <c r="S546" s="100">
        <v>0</v>
      </c>
      <c r="T546" s="100">
        <v>0</v>
      </c>
      <c r="U546" s="100">
        <v>0</v>
      </c>
    </row>
    <row r="547" spans="4:21">
      <c r="D547" s="97" t="s">
        <v>678</v>
      </c>
      <c r="E547" s="97" t="s">
        <v>662</v>
      </c>
      <c r="F547" s="94" t="s">
        <v>679</v>
      </c>
      <c r="G547" s="97">
        <v>6</v>
      </c>
      <c r="H547" s="98" t="s">
        <v>745</v>
      </c>
      <c r="I547" s="99" t="str">
        <f t="shared" si="8"/>
        <v>완도|6</v>
      </c>
      <c r="J547" s="100">
        <v>0</v>
      </c>
      <c r="K547" s="100">
        <v>0</v>
      </c>
      <c r="L547" s="100">
        <v>0</v>
      </c>
      <c r="M547" s="100">
        <v>0</v>
      </c>
      <c r="N547" s="100">
        <v>0</v>
      </c>
      <c r="O547" s="100">
        <v>0</v>
      </c>
      <c r="P547" s="100">
        <v>0</v>
      </c>
      <c r="Q547" s="100">
        <v>0</v>
      </c>
      <c r="R547" s="100">
        <v>0</v>
      </c>
      <c r="S547" s="100">
        <v>0</v>
      </c>
      <c r="T547" s="100">
        <v>0</v>
      </c>
      <c r="U547" s="100">
        <v>0</v>
      </c>
    </row>
    <row r="548" spans="4:21">
      <c r="D548" s="97" t="s">
        <v>680</v>
      </c>
      <c r="E548" s="97" t="s">
        <v>662</v>
      </c>
      <c r="F548" s="94" t="s">
        <v>681</v>
      </c>
      <c r="G548" s="97">
        <v>6</v>
      </c>
      <c r="H548" s="98" t="s">
        <v>745</v>
      </c>
      <c r="I548" s="99" t="str">
        <f t="shared" si="8"/>
        <v>장흥|6</v>
      </c>
      <c r="J548" s="100">
        <v>0</v>
      </c>
      <c r="K548" s="100">
        <v>0</v>
      </c>
      <c r="L548" s="100">
        <v>0</v>
      </c>
      <c r="M548" s="100">
        <v>0</v>
      </c>
      <c r="N548" s="100">
        <v>0</v>
      </c>
      <c r="O548" s="100">
        <v>0</v>
      </c>
      <c r="P548" s="100">
        <v>0</v>
      </c>
      <c r="Q548" s="100">
        <v>0</v>
      </c>
      <c r="R548" s="100">
        <v>0</v>
      </c>
      <c r="S548" s="100">
        <v>0</v>
      </c>
      <c r="T548" s="100">
        <v>0</v>
      </c>
      <c r="U548" s="100">
        <v>0</v>
      </c>
    </row>
    <row r="549" spans="4:21">
      <c r="D549" s="97" t="s">
        <v>682</v>
      </c>
      <c r="E549" s="97" t="s">
        <v>662</v>
      </c>
      <c r="F549" s="94" t="s">
        <v>683</v>
      </c>
      <c r="G549" s="97">
        <v>6</v>
      </c>
      <c r="H549" s="98" t="s">
        <v>745</v>
      </c>
      <c r="I549" s="99" t="str">
        <f t="shared" si="8"/>
        <v>진도군|6</v>
      </c>
      <c r="J549" s="100">
        <v>0</v>
      </c>
      <c r="K549" s="100">
        <v>0</v>
      </c>
      <c r="L549" s="100">
        <v>0</v>
      </c>
      <c r="M549" s="100">
        <v>0</v>
      </c>
      <c r="N549" s="100">
        <v>0</v>
      </c>
      <c r="O549" s="100">
        <v>0</v>
      </c>
      <c r="P549" s="100">
        <v>0</v>
      </c>
      <c r="Q549" s="100">
        <v>0</v>
      </c>
      <c r="R549" s="100">
        <v>0</v>
      </c>
      <c r="S549" s="100">
        <v>0</v>
      </c>
      <c r="T549" s="100">
        <v>0</v>
      </c>
      <c r="U549" s="100">
        <v>0</v>
      </c>
    </row>
    <row r="550" spans="4:21">
      <c r="D550" s="97" t="s">
        <v>684</v>
      </c>
      <c r="E550" s="97" t="s">
        <v>662</v>
      </c>
      <c r="F550" s="94" t="s">
        <v>685</v>
      </c>
      <c r="G550" s="97">
        <v>6</v>
      </c>
      <c r="H550" s="98" t="s">
        <v>745</v>
      </c>
      <c r="I550" s="99" t="str">
        <f t="shared" si="8"/>
        <v>해남|6</v>
      </c>
      <c r="J550" s="100">
        <v>0</v>
      </c>
      <c r="K550" s="100">
        <v>0</v>
      </c>
      <c r="L550" s="100">
        <v>0</v>
      </c>
      <c r="M550" s="100">
        <v>0</v>
      </c>
      <c r="N550" s="100">
        <v>0</v>
      </c>
      <c r="O550" s="100">
        <v>0</v>
      </c>
      <c r="P550" s="100">
        <v>0</v>
      </c>
      <c r="Q550" s="100">
        <v>0</v>
      </c>
      <c r="R550" s="100">
        <v>0</v>
      </c>
      <c r="S550" s="100">
        <v>0</v>
      </c>
      <c r="T550" s="100">
        <v>0</v>
      </c>
      <c r="U550" s="100">
        <v>0</v>
      </c>
    </row>
    <row r="551" spans="4:21">
      <c r="D551" s="97" t="s">
        <v>686</v>
      </c>
      <c r="E551" s="97" t="s">
        <v>662</v>
      </c>
      <c r="F551" s="94" t="s">
        <v>687</v>
      </c>
      <c r="G551" s="97">
        <v>6</v>
      </c>
      <c r="H551" s="98" t="s">
        <v>745</v>
      </c>
      <c r="I551" s="99" t="str">
        <f t="shared" si="8"/>
        <v>흑산도|6</v>
      </c>
      <c r="J551" s="100">
        <v>0.4</v>
      </c>
      <c r="K551" s="100">
        <v>0.1</v>
      </c>
      <c r="L551" s="100">
        <v>0</v>
      </c>
      <c r="M551" s="100">
        <v>0</v>
      </c>
      <c r="N551" s="100">
        <v>0</v>
      </c>
      <c r="O551" s="100">
        <v>0</v>
      </c>
      <c r="P551" s="100">
        <v>0</v>
      </c>
      <c r="Q551" s="100">
        <v>0</v>
      </c>
      <c r="R551" s="100">
        <v>0</v>
      </c>
      <c r="S551" s="100">
        <v>0</v>
      </c>
      <c r="T551" s="100">
        <v>0</v>
      </c>
      <c r="U551" s="100">
        <v>0.4</v>
      </c>
    </row>
    <row r="552" spans="4:21">
      <c r="D552" s="97" t="s">
        <v>688</v>
      </c>
      <c r="E552" s="97" t="s">
        <v>689</v>
      </c>
      <c r="F552" s="94" t="s">
        <v>690</v>
      </c>
      <c r="G552" s="97">
        <v>6</v>
      </c>
      <c r="H552" s="98" t="s">
        <v>745</v>
      </c>
      <c r="I552" s="99" t="str">
        <f t="shared" si="8"/>
        <v>고창|6</v>
      </c>
      <c r="J552" s="100">
        <v>0.2</v>
      </c>
      <c r="K552" s="100">
        <v>0</v>
      </c>
      <c r="L552" s="100">
        <v>0</v>
      </c>
      <c r="M552" s="100">
        <v>0</v>
      </c>
      <c r="N552" s="100">
        <v>0</v>
      </c>
      <c r="O552" s="100">
        <v>0</v>
      </c>
      <c r="P552" s="100">
        <v>0</v>
      </c>
      <c r="Q552" s="100">
        <v>0</v>
      </c>
      <c r="R552" s="100">
        <v>0</v>
      </c>
      <c r="S552" s="100">
        <v>0</v>
      </c>
      <c r="T552" s="100">
        <v>0</v>
      </c>
      <c r="U552" s="100">
        <v>0</v>
      </c>
    </row>
    <row r="553" spans="4:21">
      <c r="D553" s="97" t="s">
        <v>691</v>
      </c>
      <c r="E553" s="97" t="s">
        <v>689</v>
      </c>
      <c r="F553" s="94" t="s">
        <v>692</v>
      </c>
      <c r="G553" s="97">
        <v>6</v>
      </c>
      <c r="H553" s="98" t="s">
        <v>745</v>
      </c>
      <c r="I553" s="99" t="str">
        <f t="shared" si="8"/>
        <v>고창군|6</v>
      </c>
      <c r="J553" s="100">
        <v>0</v>
      </c>
      <c r="K553" s="100">
        <v>0</v>
      </c>
      <c r="L553" s="100">
        <v>0</v>
      </c>
      <c r="M553" s="100">
        <v>0</v>
      </c>
      <c r="N553" s="100">
        <v>0</v>
      </c>
      <c r="O553" s="100">
        <v>0</v>
      </c>
      <c r="P553" s="100">
        <v>0</v>
      </c>
      <c r="Q553" s="100">
        <v>0</v>
      </c>
      <c r="R553" s="100">
        <v>0</v>
      </c>
      <c r="S553" s="100">
        <v>0</v>
      </c>
      <c r="T553" s="100">
        <v>0</v>
      </c>
      <c r="U553" s="100">
        <v>0</v>
      </c>
    </row>
    <row r="554" spans="4:21">
      <c r="D554" s="97" t="s">
        <v>693</v>
      </c>
      <c r="E554" s="97" t="s">
        <v>689</v>
      </c>
      <c r="F554" s="94" t="s">
        <v>694</v>
      </c>
      <c r="G554" s="97">
        <v>6</v>
      </c>
      <c r="H554" s="98" t="s">
        <v>745</v>
      </c>
      <c r="I554" s="99" t="str">
        <f t="shared" si="8"/>
        <v>군산|6</v>
      </c>
      <c r="J554" s="100">
        <v>0</v>
      </c>
      <c r="K554" s="100">
        <v>0</v>
      </c>
      <c r="L554" s="100">
        <v>0</v>
      </c>
      <c r="M554" s="100">
        <v>0</v>
      </c>
      <c r="N554" s="100">
        <v>0</v>
      </c>
      <c r="O554" s="100">
        <v>0</v>
      </c>
      <c r="P554" s="100">
        <v>0</v>
      </c>
      <c r="Q554" s="100">
        <v>0</v>
      </c>
      <c r="R554" s="100">
        <v>0</v>
      </c>
      <c r="S554" s="100">
        <v>0</v>
      </c>
      <c r="T554" s="100">
        <v>0</v>
      </c>
      <c r="U554" s="100">
        <v>0</v>
      </c>
    </row>
    <row r="555" spans="4:21">
      <c r="D555" s="97" t="s">
        <v>695</v>
      </c>
      <c r="E555" s="97" t="s">
        <v>689</v>
      </c>
      <c r="F555" s="94" t="s">
        <v>696</v>
      </c>
      <c r="G555" s="97">
        <v>6</v>
      </c>
      <c r="H555" s="98" t="s">
        <v>745</v>
      </c>
      <c r="I555" s="99" t="str">
        <f t="shared" si="8"/>
        <v>남원|6</v>
      </c>
      <c r="J555" s="100">
        <v>0</v>
      </c>
      <c r="K555" s="100">
        <v>0</v>
      </c>
      <c r="L555" s="100">
        <v>0</v>
      </c>
      <c r="M555" s="100">
        <v>0</v>
      </c>
      <c r="N555" s="100">
        <v>0</v>
      </c>
      <c r="O555" s="100">
        <v>0</v>
      </c>
      <c r="P555" s="100">
        <v>0</v>
      </c>
      <c r="Q555" s="100">
        <v>0</v>
      </c>
      <c r="R555" s="100">
        <v>0</v>
      </c>
      <c r="S555" s="100">
        <v>0</v>
      </c>
      <c r="T555" s="100">
        <v>0</v>
      </c>
      <c r="U555" s="100">
        <v>0</v>
      </c>
    </row>
    <row r="556" spans="4:21">
      <c r="D556" s="97" t="s">
        <v>697</v>
      </c>
      <c r="E556" s="97" t="s">
        <v>689</v>
      </c>
      <c r="F556" s="94" t="s">
        <v>698</v>
      </c>
      <c r="G556" s="97">
        <v>6</v>
      </c>
      <c r="H556" s="98" t="s">
        <v>745</v>
      </c>
      <c r="I556" s="99" t="str">
        <f t="shared" si="8"/>
        <v>부안|6</v>
      </c>
      <c r="J556" s="100">
        <v>0</v>
      </c>
      <c r="K556" s="100">
        <v>0</v>
      </c>
      <c r="L556" s="100">
        <v>0</v>
      </c>
      <c r="M556" s="100">
        <v>0</v>
      </c>
      <c r="N556" s="100">
        <v>0</v>
      </c>
      <c r="O556" s="100">
        <v>0</v>
      </c>
      <c r="P556" s="100">
        <v>0</v>
      </c>
      <c r="Q556" s="100">
        <v>0</v>
      </c>
      <c r="R556" s="100">
        <v>0</v>
      </c>
      <c r="S556" s="100">
        <v>0</v>
      </c>
      <c r="T556" s="100">
        <v>0</v>
      </c>
      <c r="U556" s="100">
        <v>0</v>
      </c>
    </row>
    <row r="557" spans="4:21">
      <c r="D557" s="97" t="s">
        <v>699</v>
      </c>
      <c r="E557" s="97" t="s">
        <v>689</v>
      </c>
      <c r="F557" s="94" t="s">
        <v>700</v>
      </c>
      <c r="G557" s="97">
        <v>6</v>
      </c>
      <c r="H557" s="98" t="s">
        <v>745</v>
      </c>
      <c r="I557" s="99" t="str">
        <f t="shared" si="8"/>
        <v>순창군|6</v>
      </c>
      <c r="J557" s="100">
        <v>0</v>
      </c>
      <c r="K557" s="100">
        <v>0</v>
      </c>
      <c r="L557" s="100">
        <v>0</v>
      </c>
      <c r="M557" s="100">
        <v>0</v>
      </c>
      <c r="N557" s="100">
        <v>0</v>
      </c>
      <c r="O557" s="100">
        <v>0</v>
      </c>
      <c r="P557" s="100">
        <v>0</v>
      </c>
      <c r="Q557" s="100">
        <v>0</v>
      </c>
      <c r="R557" s="100">
        <v>0</v>
      </c>
      <c r="S557" s="100">
        <v>0</v>
      </c>
      <c r="T557" s="100">
        <v>0</v>
      </c>
      <c r="U557" s="100">
        <v>0</v>
      </c>
    </row>
    <row r="558" spans="4:21">
      <c r="D558" s="97" t="s">
        <v>701</v>
      </c>
      <c r="E558" s="97" t="s">
        <v>689</v>
      </c>
      <c r="F558" s="94" t="s">
        <v>702</v>
      </c>
      <c r="G558" s="97">
        <v>6</v>
      </c>
      <c r="H558" s="98" t="s">
        <v>745</v>
      </c>
      <c r="I558" s="99" t="str">
        <f t="shared" si="8"/>
        <v>임실|6</v>
      </c>
      <c r="J558" s="100">
        <v>0</v>
      </c>
      <c r="K558" s="100">
        <v>0</v>
      </c>
      <c r="L558" s="100">
        <v>0</v>
      </c>
      <c r="M558" s="100">
        <v>0</v>
      </c>
      <c r="N558" s="100">
        <v>0</v>
      </c>
      <c r="O558" s="100">
        <v>0</v>
      </c>
      <c r="P558" s="100">
        <v>0</v>
      </c>
      <c r="Q558" s="100">
        <v>0</v>
      </c>
      <c r="R558" s="100">
        <v>0</v>
      </c>
      <c r="S558" s="100">
        <v>0</v>
      </c>
      <c r="T558" s="100">
        <v>0</v>
      </c>
      <c r="U558" s="100">
        <v>0</v>
      </c>
    </row>
    <row r="559" spans="4:21">
      <c r="D559" s="97" t="s">
        <v>703</v>
      </c>
      <c r="E559" s="97" t="s">
        <v>689</v>
      </c>
      <c r="F559" s="94" t="s">
        <v>704</v>
      </c>
      <c r="G559" s="97">
        <v>6</v>
      </c>
      <c r="H559" s="98" t="s">
        <v>745</v>
      </c>
      <c r="I559" s="99" t="str">
        <f t="shared" si="8"/>
        <v>장수|6</v>
      </c>
      <c r="J559" s="100">
        <v>0</v>
      </c>
      <c r="K559" s="100">
        <v>0</v>
      </c>
      <c r="L559" s="100">
        <v>0</v>
      </c>
      <c r="M559" s="100">
        <v>0</v>
      </c>
      <c r="N559" s="100">
        <v>0</v>
      </c>
      <c r="O559" s="100">
        <v>0</v>
      </c>
      <c r="P559" s="100">
        <v>0</v>
      </c>
      <c r="Q559" s="100">
        <v>0</v>
      </c>
      <c r="R559" s="100">
        <v>0</v>
      </c>
      <c r="S559" s="100">
        <v>0</v>
      </c>
      <c r="T559" s="100">
        <v>0</v>
      </c>
      <c r="U559" s="100">
        <v>0</v>
      </c>
    </row>
    <row r="560" spans="4:21">
      <c r="D560" s="97" t="s">
        <v>705</v>
      </c>
      <c r="E560" s="97" t="s">
        <v>689</v>
      </c>
      <c r="F560" s="94" t="s">
        <v>706</v>
      </c>
      <c r="G560" s="97">
        <v>6</v>
      </c>
      <c r="H560" s="98" t="s">
        <v>745</v>
      </c>
      <c r="I560" s="99" t="str">
        <f t="shared" si="8"/>
        <v>전주|6</v>
      </c>
      <c r="J560" s="100">
        <v>0.7</v>
      </c>
      <c r="K560" s="100">
        <v>0.1</v>
      </c>
      <c r="L560" s="100">
        <v>0</v>
      </c>
      <c r="M560" s="100">
        <v>0</v>
      </c>
      <c r="N560" s="100">
        <v>0</v>
      </c>
      <c r="O560" s="100">
        <v>0</v>
      </c>
      <c r="P560" s="100">
        <v>0</v>
      </c>
      <c r="Q560" s="100">
        <v>0</v>
      </c>
      <c r="R560" s="100">
        <v>0</v>
      </c>
      <c r="S560" s="100">
        <v>0</v>
      </c>
      <c r="T560" s="100">
        <v>0.1</v>
      </c>
      <c r="U560" s="100">
        <v>0.4</v>
      </c>
    </row>
    <row r="561" spans="4:21">
      <c r="D561" s="97" t="s">
        <v>707</v>
      </c>
      <c r="E561" s="97" t="s">
        <v>689</v>
      </c>
      <c r="F561" s="94" t="s">
        <v>708</v>
      </c>
      <c r="G561" s="97">
        <v>6</v>
      </c>
      <c r="H561" s="98" t="s">
        <v>745</v>
      </c>
      <c r="I561" s="99" t="str">
        <f t="shared" si="8"/>
        <v>정읍|6</v>
      </c>
      <c r="J561" s="100">
        <v>0</v>
      </c>
      <c r="K561" s="100">
        <v>0</v>
      </c>
      <c r="L561" s="100">
        <v>0</v>
      </c>
      <c r="M561" s="100">
        <v>0</v>
      </c>
      <c r="N561" s="100">
        <v>0</v>
      </c>
      <c r="O561" s="100">
        <v>0</v>
      </c>
      <c r="P561" s="100">
        <v>0</v>
      </c>
      <c r="Q561" s="100">
        <v>0</v>
      </c>
      <c r="R561" s="100">
        <v>0</v>
      </c>
      <c r="S561" s="100">
        <v>0</v>
      </c>
      <c r="T561" s="100">
        <v>0</v>
      </c>
      <c r="U561" s="100">
        <v>0</v>
      </c>
    </row>
    <row r="562" spans="4:21">
      <c r="D562" s="97" t="s">
        <v>709</v>
      </c>
      <c r="E562" s="97" t="s">
        <v>710</v>
      </c>
      <c r="F562" s="94" t="s">
        <v>711</v>
      </c>
      <c r="G562" s="97">
        <v>6</v>
      </c>
      <c r="H562" s="98" t="s">
        <v>745</v>
      </c>
      <c r="I562" s="99" t="str">
        <f t="shared" si="8"/>
        <v>고산|6</v>
      </c>
      <c r="J562" s="100">
        <v>0</v>
      </c>
      <c r="K562" s="100">
        <v>0</v>
      </c>
      <c r="L562" s="100">
        <v>0</v>
      </c>
      <c r="M562" s="100">
        <v>0</v>
      </c>
      <c r="N562" s="100">
        <v>0</v>
      </c>
      <c r="O562" s="100">
        <v>0</v>
      </c>
      <c r="P562" s="100">
        <v>0</v>
      </c>
      <c r="Q562" s="100">
        <v>0</v>
      </c>
      <c r="R562" s="100">
        <v>0</v>
      </c>
      <c r="S562" s="100">
        <v>0</v>
      </c>
      <c r="T562" s="100">
        <v>0</v>
      </c>
      <c r="U562" s="100">
        <v>0</v>
      </c>
    </row>
    <row r="563" spans="4:21">
      <c r="D563" s="97" t="s">
        <v>712</v>
      </c>
      <c r="E563" s="97" t="s">
        <v>710</v>
      </c>
      <c r="F563" s="94" t="s">
        <v>713</v>
      </c>
      <c r="G563" s="97">
        <v>6</v>
      </c>
      <c r="H563" s="98" t="s">
        <v>745</v>
      </c>
      <c r="I563" s="99" t="str">
        <f t="shared" si="8"/>
        <v>서귀포|6</v>
      </c>
      <c r="J563" s="100">
        <v>0</v>
      </c>
      <c r="K563" s="100">
        <v>0</v>
      </c>
      <c r="L563" s="100">
        <v>0</v>
      </c>
      <c r="M563" s="100">
        <v>0</v>
      </c>
      <c r="N563" s="100">
        <v>0</v>
      </c>
      <c r="O563" s="100">
        <v>0</v>
      </c>
      <c r="P563" s="100">
        <v>0</v>
      </c>
      <c r="Q563" s="100">
        <v>0</v>
      </c>
      <c r="R563" s="100">
        <v>0</v>
      </c>
      <c r="S563" s="100">
        <v>0</v>
      </c>
      <c r="T563" s="100">
        <v>0</v>
      </c>
      <c r="U563" s="100">
        <v>0</v>
      </c>
    </row>
    <row r="564" spans="4:21">
      <c r="D564" s="97" t="s">
        <v>714</v>
      </c>
      <c r="E564" s="97" t="s">
        <v>710</v>
      </c>
      <c r="F564" s="94" t="s">
        <v>715</v>
      </c>
      <c r="G564" s="97">
        <v>6</v>
      </c>
      <c r="H564" s="98" t="s">
        <v>745</v>
      </c>
      <c r="I564" s="99" t="str">
        <f t="shared" si="8"/>
        <v>성산|6</v>
      </c>
      <c r="J564" s="100">
        <v>0.1</v>
      </c>
      <c r="K564" s="100">
        <v>0</v>
      </c>
      <c r="L564" s="100">
        <v>0</v>
      </c>
      <c r="M564" s="100">
        <v>0</v>
      </c>
      <c r="N564" s="100">
        <v>0</v>
      </c>
      <c r="O564" s="100">
        <v>0</v>
      </c>
      <c r="P564" s="100">
        <v>0</v>
      </c>
      <c r="Q564" s="100">
        <v>0</v>
      </c>
      <c r="R564" s="100">
        <v>0</v>
      </c>
      <c r="S564" s="100">
        <v>0</v>
      </c>
      <c r="T564" s="100">
        <v>0</v>
      </c>
      <c r="U564" s="100">
        <v>0</v>
      </c>
    </row>
    <row r="565" spans="4:21">
      <c r="D565" s="97" t="s">
        <v>716</v>
      </c>
      <c r="E565" s="97" t="s">
        <v>710</v>
      </c>
      <c r="F565" s="94" t="s">
        <v>717</v>
      </c>
      <c r="G565" s="97">
        <v>6</v>
      </c>
      <c r="H565" s="98" t="s">
        <v>745</v>
      </c>
      <c r="I565" s="99" t="str">
        <f t="shared" si="8"/>
        <v>제주|6</v>
      </c>
      <c r="J565" s="100">
        <v>0.4</v>
      </c>
      <c r="K565" s="100">
        <v>0.2</v>
      </c>
      <c r="L565" s="100">
        <v>0</v>
      </c>
      <c r="M565" s="100">
        <v>0</v>
      </c>
      <c r="N565" s="100">
        <v>0</v>
      </c>
      <c r="O565" s="100">
        <v>0</v>
      </c>
      <c r="P565" s="100">
        <v>0</v>
      </c>
      <c r="Q565" s="100">
        <v>0</v>
      </c>
      <c r="R565" s="100">
        <v>0</v>
      </c>
      <c r="S565" s="100">
        <v>0</v>
      </c>
      <c r="T565" s="100">
        <v>0</v>
      </c>
      <c r="U565" s="100">
        <v>0.2</v>
      </c>
    </row>
    <row r="566" spans="4:21">
      <c r="D566" s="97" t="s">
        <v>718</v>
      </c>
      <c r="E566" s="97" t="s">
        <v>719</v>
      </c>
      <c r="F566" s="94" t="s">
        <v>720</v>
      </c>
      <c r="G566" s="97">
        <v>6</v>
      </c>
      <c r="H566" s="98" t="s">
        <v>745</v>
      </c>
      <c r="I566" s="99" t="str">
        <f t="shared" si="8"/>
        <v>금산|6</v>
      </c>
      <c r="J566" s="100">
        <v>0</v>
      </c>
      <c r="K566" s="100">
        <v>0</v>
      </c>
      <c r="L566" s="100">
        <v>0</v>
      </c>
      <c r="M566" s="100">
        <v>0</v>
      </c>
      <c r="N566" s="100">
        <v>0</v>
      </c>
      <c r="O566" s="100">
        <v>0</v>
      </c>
      <c r="P566" s="100">
        <v>0</v>
      </c>
      <c r="Q566" s="100">
        <v>0</v>
      </c>
      <c r="R566" s="100">
        <v>0</v>
      </c>
      <c r="S566" s="100">
        <v>0</v>
      </c>
      <c r="T566" s="100">
        <v>0</v>
      </c>
      <c r="U566" s="100">
        <v>0</v>
      </c>
    </row>
    <row r="567" spans="4:21">
      <c r="D567" s="97" t="s">
        <v>721</v>
      </c>
      <c r="E567" s="97" t="s">
        <v>719</v>
      </c>
      <c r="F567" s="94" t="s">
        <v>722</v>
      </c>
      <c r="G567" s="97">
        <v>6</v>
      </c>
      <c r="H567" s="98" t="s">
        <v>745</v>
      </c>
      <c r="I567" s="99" t="str">
        <f t="shared" si="8"/>
        <v>보령|6</v>
      </c>
      <c r="J567" s="100">
        <v>0</v>
      </c>
      <c r="K567" s="100">
        <v>0</v>
      </c>
      <c r="L567" s="100">
        <v>0</v>
      </c>
      <c r="M567" s="100">
        <v>0</v>
      </c>
      <c r="N567" s="100">
        <v>0</v>
      </c>
      <c r="O567" s="100">
        <v>0</v>
      </c>
      <c r="P567" s="100">
        <v>0</v>
      </c>
      <c r="Q567" s="100">
        <v>0</v>
      </c>
      <c r="R567" s="100">
        <v>0</v>
      </c>
      <c r="S567" s="100">
        <v>0</v>
      </c>
      <c r="T567" s="100">
        <v>0</v>
      </c>
      <c r="U567" s="100">
        <v>0</v>
      </c>
    </row>
    <row r="568" spans="4:21">
      <c r="D568" s="97" t="s">
        <v>723</v>
      </c>
      <c r="E568" s="97" t="s">
        <v>719</v>
      </c>
      <c r="F568" s="94" t="s">
        <v>724</v>
      </c>
      <c r="G568" s="97">
        <v>6</v>
      </c>
      <c r="H568" s="98" t="s">
        <v>745</v>
      </c>
      <c r="I568" s="99" t="str">
        <f t="shared" si="8"/>
        <v>부여|6</v>
      </c>
      <c r="J568" s="100">
        <v>0</v>
      </c>
      <c r="K568" s="100">
        <v>0</v>
      </c>
      <c r="L568" s="100">
        <v>0</v>
      </c>
      <c r="M568" s="100">
        <v>0</v>
      </c>
      <c r="N568" s="100">
        <v>0</v>
      </c>
      <c r="O568" s="100">
        <v>0</v>
      </c>
      <c r="P568" s="100">
        <v>0</v>
      </c>
      <c r="Q568" s="100">
        <v>0</v>
      </c>
      <c r="R568" s="100">
        <v>0</v>
      </c>
      <c r="S568" s="100">
        <v>0</v>
      </c>
      <c r="T568" s="100">
        <v>0</v>
      </c>
      <c r="U568" s="100">
        <v>0</v>
      </c>
    </row>
    <row r="569" spans="4:21">
      <c r="D569" s="97" t="s">
        <v>91</v>
      </c>
      <c r="E569" s="97" t="s">
        <v>719</v>
      </c>
      <c r="F569" s="94" t="s">
        <v>725</v>
      </c>
      <c r="G569" s="97">
        <v>6</v>
      </c>
      <c r="H569" s="98" t="s">
        <v>745</v>
      </c>
      <c r="I569" s="99" t="str">
        <f t="shared" si="8"/>
        <v>서산|6</v>
      </c>
      <c r="J569" s="100">
        <v>0.4</v>
      </c>
      <c r="K569" s="100">
        <v>0.1</v>
      </c>
      <c r="L569" s="100">
        <v>0</v>
      </c>
      <c r="M569" s="100">
        <v>0</v>
      </c>
      <c r="N569" s="100">
        <v>0</v>
      </c>
      <c r="O569" s="100">
        <v>0</v>
      </c>
      <c r="P569" s="100">
        <v>0</v>
      </c>
      <c r="Q569" s="100">
        <v>0</v>
      </c>
      <c r="R569" s="100">
        <v>0</v>
      </c>
      <c r="S569" s="100">
        <v>0</v>
      </c>
      <c r="T569" s="100">
        <v>0.1</v>
      </c>
      <c r="U569" s="100">
        <v>0.3</v>
      </c>
    </row>
    <row r="570" spans="4:21">
      <c r="D570" s="97" t="s">
        <v>726</v>
      </c>
      <c r="E570" s="97" t="s">
        <v>719</v>
      </c>
      <c r="F570" s="94" t="s">
        <v>727</v>
      </c>
      <c r="G570" s="97">
        <v>6</v>
      </c>
      <c r="H570" s="98" t="s">
        <v>745</v>
      </c>
      <c r="I570" s="99" t="str">
        <f t="shared" si="8"/>
        <v>천안|6</v>
      </c>
      <c r="J570" s="100">
        <v>0</v>
      </c>
      <c r="K570" s="100">
        <v>0</v>
      </c>
      <c r="L570" s="100">
        <v>0</v>
      </c>
      <c r="M570" s="100">
        <v>0</v>
      </c>
      <c r="N570" s="100">
        <v>0</v>
      </c>
      <c r="O570" s="100">
        <v>0</v>
      </c>
      <c r="P570" s="100">
        <v>0</v>
      </c>
      <c r="Q570" s="100">
        <v>0</v>
      </c>
      <c r="R570" s="100">
        <v>0</v>
      </c>
      <c r="S570" s="100">
        <v>0</v>
      </c>
      <c r="T570" s="100">
        <v>0</v>
      </c>
      <c r="U570" s="100">
        <v>0</v>
      </c>
    </row>
    <row r="571" spans="4:21">
      <c r="D571" s="97" t="s">
        <v>728</v>
      </c>
      <c r="E571" s="97" t="s">
        <v>719</v>
      </c>
      <c r="F571" s="94" t="s">
        <v>729</v>
      </c>
      <c r="G571" s="97">
        <v>6</v>
      </c>
      <c r="H571" s="98" t="s">
        <v>745</v>
      </c>
      <c r="I571" s="99" t="str">
        <f t="shared" si="8"/>
        <v>홍성|6</v>
      </c>
      <c r="J571" s="100">
        <v>0.3</v>
      </c>
      <c r="K571" s="100">
        <v>0.2</v>
      </c>
      <c r="L571" s="100">
        <v>0</v>
      </c>
      <c r="M571" s="100">
        <v>0</v>
      </c>
      <c r="N571" s="100">
        <v>0</v>
      </c>
      <c r="O571" s="100">
        <v>0</v>
      </c>
      <c r="P571" s="100">
        <v>0</v>
      </c>
      <c r="Q571" s="100">
        <v>0</v>
      </c>
      <c r="R571" s="100">
        <v>0</v>
      </c>
      <c r="S571" s="100">
        <v>0</v>
      </c>
      <c r="T571" s="100">
        <v>0</v>
      </c>
      <c r="U571" s="100">
        <v>0.8</v>
      </c>
    </row>
    <row r="572" spans="4:21">
      <c r="D572" s="97" t="s">
        <v>730</v>
      </c>
      <c r="E572" s="97" t="s">
        <v>731</v>
      </c>
      <c r="F572" s="94" t="s">
        <v>732</v>
      </c>
      <c r="G572" s="97">
        <v>6</v>
      </c>
      <c r="H572" s="98" t="s">
        <v>745</v>
      </c>
      <c r="I572" s="99" t="str">
        <f t="shared" si="8"/>
        <v>보은|6</v>
      </c>
      <c r="J572" s="100">
        <v>0</v>
      </c>
      <c r="K572" s="100">
        <v>0</v>
      </c>
      <c r="L572" s="100">
        <v>0</v>
      </c>
      <c r="M572" s="100">
        <v>0</v>
      </c>
      <c r="N572" s="100">
        <v>0</v>
      </c>
      <c r="O572" s="100">
        <v>0</v>
      </c>
      <c r="P572" s="100">
        <v>0</v>
      </c>
      <c r="Q572" s="100">
        <v>0</v>
      </c>
      <c r="R572" s="100">
        <v>0</v>
      </c>
      <c r="S572" s="100">
        <v>0</v>
      </c>
      <c r="T572" s="100">
        <v>0</v>
      </c>
      <c r="U572" s="100">
        <v>0</v>
      </c>
    </row>
    <row r="573" spans="4:21">
      <c r="D573" s="97" t="s">
        <v>733</v>
      </c>
      <c r="E573" s="97" t="s">
        <v>731</v>
      </c>
      <c r="F573" s="94" t="s">
        <v>734</v>
      </c>
      <c r="G573" s="97">
        <v>6</v>
      </c>
      <c r="H573" s="98" t="s">
        <v>745</v>
      </c>
      <c r="I573" s="99" t="str">
        <f t="shared" si="8"/>
        <v>제천|6</v>
      </c>
      <c r="J573" s="100">
        <v>0</v>
      </c>
      <c r="K573" s="100">
        <v>0</v>
      </c>
      <c r="L573" s="100">
        <v>0</v>
      </c>
      <c r="M573" s="100">
        <v>0</v>
      </c>
      <c r="N573" s="100">
        <v>0</v>
      </c>
      <c r="O573" s="100">
        <v>0</v>
      </c>
      <c r="P573" s="100">
        <v>0</v>
      </c>
      <c r="Q573" s="100">
        <v>0</v>
      </c>
      <c r="R573" s="100">
        <v>0</v>
      </c>
      <c r="S573" s="100">
        <v>0</v>
      </c>
      <c r="T573" s="100">
        <v>0</v>
      </c>
      <c r="U573" s="100">
        <v>0</v>
      </c>
    </row>
    <row r="574" spans="4:21">
      <c r="D574" s="97" t="s">
        <v>735</v>
      </c>
      <c r="E574" s="97" t="s">
        <v>731</v>
      </c>
      <c r="F574" s="94" t="s">
        <v>736</v>
      </c>
      <c r="G574" s="97">
        <v>6</v>
      </c>
      <c r="H574" s="98" t="s">
        <v>745</v>
      </c>
      <c r="I574" s="99" t="str">
        <f t="shared" si="8"/>
        <v>청주|6</v>
      </c>
      <c r="J574" s="100">
        <v>0.6</v>
      </c>
      <c r="K574" s="100">
        <v>0.3</v>
      </c>
      <c r="L574" s="100">
        <v>0</v>
      </c>
      <c r="M574" s="100">
        <v>0</v>
      </c>
      <c r="N574" s="100">
        <v>0</v>
      </c>
      <c r="O574" s="100">
        <v>0</v>
      </c>
      <c r="P574" s="100">
        <v>0</v>
      </c>
      <c r="Q574" s="100">
        <v>0</v>
      </c>
      <c r="R574" s="100">
        <v>0</v>
      </c>
      <c r="S574" s="100">
        <v>0</v>
      </c>
      <c r="T574" s="100">
        <v>0.1</v>
      </c>
      <c r="U574" s="100">
        <v>0.5</v>
      </c>
    </row>
    <row r="575" spans="4:21">
      <c r="D575" s="97" t="s">
        <v>737</v>
      </c>
      <c r="E575" s="97" t="s">
        <v>731</v>
      </c>
      <c r="F575" s="94" t="s">
        <v>738</v>
      </c>
      <c r="G575" s="97">
        <v>6</v>
      </c>
      <c r="H575" s="98" t="s">
        <v>745</v>
      </c>
      <c r="I575" s="99" t="str">
        <f t="shared" si="8"/>
        <v>추풍령|6</v>
      </c>
      <c r="J575" s="100">
        <v>0</v>
      </c>
      <c r="K575" s="100">
        <v>0</v>
      </c>
      <c r="L575" s="100">
        <v>0</v>
      </c>
      <c r="M575" s="100">
        <v>0</v>
      </c>
      <c r="N575" s="100">
        <v>0</v>
      </c>
      <c r="O575" s="100">
        <v>0</v>
      </c>
      <c r="P575" s="100">
        <v>0</v>
      </c>
      <c r="Q575" s="100">
        <v>0</v>
      </c>
      <c r="R575" s="100">
        <v>0</v>
      </c>
      <c r="S575" s="100">
        <v>0</v>
      </c>
      <c r="T575" s="100">
        <v>0</v>
      </c>
      <c r="U575" s="100">
        <v>0</v>
      </c>
    </row>
    <row r="576" spans="4:21">
      <c r="D576" s="97" t="s">
        <v>739</v>
      </c>
      <c r="E576" s="97" t="s">
        <v>731</v>
      </c>
      <c r="F576" s="94" t="s">
        <v>740</v>
      </c>
      <c r="G576" s="97">
        <v>6</v>
      </c>
      <c r="H576" s="98" t="s">
        <v>745</v>
      </c>
      <c r="I576" s="99" t="str">
        <f t="shared" si="8"/>
        <v>충주|6</v>
      </c>
      <c r="J576" s="100">
        <v>0</v>
      </c>
      <c r="K576" s="100">
        <v>0</v>
      </c>
      <c r="L576" s="100">
        <v>0</v>
      </c>
      <c r="M576" s="100">
        <v>0</v>
      </c>
      <c r="N576" s="100">
        <v>0</v>
      </c>
      <c r="O576" s="100">
        <v>0</v>
      </c>
      <c r="P576" s="100">
        <v>0</v>
      </c>
      <c r="Q576" s="100">
        <v>0</v>
      </c>
      <c r="R576" s="100">
        <v>0</v>
      </c>
      <c r="S576" s="100">
        <v>0</v>
      </c>
      <c r="T576" s="100">
        <v>0</v>
      </c>
      <c r="U576" s="100">
        <v>0</v>
      </c>
    </row>
    <row r="577" spans="4:21" ht="23.15">
      <c r="D577" s="97" t="s">
        <v>535</v>
      </c>
      <c r="E577" s="97" t="s">
        <v>536</v>
      </c>
      <c r="F577" s="94" t="s">
        <v>537</v>
      </c>
      <c r="G577" s="97">
        <v>7</v>
      </c>
      <c r="H577" s="98" t="s">
        <v>746</v>
      </c>
      <c r="I577" s="99" t="str">
        <f t="shared" si="8"/>
        <v>강릉|7</v>
      </c>
      <c r="J577" s="100">
        <v>1.9</v>
      </c>
      <c r="K577" s="100">
        <v>0.7</v>
      </c>
      <c r="L577" s="100">
        <v>0</v>
      </c>
      <c r="M577" s="100">
        <v>0</v>
      </c>
      <c r="N577" s="100">
        <v>0</v>
      </c>
      <c r="O577" s="100">
        <v>0</v>
      </c>
      <c r="P577" s="100">
        <v>0</v>
      </c>
      <c r="Q577" s="100">
        <v>0</v>
      </c>
      <c r="R577" s="100">
        <v>0</v>
      </c>
      <c r="S577" s="100">
        <v>0</v>
      </c>
      <c r="T577" s="100">
        <v>0</v>
      </c>
      <c r="U577" s="100">
        <v>1.1000000000000001</v>
      </c>
    </row>
    <row r="578" spans="4:21" ht="23.15">
      <c r="D578" s="97" t="s">
        <v>539</v>
      </c>
      <c r="E578" s="97" t="s">
        <v>536</v>
      </c>
      <c r="F578" s="94" t="s">
        <v>540</v>
      </c>
      <c r="G578" s="97">
        <v>7</v>
      </c>
      <c r="H578" s="98" t="s">
        <v>746</v>
      </c>
      <c r="I578" s="99" t="str">
        <f t="shared" si="8"/>
        <v>대관령|7</v>
      </c>
      <c r="J578" s="100">
        <v>17.8</v>
      </c>
      <c r="K578" s="100">
        <v>11.4</v>
      </c>
      <c r="L578" s="100">
        <v>2.1</v>
      </c>
      <c r="M578" s="100">
        <v>0</v>
      </c>
      <c r="N578" s="100">
        <v>0</v>
      </c>
      <c r="O578" s="100">
        <v>0</v>
      </c>
      <c r="P578" s="100">
        <v>0</v>
      </c>
      <c r="Q578" s="100">
        <v>0</v>
      </c>
      <c r="R578" s="100">
        <v>0</v>
      </c>
      <c r="S578" s="100">
        <v>0</v>
      </c>
      <c r="T578" s="100">
        <v>1.9</v>
      </c>
      <c r="U578" s="100">
        <v>13.8</v>
      </c>
    </row>
    <row r="579" spans="4:21" ht="23.15">
      <c r="D579" s="97" t="s">
        <v>541</v>
      </c>
      <c r="E579" s="97" t="s">
        <v>536</v>
      </c>
      <c r="F579" s="94" t="s">
        <v>542</v>
      </c>
      <c r="G579" s="97">
        <v>7</v>
      </c>
      <c r="H579" s="98" t="s">
        <v>746</v>
      </c>
      <c r="I579" s="99" t="str">
        <f t="shared" si="8"/>
        <v>동해|7</v>
      </c>
      <c r="J579" s="100">
        <v>1.8</v>
      </c>
      <c r="K579" s="100">
        <v>0.3</v>
      </c>
      <c r="L579" s="100">
        <v>0</v>
      </c>
      <c r="M579" s="100">
        <v>0</v>
      </c>
      <c r="N579" s="100">
        <v>0</v>
      </c>
      <c r="O579" s="100">
        <v>0</v>
      </c>
      <c r="P579" s="100">
        <v>0</v>
      </c>
      <c r="Q579" s="100">
        <v>0</v>
      </c>
      <c r="R579" s="100">
        <v>0</v>
      </c>
      <c r="S579" s="100">
        <v>0</v>
      </c>
      <c r="T579" s="100">
        <v>0</v>
      </c>
      <c r="U579" s="100">
        <v>0.8</v>
      </c>
    </row>
    <row r="580" spans="4:21" ht="23.15">
      <c r="D580" s="97" t="s">
        <v>543</v>
      </c>
      <c r="E580" s="97" t="s">
        <v>536</v>
      </c>
      <c r="F580" s="94" t="s">
        <v>544</v>
      </c>
      <c r="G580" s="97">
        <v>7</v>
      </c>
      <c r="H580" s="98" t="s">
        <v>746</v>
      </c>
      <c r="I580" s="99" t="str">
        <f t="shared" si="8"/>
        <v>북강릉|7</v>
      </c>
      <c r="J580" s="100">
        <v>4</v>
      </c>
      <c r="K580" s="100">
        <v>1.9</v>
      </c>
      <c r="L580" s="100">
        <v>0.6</v>
      </c>
      <c r="M580" s="100">
        <v>0</v>
      </c>
      <c r="N580" s="100">
        <v>0</v>
      </c>
      <c r="O580" s="100">
        <v>0</v>
      </c>
      <c r="P580" s="100">
        <v>0</v>
      </c>
      <c r="Q580" s="100">
        <v>0</v>
      </c>
      <c r="R580" s="100">
        <v>0</v>
      </c>
      <c r="S580" s="100">
        <v>0</v>
      </c>
      <c r="T580" s="100">
        <v>0</v>
      </c>
      <c r="U580" s="100">
        <v>1.8</v>
      </c>
    </row>
    <row r="581" spans="4:21" ht="23.15">
      <c r="D581" s="97" t="s">
        <v>545</v>
      </c>
      <c r="E581" s="97" t="s">
        <v>536</v>
      </c>
      <c r="F581" s="94" t="s">
        <v>546</v>
      </c>
      <c r="G581" s="97">
        <v>7</v>
      </c>
      <c r="H581" s="98" t="s">
        <v>746</v>
      </c>
      <c r="I581" s="99" t="str">
        <f t="shared" si="8"/>
        <v>북춘천|7</v>
      </c>
      <c r="J581" s="100">
        <v>9.1</v>
      </c>
      <c r="K581" s="100">
        <v>2.9</v>
      </c>
      <c r="L581" s="100">
        <v>0.1</v>
      </c>
      <c r="M581" s="100">
        <v>0</v>
      </c>
      <c r="N581" s="100">
        <v>0</v>
      </c>
      <c r="O581" s="100">
        <v>0</v>
      </c>
      <c r="P581" s="100">
        <v>0</v>
      </c>
      <c r="Q581" s="100">
        <v>0</v>
      </c>
      <c r="R581" s="100">
        <v>0</v>
      </c>
      <c r="S581" s="100">
        <v>0</v>
      </c>
      <c r="T581" s="100">
        <v>0.3</v>
      </c>
      <c r="U581" s="100">
        <v>8.1</v>
      </c>
    </row>
    <row r="582" spans="4:21" ht="23.15">
      <c r="D582" s="97" t="s">
        <v>547</v>
      </c>
      <c r="E582" s="97" t="s">
        <v>536</v>
      </c>
      <c r="F582" s="94" t="s">
        <v>548</v>
      </c>
      <c r="G582" s="97">
        <v>7</v>
      </c>
      <c r="H582" s="98" t="s">
        <v>746</v>
      </c>
      <c r="I582" s="99" t="str">
        <f t="shared" si="8"/>
        <v>속초|7</v>
      </c>
      <c r="J582" s="100">
        <v>3.9</v>
      </c>
      <c r="K582" s="100">
        <v>1.7</v>
      </c>
      <c r="L582" s="100">
        <v>0</v>
      </c>
      <c r="M582" s="100">
        <v>0</v>
      </c>
      <c r="N582" s="100">
        <v>0</v>
      </c>
      <c r="O582" s="100">
        <v>0</v>
      </c>
      <c r="P582" s="100">
        <v>0</v>
      </c>
      <c r="Q582" s="100">
        <v>0</v>
      </c>
      <c r="R582" s="100">
        <v>0</v>
      </c>
      <c r="S582" s="100">
        <v>0</v>
      </c>
      <c r="T582" s="100">
        <v>0</v>
      </c>
      <c r="U582" s="100">
        <v>2.6</v>
      </c>
    </row>
    <row r="583" spans="4:21" ht="23.15">
      <c r="D583" s="97" t="s">
        <v>549</v>
      </c>
      <c r="E583" s="97" t="s">
        <v>536</v>
      </c>
      <c r="F583" s="94" t="s">
        <v>550</v>
      </c>
      <c r="G583" s="97">
        <v>7</v>
      </c>
      <c r="H583" s="98" t="s">
        <v>746</v>
      </c>
      <c r="I583" s="99" t="str">
        <f t="shared" ref="I583:I646" si="9">$D583&amp;"|"&amp;$G583</f>
        <v>영월|7</v>
      </c>
      <c r="J583" s="100">
        <v>5.0999999999999996</v>
      </c>
      <c r="K583" s="100">
        <v>1.9</v>
      </c>
      <c r="L583" s="100">
        <v>0</v>
      </c>
      <c r="M583" s="100">
        <v>0</v>
      </c>
      <c r="N583" s="100">
        <v>0</v>
      </c>
      <c r="O583" s="100">
        <v>0</v>
      </c>
      <c r="P583" s="100">
        <v>0</v>
      </c>
      <c r="Q583" s="100">
        <v>0</v>
      </c>
      <c r="R583" s="100">
        <v>0</v>
      </c>
      <c r="S583" s="100">
        <v>0</v>
      </c>
      <c r="T583" s="100">
        <v>0</v>
      </c>
      <c r="U583" s="100">
        <v>4.5999999999999996</v>
      </c>
    </row>
    <row r="584" spans="4:21" ht="23.15">
      <c r="D584" s="97" t="s">
        <v>551</v>
      </c>
      <c r="E584" s="97" t="s">
        <v>536</v>
      </c>
      <c r="F584" s="94" t="s">
        <v>552</v>
      </c>
      <c r="G584" s="97">
        <v>7</v>
      </c>
      <c r="H584" s="98" t="s">
        <v>746</v>
      </c>
      <c r="I584" s="99" t="str">
        <f t="shared" si="9"/>
        <v>원주|7</v>
      </c>
      <c r="J584" s="100">
        <v>6.9</v>
      </c>
      <c r="K584" s="100">
        <v>2.2999999999999998</v>
      </c>
      <c r="L584" s="100">
        <v>0</v>
      </c>
      <c r="M584" s="100">
        <v>0</v>
      </c>
      <c r="N584" s="100">
        <v>0</v>
      </c>
      <c r="O584" s="100">
        <v>0</v>
      </c>
      <c r="P584" s="100">
        <v>0</v>
      </c>
      <c r="Q584" s="100">
        <v>0</v>
      </c>
      <c r="R584" s="100">
        <v>0</v>
      </c>
      <c r="S584" s="100">
        <v>0</v>
      </c>
      <c r="T584" s="100">
        <v>0</v>
      </c>
      <c r="U584" s="100">
        <v>5.4</v>
      </c>
    </row>
    <row r="585" spans="4:21" ht="23.15">
      <c r="D585" s="97" t="s">
        <v>553</v>
      </c>
      <c r="E585" s="97" t="s">
        <v>536</v>
      </c>
      <c r="F585" s="94" t="s">
        <v>554</v>
      </c>
      <c r="G585" s="97">
        <v>7</v>
      </c>
      <c r="H585" s="98" t="s">
        <v>746</v>
      </c>
      <c r="I585" s="99" t="str">
        <f t="shared" si="9"/>
        <v>인제|7</v>
      </c>
      <c r="J585" s="100">
        <v>7.8</v>
      </c>
      <c r="K585" s="100">
        <v>2.9</v>
      </c>
      <c r="L585" s="100">
        <v>0</v>
      </c>
      <c r="M585" s="100">
        <v>0</v>
      </c>
      <c r="N585" s="100">
        <v>0</v>
      </c>
      <c r="O585" s="100">
        <v>0</v>
      </c>
      <c r="P585" s="100">
        <v>0</v>
      </c>
      <c r="Q585" s="100">
        <v>0</v>
      </c>
      <c r="R585" s="100">
        <v>0</v>
      </c>
      <c r="S585" s="100">
        <v>0</v>
      </c>
      <c r="T585" s="100">
        <v>0.2</v>
      </c>
      <c r="U585" s="100">
        <v>6.1</v>
      </c>
    </row>
    <row r="586" spans="4:21" ht="23.15">
      <c r="D586" s="97" t="s">
        <v>555</v>
      </c>
      <c r="E586" s="97" t="s">
        <v>536</v>
      </c>
      <c r="F586" s="94" t="s">
        <v>556</v>
      </c>
      <c r="G586" s="97">
        <v>7</v>
      </c>
      <c r="H586" s="98" t="s">
        <v>746</v>
      </c>
      <c r="I586" s="99" t="str">
        <f t="shared" si="9"/>
        <v>정선군|7</v>
      </c>
      <c r="J586" s="100">
        <v>7.4</v>
      </c>
      <c r="K586" s="100">
        <v>2.7</v>
      </c>
      <c r="L586" s="100">
        <v>0.2</v>
      </c>
      <c r="M586" s="100">
        <v>0</v>
      </c>
      <c r="N586" s="100">
        <v>0</v>
      </c>
      <c r="O586" s="100">
        <v>0</v>
      </c>
      <c r="P586" s="100">
        <v>0</v>
      </c>
      <c r="Q586" s="100">
        <v>0</v>
      </c>
      <c r="R586" s="100">
        <v>0</v>
      </c>
      <c r="S586" s="100">
        <v>0</v>
      </c>
      <c r="T586" s="100">
        <v>0.1</v>
      </c>
      <c r="U586" s="100">
        <v>5.7</v>
      </c>
    </row>
    <row r="587" spans="4:21" ht="23.15">
      <c r="D587" s="97" t="s">
        <v>557</v>
      </c>
      <c r="E587" s="97" t="s">
        <v>536</v>
      </c>
      <c r="F587" s="94" t="s">
        <v>558</v>
      </c>
      <c r="G587" s="97">
        <v>7</v>
      </c>
      <c r="H587" s="98" t="s">
        <v>746</v>
      </c>
      <c r="I587" s="99" t="str">
        <f t="shared" si="9"/>
        <v>철원|7</v>
      </c>
      <c r="J587" s="100">
        <v>10</v>
      </c>
      <c r="K587" s="100">
        <v>4.4000000000000004</v>
      </c>
      <c r="L587" s="100">
        <v>0.2</v>
      </c>
      <c r="M587" s="100">
        <v>0</v>
      </c>
      <c r="N587" s="100">
        <v>0</v>
      </c>
      <c r="O587" s="100">
        <v>0</v>
      </c>
      <c r="P587" s="100">
        <v>0</v>
      </c>
      <c r="Q587" s="100">
        <v>0</v>
      </c>
      <c r="R587" s="100">
        <v>0</v>
      </c>
      <c r="S587" s="100">
        <v>0</v>
      </c>
      <c r="T587" s="100">
        <v>0.5</v>
      </c>
      <c r="U587" s="100">
        <v>8.3000000000000007</v>
      </c>
    </row>
    <row r="588" spans="4:21" ht="23.15">
      <c r="D588" s="97" t="s">
        <v>559</v>
      </c>
      <c r="E588" s="97" t="s">
        <v>536</v>
      </c>
      <c r="F588" s="94" t="s">
        <v>560</v>
      </c>
      <c r="G588" s="97">
        <v>7</v>
      </c>
      <c r="H588" s="98" t="s">
        <v>746</v>
      </c>
      <c r="I588" s="99" t="str">
        <f t="shared" si="9"/>
        <v>춘천|7</v>
      </c>
      <c r="J588" s="100">
        <v>6.9</v>
      </c>
      <c r="K588" s="100">
        <v>2</v>
      </c>
      <c r="L588" s="100">
        <v>0</v>
      </c>
      <c r="M588" s="100">
        <v>0</v>
      </c>
      <c r="N588" s="100">
        <v>0</v>
      </c>
      <c r="O588" s="100">
        <v>0</v>
      </c>
      <c r="P588" s="100">
        <v>0</v>
      </c>
      <c r="Q588" s="100">
        <v>0</v>
      </c>
      <c r="R588" s="100">
        <v>0</v>
      </c>
      <c r="S588" s="100">
        <v>0</v>
      </c>
      <c r="T588" s="100">
        <v>0.1</v>
      </c>
      <c r="U588" s="100">
        <v>6.1</v>
      </c>
    </row>
    <row r="589" spans="4:21" ht="23.15">
      <c r="D589" s="97" t="s">
        <v>561</v>
      </c>
      <c r="E589" s="97" t="s">
        <v>536</v>
      </c>
      <c r="F589" s="94" t="s">
        <v>562</v>
      </c>
      <c r="G589" s="97">
        <v>7</v>
      </c>
      <c r="H589" s="98" t="s">
        <v>746</v>
      </c>
      <c r="I589" s="99" t="str">
        <f t="shared" si="9"/>
        <v>태백|7</v>
      </c>
      <c r="J589" s="100">
        <v>10.6</v>
      </c>
      <c r="K589" s="100">
        <v>6.7</v>
      </c>
      <c r="L589" s="100">
        <v>0.9</v>
      </c>
      <c r="M589" s="100">
        <v>0</v>
      </c>
      <c r="N589" s="100">
        <v>0</v>
      </c>
      <c r="O589" s="100">
        <v>0</v>
      </c>
      <c r="P589" s="100">
        <v>0</v>
      </c>
      <c r="Q589" s="100">
        <v>0</v>
      </c>
      <c r="R589" s="100">
        <v>0</v>
      </c>
      <c r="S589" s="100">
        <v>0</v>
      </c>
      <c r="T589" s="100">
        <v>0.5</v>
      </c>
      <c r="U589" s="100">
        <v>8.3000000000000007</v>
      </c>
    </row>
    <row r="590" spans="4:21" ht="23.15">
      <c r="D590" s="97" t="s">
        <v>563</v>
      </c>
      <c r="E590" s="97" t="s">
        <v>536</v>
      </c>
      <c r="F590" s="94" t="s">
        <v>564</v>
      </c>
      <c r="G590" s="97">
        <v>7</v>
      </c>
      <c r="H590" s="98" t="s">
        <v>746</v>
      </c>
      <c r="I590" s="99" t="str">
        <f t="shared" si="9"/>
        <v>홍천|7</v>
      </c>
      <c r="J590" s="100">
        <v>7.4</v>
      </c>
      <c r="K590" s="100">
        <v>2.2999999999999998</v>
      </c>
      <c r="L590" s="100">
        <v>0</v>
      </c>
      <c r="M590" s="100">
        <v>0</v>
      </c>
      <c r="N590" s="100">
        <v>0</v>
      </c>
      <c r="O590" s="100">
        <v>0</v>
      </c>
      <c r="P590" s="100">
        <v>0</v>
      </c>
      <c r="Q590" s="100">
        <v>0</v>
      </c>
      <c r="R590" s="100">
        <v>0</v>
      </c>
      <c r="S590" s="100">
        <v>0</v>
      </c>
      <c r="T590" s="100">
        <v>0.1</v>
      </c>
      <c r="U590" s="100">
        <v>6.3</v>
      </c>
    </row>
    <row r="591" spans="4:21" ht="23.15">
      <c r="D591" s="97" t="s">
        <v>565</v>
      </c>
      <c r="E591" s="97" t="s">
        <v>566</v>
      </c>
      <c r="F591" s="94" t="s">
        <v>567</v>
      </c>
      <c r="G591" s="97">
        <v>7</v>
      </c>
      <c r="H591" s="98" t="s">
        <v>746</v>
      </c>
      <c r="I591" s="99" t="str">
        <f t="shared" si="9"/>
        <v>동두천|7</v>
      </c>
      <c r="J591" s="100">
        <v>6.7</v>
      </c>
      <c r="K591" s="100">
        <v>2.2999999999999998</v>
      </c>
      <c r="L591" s="100">
        <v>0.1</v>
      </c>
      <c r="M591" s="100">
        <v>0</v>
      </c>
      <c r="N591" s="100">
        <v>0</v>
      </c>
      <c r="O591" s="100">
        <v>0</v>
      </c>
      <c r="P591" s="100">
        <v>0</v>
      </c>
      <c r="Q591" s="100">
        <v>0</v>
      </c>
      <c r="R591" s="100">
        <v>0</v>
      </c>
      <c r="S591" s="100">
        <v>0</v>
      </c>
      <c r="T591" s="100">
        <v>0.3</v>
      </c>
      <c r="U591" s="100">
        <v>5.7</v>
      </c>
    </row>
    <row r="592" spans="4:21" ht="23.15">
      <c r="D592" s="97" t="s">
        <v>568</v>
      </c>
      <c r="E592" s="97" t="s">
        <v>566</v>
      </c>
      <c r="F592" s="94" t="s">
        <v>569</v>
      </c>
      <c r="G592" s="97">
        <v>7</v>
      </c>
      <c r="H592" s="98" t="s">
        <v>746</v>
      </c>
      <c r="I592" s="99" t="str">
        <f t="shared" si="9"/>
        <v>수원|7</v>
      </c>
      <c r="J592" s="100">
        <v>6.4</v>
      </c>
      <c r="K592" s="100">
        <v>3</v>
      </c>
      <c r="L592" s="100">
        <v>0</v>
      </c>
      <c r="M592" s="100">
        <v>0</v>
      </c>
      <c r="N592" s="100">
        <v>0</v>
      </c>
      <c r="O592" s="100">
        <v>0</v>
      </c>
      <c r="P592" s="100">
        <v>0</v>
      </c>
      <c r="Q592" s="100">
        <v>0</v>
      </c>
      <c r="R592" s="100">
        <v>0</v>
      </c>
      <c r="S592" s="100">
        <v>0</v>
      </c>
      <c r="T592" s="100">
        <v>0.4</v>
      </c>
      <c r="U592" s="100">
        <v>5</v>
      </c>
    </row>
    <row r="593" spans="4:21" ht="23.15">
      <c r="D593" s="97" t="s">
        <v>570</v>
      </c>
      <c r="E593" s="97" t="s">
        <v>566</v>
      </c>
      <c r="F593" s="94" t="s">
        <v>571</v>
      </c>
      <c r="G593" s="97">
        <v>7</v>
      </c>
      <c r="H593" s="98" t="s">
        <v>746</v>
      </c>
      <c r="I593" s="99" t="str">
        <f t="shared" si="9"/>
        <v>양평|7</v>
      </c>
      <c r="J593" s="100">
        <v>6.8</v>
      </c>
      <c r="K593" s="100">
        <v>2.1</v>
      </c>
      <c r="L593" s="100">
        <v>0</v>
      </c>
      <c r="M593" s="100">
        <v>0</v>
      </c>
      <c r="N593" s="100">
        <v>0</v>
      </c>
      <c r="O593" s="100">
        <v>0</v>
      </c>
      <c r="P593" s="100">
        <v>0</v>
      </c>
      <c r="Q593" s="100">
        <v>0</v>
      </c>
      <c r="R593" s="100">
        <v>0</v>
      </c>
      <c r="S593" s="100">
        <v>0</v>
      </c>
      <c r="T593" s="100">
        <v>0</v>
      </c>
      <c r="U593" s="100">
        <v>5.4</v>
      </c>
    </row>
    <row r="594" spans="4:21" ht="23.15">
      <c r="D594" s="97" t="s">
        <v>572</v>
      </c>
      <c r="E594" s="97" t="s">
        <v>566</v>
      </c>
      <c r="F594" s="94" t="s">
        <v>573</v>
      </c>
      <c r="G594" s="97">
        <v>7</v>
      </c>
      <c r="H594" s="98" t="s">
        <v>746</v>
      </c>
      <c r="I594" s="99" t="str">
        <f t="shared" si="9"/>
        <v>이천|7</v>
      </c>
      <c r="J594" s="100">
        <v>5.6</v>
      </c>
      <c r="K594" s="100">
        <v>2</v>
      </c>
      <c r="L594" s="100">
        <v>0</v>
      </c>
      <c r="M594" s="100">
        <v>0</v>
      </c>
      <c r="N594" s="100">
        <v>0</v>
      </c>
      <c r="O594" s="100">
        <v>0</v>
      </c>
      <c r="P594" s="100">
        <v>0</v>
      </c>
      <c r="Q594" s="100">
        <v>0</v>
      </c>
      <c r="R594" s="100">
        <v>0</v>
      </c>
      <c r="S594" s="100">
        <v>0</v>
      </c>
      <c r="T594" s="100">
        <v>0.1</v>
      </c>
      <c r="U594" s="100">
        <v>5</v>
      </c>
    </row>
    <row r="595" spans="4:21" ht="23.15">
      <c r="D595" s="97" t="s">
        <v>574</v>
      </c>
      <c r="E595" s="97" t="s">
        <v>566</v>
      </c>
      <c r="F595" s="94" t="s">
        <v>575</v>
      </c>
      <c r="G595" s="97">
        <v>7</v>
      </c>
      <c r="H595" s="98" t="s">
        <v>746</v>
      </c>
      <c r="I595" s="99" t="str">
        <f t="shared" si="9"/>
        <v>파주|7</v>
      </c>
      <c r="J595" s="100">
        <v>8.6</v>
      </c>
      <c r="K595" s="100">
        <v>3.5</v>
      </c>
      <c r="L595" s="100">
        <v>0.1</v>
      </c>
      <c r="M595" s="100">
        <v>0</v>
      </c>
      <c r="N595" s="100">
        <v>0</v>
      </c>
      <c r="O595" s="100">
        <v>0</v>
      </c>
      <c r="P595" s="100">
        <v>0</v>
      </c>
      <c r="Q595" s="100">
        <v>0</v>
      </c>
      <c r="R595" s="100">
        <v>0</v>
      </c>
      <c r="S595" s="100">
        <v>0</v>
      </c>
      <c r="T595" s="100">
        <v>0.3</v>
      </c>
      <c r="U595" s="100">
        <v>7.4</v>
      </c>
    </row>
    <row r="596" spans="4:21" ht="23.15">
      <c r="D596" s="97" t="s">
        <v>576</v>
      </c>
      <c r="E596" s="97" t="s">
        <v>577</v>
      </c>
      <c r="F596" s="94" t="s">
        <v>578</v>
      </c>
      <c r="G596" s="97">
        <v>7</v>
      </c>
      <c r="H596" s="98" t="s">
        <v>746</v>
      </c>
      <c r="I596" s="99" t="str">
        <f t="shared" si="9"/>
        <v>거제|7</v>
      </c>
      <c r="J596" s="100">
        <v>0.5</v>
      </c>
      <c r="K596" s="100">
        <v>0</v>
      </c>
      <c r="L596" s="100">
        <v>0</v>
      </c>
      <c r="M596" s="100">
        <v>0</v>
      </c>
      <c r="N596" s="100">
        <v>0</v>
      </c>
      <c r="O596" s="100">
        <v>0</v>
      </c>
      <c r="P596" s="100">
        <v>0</v>
      </c>
      <c r="Q596" s="100">
        <v>0</v>
      </c>
      <c r="R596" s="100">
        <v>0</v>
      </c>
      <c r="S596" s="100">
        <v>0</v>
      </c>
      <c r="T596" s="100">
        <v>0</v>
      </c>
      <c r="U596" s="100">
        <v>0.3</v>
      </c>
    </row>
    <row r="597" spans="4:21" ht="23.15">
      <c r="D597" s="97" t="s">
        <v>579</v>
      </c>
      <c r="E597" s="97" t="s">
        <v>577</v>
      </c>
      <c r="F597" s="94" t="s">
        <v>580</v>
      </c>
      <c r="G597" s="97">
        <v>7</v>
      </c>
      <c r="H597" s="98" t="s">
        <v>746</v>
      </c>
      <c r="I597" s="99" t="str">
        <f t="shared" si="9"/>
        <v>거창|7</v>
      </c>
      <c r="J597" s="100">
        <v>2.5</v>
      </c>
      <c r="K597" s="100">
        <v>1</v>
      </c>
      <c r="L597" s="100">
        <v>0</v>
      </c>
      <c r="M597" s="100">
        <v>0</v>
      </c>
      <c r="N597" s="100">
        <v>0</v>
      </c>
      <c r="O597" s="100">
        <v>0</v>
      </c>
      <c r="P597" s="100">
        <v>0</v>
      </c>
      <c r="Q597" s="100">
        <v>0</v>
      </c>
      <c r="R597" s="100">
        <v>0</v>
      </c>
      <c r="S597" s="100">
        <v>0</v>
      </c>
      <c r="T597" s="100">
        <v>0</v>
      </c>
      <c r="U597" s="100">
        <v>1.2</v>
      </c>
    </row>
    <row r="598" spans="4:21" ht="23.15">
      <c r="D598" s="97" t="s">
        <v>581</v>
      </c>
      <c r="E598" s="97" t="s">
        <v>577</v>
      </c>
      <c r="F598" s="94" t="s">
        <v>582</v>
      </c>
      <c r="G598" s="97">
        <v>7</v>
      </c>
      <c r="H598" s="98" t="s">
        <v>746</v>
      </c>
      <c r="I598" s="99" t="str">
        <f t="shared" si="9"/>
        <v>김해시|7</v>
      </c>
      <c r="J598" s="100">
        <v>1.2</v>
      </c>
      <c r="K598" s="100">
        <v>0.3</v>
      </c>
      <c r="L598" s="100">
        <v>0</v>
      </c>
      <c r="M598" s="100">
        <v>0</v>
      </c>
      <c r="N598" s="100">
        <v>0</v>
      </c>
      <c r="O598" s="100">
        <v>0</v>
      </c>
      <c r="P598" s="100">
        <v>0</v>
      </c>
      <c r="Q598" s="100">
        <v>0</v>
      </c>
      <c r="R598" s="100">
        <v>0</v>
      </c>
      <c r="S598" s="100">
        <v>0</v>
      </c>
      <c r="T598" s="100">
        <v>0</v>
      </c>
      <c r="U598" s="100">
        <v>0.3</v>
      </c>
    </row>
    <row r="599" spans="4:21" ht="23.15">
      <c r="D599" s="97" t="s">
        <v>583</v>
      </c>
      <c r="E599" s="97" t="s">
        <v>577</v>
      </c>
      <c r="F599" s="94" t="s">
        <v>584</v>
      </c>
      <c r="G599" s="97">
        <v>7</v>
      </c>
      <c r="H599" s="98" t="s">
        <v>746</v>
      </c>
      <c r="I599" s="99" t="str">
        <f t="shared" si="9"/>
        <v>남해|7</v>
      </c>
      <c r="J599" s="100">
        <v>0.9</v>
      </c>
      <c r="K599" s="100">
        <v>0.2</v>
      </c>
      <c r="L599" s="100">
        <v>0</v>
      </c>
      <c r="M599" s="100">
        <v>0</v>
      </c>
      <c r="N599" s="100">
        <v>0</v>
      </c>
      <c r="O599" s="100">
        <v>0</v>
      </c>
      <c r="P599" s="100">
        <v>0</v>
      </c>
      <c r="Q599" s="100">
        <v>0</v>
      </c>
      <c r="R599" s="100">
        <v>0</v>
      </c>
      <c r="S599" s="100">
        <v>0</v>
      </c>
      <c r="T599" s="100">
        <v>0</v>
      </c>
      <c r="U599" s="100">
        <v>0.2</v>
      </c>
    </row>
    <row r="600" spans="4:21" ht="23.15">
      <c r="D600" s="97" t="s">
        <v>585</v>
      </c>
      <c r="E600" s="97" t="s">
        <v>577</v>
      </c>
      <c r="F600" s="94" t="s">
        <v>586</v>
      </c>
      <c r="G600" s="97">
        <v>7</v>
      </c>
      <c r="H600" s="98" t="s">
        <v>746</v>
      </c>
      <c r="I600" s="99" t="str">
        <f t="shared" si="9"/>
        <v>밀양|7</v>
      </c>
      <c r="J600" s="100">
        <v>1.1000000000000001</v>
      </c>
      <c r="K600" s="100">
        <v>0.2</v>
      </c>
      <c r="L600" s="100">
        <v>0</v>
      </c>
      <c r="M600" s="100">
        <v>0</v>
      </c>
      <c r="N600" s="100">
        <v>0</v>
      </c>
      <c r="O600" s="100">
        <v>0</v>
      </c>
      <c r="P600" s="100">
        <v>0</v>
      </c>
      <c r="Q600" s="100">
        <v>0</v>
      </c>
      <c r="R600" s="100">
        <v>0</v>
      </c>
      <c r="S600" s="100">
        <v>0</v>
      </c>
      <c r="T600" s="100">
        <v>0</v>
      </c>
      <c r="U600" s="100">
        <v>0.5</v>
      </c>
    </row>
    <row r="601" spans="4:21" ht="23.15">
      <c r="D601" s="97" t="s">
        <v>587</v>
      </c>
      <c r="E601" s="97" t="s">
        <v>577</v>
      </c>
      <c r="F601" s="94" t="s">
        <v>588</v>
      </c>
      <c r="G601" s="97">
        <v>7</v>
      </c>
      <c r="H601" s="98" t="s">
        <v>746</v>
      </c>
      <c r="I601" s="99" t="str">
        <f t="shared" si="9"/>
        <v>북창원|7</v>
      </c>
      <c r="J601" s="100">
        <v>1.2</v>
      </c>
      <c r="K601" s="100">
        <v>0.1</v>
      </c>
      <c r="L601" s="100">
        <v>0</v>
      </c>
      <c r="M601" s="100">
        <v>0</v>
      </c>
      <c r="N601" s="100">
        <v>0</v>
      </c>
      <c r="O601" s="100">
        <v>0</v>
      </c>
      <c r="P601" s="100">
        <v>0</v>
      </c>
      <c r="Q601" s="100">
        <v>0</v>
      </c>
      <c r="R601" s="100">
        <v>0</v>
      </c>
      <c r="S601" s="100">
        <v>0</v>
      </c>
      <c r="T601" s="100">
        <v>0</v>
      </c>
      <c r="U601" s="100">
        <v>0.6</v>
      </c>
    </row>
    <row r="602" spans="4:21" ht="23.15">
      <c r="D602" s="97" t="s">
        <v>589</v>
      </c>
      <c r="E602" s="97" t="s">
        <v>577</v>
      </c>
      <c r="F602" s="94" t="s">
        <v>590</v>
      </c>
      <c r="G602" s="97">
        <v>7</v>
      </c>
      <c r="H602" s="98" t="s">
        <v>746</v>
      </c>
      <c r="I602" s="99" t="str">
        <f t="shared" si="9"/>
        <v>산청|7</v>
      </c>
      <c r="J602" s="100">
        <v>2</v>
      </c>
      <c r="K602" s="100">
        <v>0.6</v>
      </c>
      <c r="L602" s="100">
        <v>0</v>
      </c>
      <c r="M602" s="100">
        <v>0</v>
      </c>
      <c r="N602" s="100">
        <v>0</v>
      </c>
      <c r="O602" s="100">
        <v>0</v>
      </c>
      <c r="P602" s="100">
        <v>0</v>
      </c>
      <c r="Q602" s="100">
        <v>0</v>
      </c>
      <c r="R602" s="100">
        <v>0</v>
      </c>
      <c r="S602" s="100">
        <v>0</v>
      </c>
      <c r="T602" s="100">
        <v>0</v>
      </c>
      <c r="U602" s="100">
        <v>0.8</v>
      </c>
    </row>
    <row r="603" spans="4:21" ht="23.15">
      <c r="D603" s="97" t="s">
        <v>591</v>
      </c>
      <c r="E603" s="97" t="s">
        <v>577</v>
      </c>
      <c r="F603" s="94" t="s">
        <v>592</v>
      </c>
      <c r="G603" s="97">
        <v>7</v>
      </c>
      <c r="H603" s="98" t="s">
        <v>746</v>
      </c>
      <c r="I603" s="99" t="str">
        <f t="shared" si="9"/>
        <v>양산시|7</v>
      </c>
      <c r="J603" s="100">
        <v>0.6</v>
      </c>
      <c r="K603" s="100">
        <v>0.2</v>
      </c>
      <c r="L603" s="100">
        <v>0</v>
      </c>
      <c r="M603" s="100">
        <v>0</v>
      </c>
      <c r="N603" s="100">
        <v>0</v>
      </c>
      <c r="O603" s="100">
        <v>0</v>
      </c>
      <c r="P603" s="100">
        <v>0</v>
      </c>
      <c r="Q603" s="100">
        <v>0</v>
      </c>
      <c r="R603" s="100">
        <v>0</v>
      </c>
      <c r="S603" s="100">
        <v>0</v>
      </c>
      <c r="T603" s="100">
        <v>0</v>
      </c>
      <c r="U603" s="100">
        <v>0.3</v>
      </c>
    </row>
    <row r="604" spans="4:21" ht="23.15">
      <c r="D604" s="97" t="s">
        <v>593</v>
      </c>
      <c r="E604" s="97" t="s">
        <v>577</v>
      </c>
      <c r="F604" s="94" t="s">
        <v>594</v>
      </c>
      <c r="G604" s="97">
        <v>7</v>
      </c>
      <c r="H604" s="98" t="s">
        <v>746</v>
      </c>
      <c r="I604" s="99" t="str">
        <f t="shared" si="9"/>
        <v>의령군|7</v>
      </c>
      <c r="J604" s="100">
        <v>0.6</v>
      </c>
      <c r="K604" s="100">
        <v>0</v>
      </c>
      <c r="L604" s="100">
        <v>0</v>
      </c>
      <c r="M604" s="100">
        <v>0</v>
      </c>
      <c r="N604" s="100">
        <v>0</v>
      </c>
      <c r="O604" s="100">
        <v>0</v>
      </c>
      <c r="P604" s="100">
        <v>0</v>
      </c>
      <c r="Q604" s="100">
        <v>0</v>
      </c>
      <c r="R604" s="100">
        <v>0</v>
      </c>
      <c r="S604" s="100">
        <v>0</v>
      </c>
      <c r="T604" s="100">
        <v>0</v>
      </c>
      <c r="U604" s="100">
        <v>0.3</v>
      </c>
    </row>
    <row r="605" spans="4:21" ht="23.15">
      <c r="D605" s="97" t="s">
        <v>595</v>
      </c>
      <c r="E605" s="97" t="s">
        <v>577</v>
      </c>
      <c r="F605" s="94" t="s">
        <v>596</v>
      </c>
      <c r="G605" s="97">
        <v>7</v>
      </c>
      <c r="H605" s="98" t="s">
        <v>746</v>
      </c>
      <c r="I605" s="99" t="str">
        <f t="shared" si="9"/>
        <v>진주|7</v>
      </c>
      <c r="J605" s="100">
        <v>1</v>
      </c>
      <c r="K605" s="100">
        <v>0.3</v>
      </c>
      <c r="L605" s="100">
        <v>0</v>
      </c>
      <c r="M605" s="100">
        <v>0</v>
      </c>
      <c r="N605" s="100">
        <v>0</v>
      </c>
      <c r="O605" s="100">
        <v>0</v>
      </c>
      <c r="P605" s="100">
        <v>0</v>
      </c>
      <c r="Q605" s="100">
        <v>0</v>
      </c>
      <c r="R605" s="100">
        <v>0</v>
      </c>
      <c r="S605" s="100">
        <v>0</v>
      </c>
      <c r="T605" s="100">
        <v>0</v>
      </c>
      <c r="U605" s="100">
        <v>0.2</v>
      </c>
    </row>
    <row r="606" spans="4:21" ht="23.15">
      <c r="D606" s="97" t="s">
        <v>597</v>
      </c>
      <c r="E606" s="97" t="s">
        <v>577</v>
      </c>
      <c r="F606" s="94" t="s">
        <v>598</v>
      </c>
      <c r="G606" s="97">
        <v>7</v>
      </c>
      <c r="H606" s="98" t="s">
        <v>746</v>
      </c>
      <c r="I606" s="99" t="str">
        <f t="shared" si="9"/>
        <v>창원|7</v>
      </c>
      <c r="J606" s="100">
        <v>1.3</v>
      </c>
      <c r="K606" s="100">
        <v>0.3</v>
      </c>
      <c r="L606" s="100">
        <v>0</v>
      </c>
      <c r="M606" s="100">
        <v>0</v>
      </c>
      <c r="N606" s="100">
        <v>0</v>
      </c>
      <c r="O606" s="100">
        <v>0</v>
      </c>
      <c r="P606" s="100">
        <v>0</v>
      </c>
      <c r="Q606" s="100">
        <v>0</v>
      </c>
      <c r="R606" s="100">
        <v>0</v>
      </c>
      <c r="S606" s="100">
        <v>0</v>
      </c>
      <c r="T606" s="100">
        <v>0</v>
      </c>
      <c r="U606" s="100">
        <v>0.8</v>
      </c>
    </row>
    <row r="607" spans="4:21" ht="23.15">
      <c r="D607" s="97" t="s">
        <v>599</v>
      </c>
      <c r="E607" s="97" t="s">
        <v>577</v>
      </c>
      <c r="F607" s="94" t="s">
        <v>600</v>
      </c>
      <c r="G607" s="97">
        <v>7</v>
      </c>
      <c r="H607" s="98" t="s">
        <v>746</v>
      </c>
      <c r="I607" s="99" t="str">
        <f t="shared" si="9"/>
        <v>통영|7</v>
      </c>
      <c r="J607" s="100">
        <v>0.3</v>
      </c>
      <c r="K607" s="100">
        <v>0</v>
      </c>
      <c r="L607" s="100">
        <v>0</v>
      </c>
      <c r="M607" s="100">
        <v>0</v>
      </c>
      <c r="N607" s="100">
        <v>0</v>
      </c>
      <c r="O607" s="100">
        <v>0</v>
      </c>
      <c r="P607" s="100">
        <v>0</v>
      </c>
      <c r="Q607" s="100">
        <v>0</v>
      </c>
      <c r="R607" s="100">
        <v>0</v>
      </c>
      <c r="S607" s="100">
        <v>0</v>
      </c>
      <c r="T607" s="100">
        <v>0</v>
      </c>
      <c r="U607" s="100">
        <v>0.1</v>
      </c>
    </row>
    <row r="608" spans="4:21" ht="23.15">
      <c r="D608" s="97" t="s">
        <v>601</v>
      </c>
      <c r="E608" s="97" t="s">
        <v>577</v>
      </c>
      <c r="F608" s="94" t="s">
        <v>602</v>
      </c>
      <c r="G608" s="97">
        <v>7</v>
      </c>
      <c r="H608" s="98" t="s">
        <v>746</v>
      </c>
      <c r="I608" s="99" t="str">
        <f t="shared" si="9"/>
        <v>함양군|7</v>
      </c>
      <c r="J608" s="100">
        <v>2</v>
      </c>
      <c r="K608" s="100">
        <v>0.8</v>
      </c>
      <c r="L608" s="100">
        <v>0</v>
      </c>
      <c r="M608" s="100">
        <v>0</v>
      </c>
      <c r="N608" s="100">
        <v>0</v>
      </c>
      <c r="O608" s="100">
        <v>0</v>
      </c>
      <c r="P608" s="100">
        <v>0</v>
      </c>
      <c r="Q608" s="100">
        <v>0</v>
      </c>
      <c r="R608" s="100">
        <v>0</v>
      </c>
      <c r="S608" s="100">
        <v>0</v>
      </c>
      <c r="T608" s="100">
        <v>0</v>
      </c>
      <c r="U608" s="100">
        <v>1</v>
      </c>
    </row>
    <row r="609" spans="4:21" ht="23.15">
      <c r="D609" s="97" t="s">
        <v>603</v>
      </c>
      <c r="E609" s="97" t="s">
        <v>577</v>
      </c>
      <c r="F609" s="94" t="s">
        <v>604</v>
      </c>
      <c r="G609" s="97">
        <v>7</v>
      </c>
      <c r="H609" s="98" t="s">
        <v>746</v>
      </c>
      <c r="I609" s="99" t="str">
        <f t="shared" si="9"/>
        <v>합천|7</v>
      </c>
      <c r="J609" s="100">
        <v>1</v>
      </c>
      <c r="K609" s="100">
        <v>0.3</v>
      </c>
      <c r="L609" s="100">
        <v>0</v>
      </c>
      <c r="M609" s="100">
        <v>0</v>
      </c>
      <c r="N609" s="100">
        <v>0</v>
      </c>
      <c r="O609" s="100">
        <v>0</v>
      </c>
      <c r="P609" s="100">
        <v>0</v>
      </c>
      <c r="Q609" s="100">
        <v>0</v>
      </c>
      <c r="R609" s="100">
        <v>0</v>
      </c>
      <c r="S609" s="100">
        <v>0</v>
      </c>
      <c r="T609" s="100">
        <v>0</v>
      </c>
      <c r="U609" s="100">
        <v>0.5</v>
      </c>
    </row>
    <row r="610" spans="4:21" ht="23.15">
      <c r="D610" s="97" t="s">
        <v>605</v>
      </c>
      <c r="E610" s="97" t="s">
        <v>606</v>
      </c>
      <c r="F610" s="94" t="s">
        <v>607</v>
      </c>
      <c r="G610" s="97">
        <v>7</v>
      </c>
      <c r="H610" s="98" t="s">
        <v>746</v>
      </c>
      <c r="I610" s="99" t="str">
        <f t="shared" si="9"/>
        <v>경주시|7</v>
      </c>
      <c r="J610" s="100">
        <v>1.9</v>
      </c>
      <c r="K610" s="100">
        <v>0.4</v>
      </c>
      <c r="L610" s="100">
        <v>0</v>
      </c>
      <c r="M610" s="100">
        <v>0</v>
      </c>
      <c r="N610" s="100">
        <v>0</v>
      </c>
      <c r="O610" s="100">
        <v>0</v>
      </c>
      <c r="P610" s="100">
        <v>0</v>
      </c>
      <c r="Q610" s="100">
        <v>0</v>
      </c>
      <c r="R610" s="100">
        <v>0</v>
      </c>
      <c r="S610" s="100">
        <v>0</v>
      </c>
      <c r="T610" s="100">
        <v>0</v>
      </c>
      <c r="U610" s="100">
        <v>1.1000000000000001</v>
      </c>
    </row>
    <row r="611" spans="4:21" ht="23.15">
      <c r="D611" s="97" t="s">
        <v>608</v>
      </c>
      <c r="E611" s="97" t="s">
        <v>606</v>
      </c>
      <c r="F611" s="94" t="s">
        <v>609</v>
      </c>
      <c r="G611" s="97">
        <v>7</v>
      </c>
      <c r="H611" s="98" t="s">
        <v>746</v>
      </c>
      <c r="I611" s="99" t="str">
        <f t="shared" si="9"/>
        <v>구미|7</v>
      </c>
      <c r="J611" s="100">
        <v>2.2999999999999998</v>
      </c>
      <c r="K611" s="100">
        <v>0.5</v>
      </c>
      <c r="L611" s="100">
        <v>0</v>
      </c>
      <c r="M611" s="100">
        <v>0</v>
      </c>
      <c r="N611" s="100">
        <v>0</v>
      </c>
      <c r="O611" s="100">
        <v>0</v>
      </c>
      <c r="P611" s="100">
        <v>0</v>
      </c>
      <c r="Q611" s="100">
        <v>0</v>
      </c>
      <c r="R611" s="100">
        <v>0</v>
      </c>
      <c r="S611" s="100">
        <v>0</v>
      </c>
      <c r="T611" s="100">
        <v>0</v>
      </c>
      <c r="U611" s="100">
        <v>1.3</v>
      </c>
    </row>
    <row r="612" spans="4:21" ht="23.15">
      <c r="D612" s="97" t="s">
        <v>610</v>
      </c>
      <c r="E612" s="97" t="s">
        <v>606</v>
      </c>
      <c r="F612" s="94" t="s">
        <v>611</v>
      </c>
      <c r="G612" s="97">
        <v>7</v>
      </c>
      <c r="H612" s="98" t="s">
        <v>746</v>
      </c>
      <c r="I612" s="99" t="str">
        <f t="shared" si="9"/>
        <v>문경|7</v>
      </c>
      <c r="J612" s="100">
        <v>4.0999999999999996</v>
      </c>
      <c r="K612" s="100">
        <v>1.7</v>
      </c>
      <c r="L612" s="100">
        <v>0</v>
      </c>
      <c r="M612" s="100">
        <v>0</v>
      </c>
      <c r="N612" s="100">
        <v>0</v>
      </c>
      <c r="O612" s="100">
        <v>0</v>
      </c>
      <c r="P612" s="100">
        <v>0</v>
      </c>
      <c r="Q612" s="100">
        <v>0</v>
      </c>
      <c r="R612" s="100">
        <v>0</v>
      </c>
      <c r="S612" s="100">
        <v>0</v>
      </c>
      <c r="T612" s="100">
        <v>0</v>
      </c>
      <c r="U612" s="100">
        <v>3.5</v>
      </c>
    </row>
    <row r="613" spans="4:21" ht="23.15">
      <c r="D613" s="97" t="s">
        <v>612</v>
      </c>
      <c r="E613" s="97" t="s">
        <v>606</v>
      </c>
      <c r="F613" s="94" t="s">
        <v>613</v>
      </c>
      <c r="G613" s="97">
        <v>7</v>
      </c>
      <c r="H613" s="98" t="s">
        <v>746</v>
      </c>
      <c r="I613" s="99" t="str">
        <f t="shared" si="9"/>
        <v>봉화|7</v>
      </c>
      <c r="J613" s="100">
        <v>4.5999999999999996</v>
      </c>
      <c r="K613" s="100">
        <v>1.8</v>
      </c>
      <c r="L613" s="100">
        <v>0.1</v>
      </c>
      <c r="M613" s="100">
        <v>0</v>
      </c>
      <c r="N613" s="100">
        <v>0</v>
      </c>
      <c r="O613" s="100">
        <v>0</v>
      </c>
      <c r="P613" s="100">
        <v>0</v>
      </c>
      <c r="Q613" s="100">
        <v>0</v>
      </c>
      <c r="R613" s="100">
        <v>0</v>
      </c>
      <c r="S613" s="100">
        <v>0</v>
      </c>
      <c r="T613" s="100">
        <v>0</v>
      </c>
      <c r="U613" s="100">
        <v>3.5</v>
      </c>
    </row>
    <row r="614" spans="4:21" ht="23.15">
      <c r="D614" s="97" t="s">
        <v>614</v>
      </c>
      <c r="E614" s="97" t="s">
        <v>606</v>
      </c>
      <c r="F614" s="94" t="s">
        <v>615</v>
      </c>
      <c r="G614" s="97">
        <v>7</v>
      </c>
      <c r="H614" s="98" t="s">
        <v>746</v>
      </c>
      <c r="I614" s="99" t="str">
        <f t="shared" si="9"/>
        <v>상주|7</v>
      </c>
      <c r="J614" s="100">
        <v>3.4</v>
      </c>
      <c r="K614" s="100">
        <v>1.2</v>
      </c>
      <c r="L614" s="100">
        <v>0</v>
      </c>
      <c r="M614" s="100">
        <v>0</v>
      </c>
      <c r="N614" s="100">
        <v>0</v>
      </c>
      <c r="O614" s="100">
        <v>0</v>
      </c>
      <c r="P614" s="100">
        <v>0</v>
      </c>
      <c r="Q614" s="100">
        <v>0</v>
      </c>
      <c r="R614" s="100">
        <v>0</v>
      </c>
      <c r="S614" s="100">
        <v>0</v>
      </c>
      <c r="T614" s="100">
        <v>0</v>
      </c>
      <c r="U614" s="100">
        <v>2.5</v>
      </c>
    </row>
    <row r="615" spans="4:21" ht="23.15">
      <c r="D615" s="97" t="s">
        <v>616</v>
      </c>
      <c r="E615" s="97" t="s">
        <v>606</v>
      </c>
      <c r="F615" s="94" t="s">
        <v>617</v>
      </c>
      <c r="G615" s="97">
        <v>7</v>
      </c>
      <c r="H615" s="98" t="s">
        <v>746</v>
      </c>
      <c r="I615" s="99" t="str">
        <f t="shared" si="9"/>
        <v>안동|7</v>
      </c>
      <c r="J615" s="100">
        <v>3.7</v>
      </c>
      <c r="K615" s="100">
        <v>1.4</v>
      </c>
      <c r="L615" s="100">
        <v>0</v>
      </c>
      <c r="M615" s="100">
        <v>0</v>
      </c>
      <c r="N615" s="100">
        <v>0</v>
      </c>
      <c r="O615" s="100">
        <v>0</v>
      </c>
      <c r="P615" s="100">
        <v>0</v>
      </c>
      <c r="Q615" s="100">
        <v>0</v>
      </c>
      <c r="R615" s="100">
        <v>0</v>
      </c>
      <c r="S615" s="100">
        <v>0</v>
      </c>
      <c r="T615" s="100">
        <v>0</v>
      </c>
      <c r="U615" s="100">
        <v>3</v>
      </c>
    </row>
    <row r="616" spans="4:21" ht="23.15">
      <c r="D616" s="97" t="s">
        <v>618</v>
      </c>
      <c r="E616" s="97" t="s">
        <v>606</v>
      </c>
      <c r="F616" s="94" t="s">
        <v>619</v>
      </c>
      <c r="G616" s="97">
        <v>7</v>
      </c>
      <c r="H616" s="98" t="s">
        <v>746</v>
      </c>
      <c r="I616" s="99" t="str">
        <f t="shared" si="9"/>
        <v>영덕|7</v>
      </c>
      <c r="J616" s="100">
        <v>2.2999999999999998</v>
      </c>
      <c r="K616" s="100">
        <v>0.4</v>
      </c>
      <c r="L616" s="100">
        <v>0</v>
      </c>
      <c r="M616" s="100">
        <v>0</v>
      </c>
      <c r="N616" s="100">
        <v>0</v>
      </c>
      <c r="O616" s="100">
        <v>0</v>
      </c>
      <c r="P616" s="100">
        <v>0</v>
      </c>
      <c r="Q616" s="100">
        <v>0</v>
      </c>
      <c r="R616" s="100">
        <v>0</v>
      </c>
      <c r="S616" s="100">
        <v>0</v>
      </c>
      <c r="T616" s="100">
        <v>0</v>
      </c>
      <c r="U616" s="100">
        <v>1.4</v>
      </c>
    </row>
    <row r="617" spans="4:21" ht="23.15">
      <c r="D617" s="97" t="s">
        <v>620</v>
      </c>
      <c r="E617" s="97" t="s">
        <v>606</v>
      </c>
      <c r="F617" s="94" t="s">
        <v>621</v>
      </c>
      <c r="G617" s="97">
        <v>7</v>
      </c>
      <c r="H617" s="98" t="s">
        <v>746</v>
      </c>
      <c r="I617" s="99" t="str">
        <f t="shared" si="9"/>
        <v>영주|7</v>
      </c>
      <c r="J617" s="100">
        <v>5.4</v>
      </c>
      <c r="K617" s="100">
        <v>2.2000000000000002</v>
      </c>
      <c r="L617" s="100">
        <v>0</v>
      </c>
      <c r="M617" s="100">
        <v>0</v>
      </c>
      <c r="N617" s="100">
        <v>0</v>
      </c>
      <c r="O617" s="100">
        <v>0</v>
      </c>
      <c r="P617" s="100">
        <v>0</v>
      </c>
      <c r="Q617" s="100">
        <v>0</v>
      </c>
      <c r="R617" s="100">
        <v>0</v>
      </c>
      <c r="S617" s="100">
        <v>0</v>
      </c>
      <c r="T617" s="100">
        <v>0.1</v>
      </c>
      <c r="U617" s="100">
        <v>4.9000000000000004</v>
      </c>
    </row>
    <row r="618" spans="4:21" ht="23.15">
      <c r="D618" s="97" t="s">
        <v>622</v>
      </c>
      <c r="E618" s="97" t="s">
        <v>606</v>
      </c>
      <c r="F618" s="94" t="s">
        <v>623</v>
      </c>
      <c r="G618" s="97">
        <v>7</v>
      </c>
      <c r="H618" s="98" t="s">
        <v>746</v>
      </c>
      <c r="I618" s="99" t="str">
        <f t="shared" si="9"/>
        <v>영천|7</v>
      </c>
      <c r="J618" s="100">
        <v>2.1</v>
      </c>
      <c r="K618" s="100">
        <v>0.4</v>
      </c>
      <c r="L618" s="100">
        <v>0</v>
      </c>
      <c r="M618" s="100">
        <v>0</v>
      </c>
      <c r="N618" s="100">
        <v>0</v>
      </c>
      <c r="O618" s="100">
        <v>0</v>
      </c>
      <c r="P618" s="100">
        <v>0</v>
      </c>
      <c r="Q618" s="100">
        <v>0</v>
      </c>
      <c r="R618" s="100">
        <v>0</v>
      </c>
      <c r="S618" s="100">
        <v>0</v>
      </c>
      <c r="T618" s="100">
        <v>0</v>
      </c>
      <c r="U618" s="100">
        <v>1.4</v>
      </c>
    </row>
    <row r="619" spans="4:21" ht="23.15">
      <c r="D619" s="97" t="s">
        <v>624</v>
      </c>
      <c r="E619" s="97" t="s">
        <v>606</v>
      </c>
      <c r="F619" s="94" t="s">
        <v>625</v>
      </c>
      <c r="G619" s="97">
        <v>7</v>
      </c>
      <c r="H619" s="98" t="s">
        <v>746</v>
      </c>
      <c r="I619" s="99" t="str">
        <f t="shared" si="9"/>
        <v>울릉도|7</v>
      </c>
      <c r="J619" s="100">
        <v>5.4</v>
      </c>
      <c r="K619" s="100">
        <v>4.4000000000000004</v>
      </c>
      <c r="L619" s="100">
        <v>0.4</v>
      </c>
      <c r="M619" s="100">
        <v>0</v>
      </c>
      <c r="N619" s="100">
        <v>0</v>
      </c>
      <c r="O619" s="100">
        <v>0</v>
      </c>
      <c r="P619" s="100">
        <v>0</v>
      </c>
      <c r="Q619" s="100">
        <v>0</v>
      </c>
      <c r="R619" s="100">
        <v>0</v>
      </c>
      <c r="S619" s="100">
        <v>0</v>
      </c>
      <c r="T619" s="100">
        <v>0.1</v>
      </c>
      <c r="U619" s="100">
        <v>4.2</v>
      </c>
    </row>
    <row r="620" spans="4:21" ht="23.15">
      <c r="D620" s="97" t="s">
        <v>626</v>
      </c>
      <c r="E620" s="97" t="s">
        <v>606</v>
      </c>
      <c r="F620" s="94" t="s">
        <v>627</v>
      </c>
      <c r="G620" s="97">
        <v>7</v>
      </c>
      <c r="H620" s="98" t="s">
        <v>746</v>
      </c>
      <c r="I620" s="99" t="str">
        <f t="shared" si="9"/>
        <v>울진|7</v>
      </c>
      <c r="J620" s="100">
        <v>1.5</v>
      </c>
      <c r="K620" s="100">
        <v>0.3</v>
      </c>
      <c r="L620" s="100">
        <v>0</v>
      </c>
      <c r="M620" s="100">
        <v>0</v>
      </c>
      <c r="N620" s="100">
        <v>0</v>
      </c>
      <c r="O620" s="100">
        <v>0</v>
      </c>
      <c r="P620" s="100">
        <v>0</v>
      </c>
      <c r="Q620" s="100">
        <v>0</v>
      </c>
      <c r="R620" s="100">
        <v>0</v>
      </c>
      <c r="S620" s="100">
        <v>0</v>
      </c>
      <c r="T620" s="100">
        <v>0</v>
      </c>
      <c r="U620" s="100">
        <v>0.4</v>
      </c>
    </row>
    <row r="621" spans="4:21" ht="23.15">
      <c r="D621" s="97" t="s">
        <v>628</v>
      </c>
      <c r="E621" s="97" t="s">
        <v>606</v>
      </c>
      <c r="F621" s="94" t="s">
        <v>629</v>
      </c>
      <c r="G621" s="97">
        <v>7</v>
      </c>
      <c r="H621" s="98" t="s">
        <v>746</v>
      </c>
      <c r="I621" s="99" t="str">
        <f t="shared" si="9"/>
        <v>의성|7</v>
      </c>
      <c r="J621" s="100">
        <v>2.7</v>
      </c>
      <c r="K621" s="100">
        <v>0.7</v>
      </c>
      <c r="L621" s="100">
        <v>0</v>
      </c>
      <c r="M621" s="100">
        <v>0</v>
      </c>
      <c r="N621" s="100">
        <v>0</v>
      </c>
      <c r="O621" s="100">
        <v>0</v>
      </c>
      <c r="P621" s="100">
        <v>0</v>
      </c>
      <c r="Q621" s="100">
        <v>0</v>
      </c>
      <c r="R621" s="100">
        <v>0</v>
      </c>
      <c r="S621" s="100">
        <v>0</v>
      </c>
      <c r="T621" s="100">
        <v>0</v>
      </c>
      <c r="U621" s="100">
        <v>1.8</v>
      </c>
    </row>
    <row r="622" spans="4:21" ht="23.15">
      <c r="D622" s="97" t="s">
        <v>630</v>
      </c>
      <c r="E622" s="97" t="s">
        <v>606</v>
      </c>
      <c r="F622" s="94" t="s">
        <v>631</v>
      </c>
      <c r="G622" s="97">
        <v>7</v>
      </c>
      <c r="H622" s="98" t="s">
        <v>746</v>
      </c>
      <c r="I622" s="99" t="str">
        <f t="shared" si="9"/>
        <v>청송군|7</v>
      </c>
      <c r="J622" s="100">
        <v>3.7</v>
      </c>
      <c r="K622" s="100">
        <v>1.5</v>
      </c>
      <c r="L622" s="100">
        <v>0</v>
      </c>
      <c r="M622" s="100">
        <v>0</v>
      </c>
      <c r="N622" s="100">
        <v>0</v>
      </c>
      <c r="O622" s="100">
        <v>0</v>
      </c>
      <c r="P622" s="100">
        <v>0</v>
      </c>
      <c r="Q622" s="100">
        <v>0</v>
      </c>
      <c r="R622" s="100">
        <v>0</v>
      </c>
      <c r="S622" s="100">
        <v>0</v>
      </c>
      <c r="T622" s="100">
        <v>0</v>
      </c>
      <c r="U622" s="100">
        <v>2.8</v>
      </c>
    </row>
    <row r="623" spans="4:21" ht="23.15">
      <c r="D623" s="97" t="s">
        <v>632</v>
      </c>
      <c r="E623" s="97" t="s">
        <v>606</v>
      </c>
      <c r="F623" s="94" t="s">
        <v>633</v>
      </c>
      <c r="G623" s="97">
        <v>7</v>
      </c>
      <c r="H623" s="98" t="s">
        <v>746</v>
      </c>
      <c r="I623" s="99" t="str">
        <f t="shared" si="9"/>
        <v>포항|7</v>
      </c>
      <c r="J623" s="100">
        <v>1.6</v>
      </c>
      <c r="K623" s="100">
        <v>0.4</v>
      </c>
      <c r="L623" s="100">
        <v>0</v>
      </c>
      <c r="M623" s="100">
        <v>0</v>
      </c>
      <c r="N623" s="100">
        <v>0</v>
      </c>
      <c r="O623" s="100">
        <v>0</v>
      </c>
      <c r="P623" s="100">
        <v>0</v>
      </c>
      <c r="Q623" s="100">
        <v>0</v>
      </c>
      <c r="R623" s="100">
        <v>0</v>
      </c>
      <c r="S623" s="100">
        <v>0</v>
      </c>
      <c r="T623" s="100">
        <v>0</v>
      </c>
      <c r="U623" s="100">
        <v>0.8</v>
      </c>
    </row>
    <row r="624" spans="4:21" ht="23.15">
      <c r="D624" s="97" t="s">
        <v>634</v>
      </c>
      <c r="E624" s="97" t="s">
        <v>635</v>
      </c>
      <c r="F624" s="94" t="s">
        <v>636</v>
      </c>
      <c r="G624" s="97">
        <v>7</v>
      </c>
      <c r="H624" s="98" t="s">
        <v>746</v>
      </c>
      <c r="I624" s="99" t="str">
        <f t="shared" si="9"/>
        <v>광주|7</v>
      </c>
      <c r="J624" s="100">
        <v>2.8</v>
      </c>
      <c r="K624" s="100">
        <v>1.1000000000000001</v>
      </c>
      <c r="L624" s="100">
        <v>0</v>
      </c>
      <c r="M624" s="100">
        <v>0</v>
      </c>
      <c r="N624" s="100">
        <v>0</v>
      </c>
      <c r="O624" s="100">
        <v>0</v>
      </c>
      <c r="P624" s="100">
        <v>0</v>
      </c>
      <c r="Q624" s="100">
        <v>0</v>
      </c>
      <c r="R624" s="100">
        <v>0</v>
      </c>
      <c r="S624" s="100">
        <v>0</v>
      </c>
      <c r="T624" s="100">
        <v>0.1</v>
      </c>
      <c r="U624" s="100">
        <v>1.6</v>
      </c>
    </row>
    <row r="625" spans="4:21" ht="23.15">
      <c r="D625" s="97" t="s">
        <v>637</v>
      </c>
      <c r="E625" s="97" t="s">
        <v>638</v>
      </c>
      <c r="F625" s="94" t="s">
        <v>639</v>
      </c>
      <c r="G625" s="97">
        <v>7</v>
      </c>
      <c r="H625" s="98" t="s">
        <v>746</v>
      </c>
      <c r="I625" s="99" t="str">
        <f t="shared" si="9"/>
        <v>대구|7</v>
      </c>
      <c r="J625" s="100">
        <v>2.2999999999999998</v>
      </c>
      <c r="K625" s="100">
        <v>0.5</v>
      </c>
      <c r="L625" s="100">
        <v>0.1</v>
      </c>
      <c r="M625" s="100">
        <v>0</v>
      </c>
      <c r="N625" s="100">
        <v>0</v>
      </c>
      <c r="O625" s="100">
        <v>0</v>
      </c>
      <c r="P625" s="100">
        <v>0</v>
      </c>
      <c r="Q625" s="100">
        <v>0</v>
      </c>
      <c r="R625" s="100">
        <v>0</v>
      </c>
      <c r="S625" s="100">
        <v>0</v>
      </c>
      <c r="T625" s="100">
        <v>0</v>
      </c>
      <c r="U625" s="100">
        <v>1.5</v>
      </c>
    </row>
    <row r="626" spans="4:21" ht="23.15">
      <c r="D626" s="97" t="s">
        <v>640</v>
      </c>
      <c r="E626" s="97" t="s">
        <v>641</v>
      </c>
      <c r="F626" s="94" t="s">
        <v>642</v>
      </c>
      <c r="G626" s="97">
        <v>7</v>
      </c>
      <c r="H626" s="98" t="s">
        <v>746</v>
      </c>
      <c r="I626" s="99" t="str">
        <f t="shared" si="9"/>
        <v>대전|7</v>
      </c>
      <c r="J626" s="100">
        <v>4</v>
      </c>
      <c r="K626" s="100">
        <v>1.1000000000000001</v>
      </c>
      <c r="L626" s="100">
        <v>0.1</v>
      </c>
      <c r="M626" s="100">
        <v>0</v>
      </c>
      <c r="N626" s="100">
        <v>0</v>
      </c>
      <c r="O626" s="100">
        <v>0</v>
      </c>
      <c r="P626" s="100">
        <v>0</v>
      </c>
      <c r="Q626" s="100">
        <v>0</v>
      </c>
      <c r="R626" s="100">
        <v>0</v>
      </c>
      <c r="S626" s="100">
        <v>0</v>
      </c>
      <c r="T626" s="100">
        <v>0</v>
      </c>
      <c r="U626" s="100">
        <v>2.6</v>
      </c>
    </row>
    <row r="627" spans="4:21" ht="23.15">
      <c r="D627" s="97" t="s">
        <v>643</v>
      </c>
      <c r="E627" s="97" t="s">
        <v>644</v>
      </c>
      <c r="F627" s="94" t="s">
        <v>645</v>
      </c>
      <c r="G627" s="97">
        <v>7</v>
      </c>
      <c r="H627" s="98" t="s">
        <v>746</v>
      </c>
      <c r="I627" s="99" t="str">
        <f t="shared" si="9"/>
        <v>부산|7</v>
      </c>
      <c r="J627" s="100">
        <v>0.4</v>
      </c>
      <c r="K627" s="100">
        <v>0.1</v>
      </c>
      <c r="L627" s="100">
        <v>0</v>
      </c>
      <c r="M627" s="100">
        <v>0</v>
      </c>
      <c r="N627" s="100">
        <v>0</v>
      </c>
      <c r="O627" s="100">
        <v>0</v>
      </c>
      <c r="P627" s="100">
        <v>0</v>
      </c>
      <c r="Q627" s="100">
        <v>0</v>
      </c>
      <c r="R627" s="100">
        <v>0</v>
      </c>
      <c r="S627" s="100">
        <v>0</v>
      </c>
      <c r="T627" s="100">
        <v>0</v>
      </c>
      <c r="U627" s="100">
        <v>0.3</v>
      </c>
    </row>
    <row r="628" spans="4:21" ht="23.15">
      <c r="D628" s="97" t="s">
        <v>64</v>
      </c>
      <c r="E628" s="97" t="s">
        <v>646</v>
      </c>
      <c r="F628" s="94" t="s">
        <v>647</v>
      </c>
      <c r="G628" s="97">
        <v>7</v>
      </c>
      <c r="H628" s="98" t="s">
        <v>746</v>
      </c>
      <c r="I628" s="99" t="str">
        <f t="shared" si="9"/>
        <v>서울|7</v>
      </c>
      <c r="J628" s="100">
        <v>7.3</v>
      </c>
      <c r="K628" s="100">
        <v>3.4</v>
      </c>
      <c r="L628" s="100">
        <v>0</v>
      </c>
      <c r="M628" s="100">
        <v>0</v>
      </c>
      <c r="N628" s="100">
        <v>0</v>
      </c>
      <c r="O628" s="100">
        <v>0</v>
      </c>
      <c r="P628" s="100">
        <v>0</v>
      </c>
      <c r="Q628" s="100">
        <v>0</v>
      </c>
      <c r="R628" s="100">
        <v>0</v>
      </c>
      <c r="S628" s="100">
        <v>0</v>
      </c>
      <c r="T628" s="100">
        <v>0.5</v>
      </c>
      <c r="U628" s="100">
        <v>6.3</v>
      </c>
    </row>
    <row r="629" spans="4:21" ht="23.15">
      <c r="D629" s="97" t="s">
        <v>648</v>
      </c>
      <c r="E629" s="97" t="s">
        <v>649</v>
      </c>
      <c r="F629" s="94" t="s">
        <v>650</v>
      </c>
      <c r="G629" s="97">
        <v>7</v>
      </c>
      <c r="H629" s="98" t="s">
        <v>746</v>
      </c>
      <c r="I629" s="99" t="str">
        <f t="shared" si="9"/>
        <v>세종|7</v>
      </c>
      <c r="J629" s="100">
        <v>3.7</v>
      </c>
      <c r="K629" s="100">
        <v>1.5</v>
      </c>
      <c r="L629" s="100">
        <v>0</v>
      </c>
      <c r="M629" s="100">
        <v>0</v>
      </c>
      <c r="N629" s="100">
        <v>0</v>
      </c>
      <c r="O629" s="100">
        <v>0</v>
      </c>
      <c r="P629" s="100">
        <v>0</v>
      </c>
      <c r="Q629" s="100">
        <v>0</v>
      </c>
      <c r="R629" s="100">
        <v>0</v>
      </c>
      <c r="S629" s="100">
        <v>0</v>
      </c>
      <c r="T629" s="100">
        <v>0</v>
      </c>
      <c r="U629" s="100">
        <v>4</v>
      </c>
    </row>
    <row r="630" spans="4:21" ht="23.15">
      <c r="D630" s="97" t="s">
        <v>651</v>
      </c>
      <c r="E630" s="97" t="s">
        <v>652</v>
      </c>
      <c r="F630" s="94" t="s">
        <v>653</v>
      </c>
      <c r="G630" s="97">
        <v>7</v>
      </c>
      <c r="H630" s="98" t="s">
        <v>746</v>
      </c>
      <c r="I630" s="99" t="str">
        <f t="shared" si="9"/>
        <v>울산|7</v>
      </c>
      <c r="J630" s="100">
        <v>1.4</v>
      </c>
      <c r="K630" s="100">
        <v>0.4</v>
      </c>
      <c r="L630" s="100">
        <v>0</v>
      </c>
      <c r="M630" s="100">
        <v>0</v>
      </c>
      <c r="N630" s="100">
        <v>0</v>
      </c>
      <c r="O630" s="100">
        <v>0</v>
      </c>
      <c r="P630" s="100">
        <v>0</v>
      </c>
      <c r="Q630" s="100">
        <v>0</v>
      </c>
      <c r="R630" s="100">
        <v>0</v>
      </c>
      <c r="S630" s="100">
        <v>0</v>
      </c>
      <c r="T630" s="100">
        <v>0</v>
      </c>
      <c r="U630" s="100">
        <v>0.8</v>
      </c>
    </row>
    <row r="631" spans="4:21" ht="23.15">
      <c r="D631" s="97" t="s">
        <v>654</v>
      </c>
      <c r="E631" s="97" t="s">
        <v>655</v>
      </c>
      <c r="F631" s="94" t="s">
        <v>656</v>
      </c>
      <c r="G631" s="97">
        <v>7</v>
      </c>
      <c r="H631" s="98" t="s">
        <v>746</v>
      </c>
      <c r="I631" s="99" t="str">
        <f t="shared" si="9"/>
        <v>강화|7</v>
      </c>
      <c r="J631" s="100">
        <v>8.1</v>
      </c>
      <c r="K631" s="100">
        <v>3.4</v>
      </c>
      <c r="L631" s="100">
        <v>0.1</v>
      </c>
      <c r="M631" s="100">
        <v>0</v>
      </c>
      <c r="N631" s="100">
        <v>0</v>
      </c>
      <c r="O631" s="100">
        <v>0</v>
      </c>
      <c r="P631" s="100">
        <v>0</v>
      </c>
      <c r="Q631" s="100">
        <v>0</v>
      </c>
      <c r="R631" s="100">
        <v>0</v>
      </c>
      <c r="S631" s="100">
        <v>0</v>
      </c>
      <c r="T631" s="100">
        <v>0.2</v>
      </c>
      <c r="U631" s="100">
        <v>6.6</v>
      </c>
    </row>
    <row r="632" spans="4:21" ht="23.15">
      <c r="D632" s="97" t="s">
        <v>657</v>
      </c>
      <c r="E632" s="97" t="s">
        <v>655</v>
      </c>
      <c r="F632" s="94" t="s">
        <v>658</v>
      </c>
      <c r="G632" s="97">
        <v>7</v>
      </c>
      <c r="H632" s="98" t="s">
        <v>746</v>
      </c>
      <c r="I632" s="99" t="str">
        <f t="shared" si="9"/>
        <v>백령도|7</v>
      </c>
      <c r="J632" s="100">
        <v>8.3000000000000007</v>
      </c>
      <c r="K632" s="100">
        <v>5</v>
      </c>
      <c r="L632" s="100">
        <v>0.4</v>
      </c>
      <c r="M632" s="100">
        <v>0</v>
      </c>
      <c r="N632" s="100">
        <v>0</v>
      </c>
      <c r="O632" s="100">
        <v>0</v>
      </c>
      <c r="P632" s="100">
        <v>0</v>
      </c>
      <c r="Q632" s="100">
        <v>0</v>
      </c>
      <c r="R632" s="100">
        <v>0</v>
      </c>
      <c r="S632" s="100">
        <v>0</v>
      </c>
      <c r="T632" s="100">
        <v>0.2</v>
      </c>
      <c r="U632" s="100">
        <v>4.4000000000000004</v>
      </c>
    </row>
    <row r="633" spans="4:21" ht="23.15">
      <c r="D633" s="97" t="s">
        <v>659</v>
      </c>
      <c r="E633" s="97" t="s">
        <v>655</v>
      </c>
      <c r="F633" s="94" t="s">
        <v>660</v>
      </c>
      <c r="G633" s="97">
        <v>7</v>
      </c>
      <c r="H633" s="98" t="s">
        <v>746</v>
      </c>
      <c r="I633" s="99" t="str">
        <f t="shared" si="9"/>
        <v>인천|7</v>
      </c>
      <c r="J633" s="100">
        <v>8.5</v>
      </c>
      <c r="K633" s="100">
        <v>4.0999999999999996</v>
      </c>
      <c r="L633" s="100">
        <v>0</v>
      </c>
      <c r="M633" s="100">
        <v>0</v>
      </c>
      <c r="N633" s="100">
        <v>0</v>
      </c>
      <c r="O633" s="100">
        <v>0</v>
      </c>
      <c r="P633" s="100">
        <v>0</v>
      </c>
      <c r="Q633" s="100">
        <v>0</v>
      </c>
      <c r="R633" s="100">
        <v>0</v>
      </c>
      <c r="S633" s="100">
        <v>0</v>
      </c>
      <c r="T633" s="100">
        <v>0.4</v>
      </c>
      <c r="U633" s="100">
        <v>6.4</v>
      </c>
    </row>
    <row r="634" spans="4:21" ht="23.15">
      <c r="D634" s="97" t="s">
        <v>661</v>
      </c>
      <c r="E634" s="97" t="s">
        <v>662</v>
      </c>
      <c r="F634" s="94" t="s">
        <v>663</v>
      </c>
      <c r="G634" s="97">
        <v>7</v>
      </c>
      <c r="H634" s="98" t="s">
        <v>746</v>
      </c>
      <c r="I634" s="99" t="str">
        <f t="shared" si="9"/>
        <v>강진군|7</v>
      </c>
      <c r="J634" s="100">
        <v>1.5</v>
      </c>
      <c r="K634" s="100">
        <v>0.6</v>
      </c>
      <c r="L634" s="100">
        <v>0</v>
      </c>
      <c r="M634" s="100">
        <v>0</v>
      </c>
      <c r="N634" s="100">
        <v>0</v>
      </c>
      <c r="O634" s="100">
        <v>0</v>
      </c>
      <c r="P634" s="100">
        <v>0</v>
      </c>
      <c r="Q634" s="100">
        <v>0</v>
      </c>
      <c r="R634" s="100">
        <v>0</v>
      </c>
      <c r="S634" s="100">
        <v>0</v>
      </c>
      <c r="T634" s="100">
        <v>0</v>
      </c>
      <c r="U634" s="100">
        <v>0.7</v>
      </c>
    </row>
    <row r="635" spans="4:21" ht="23.15">
      <c r="D635" s="97" t="s">
        <v>664</v>
      </c>
      <c r="E635" s="97" t="s">
        <v>662</v>
      </c>
      <c r="F635" s="94" t="s">
        <v>665</v>
      </c>
      <c r="G635" s="97">
        <v>7</v>
      </c>
      <c r="H635" s="98" t="s">
        <v>746</v>
      </c>
      <c r="I635" s="99" t="str">
        <f t="shared" si="9"/>
        <v>고흥|7</v>
      </c>
      <c r="J635" s="100">
        <v>1.2</v>
      </c>
      <c r="K635" s="100">
        <v>0.4</v>
      </c>
      <c r="L635" s="100">
        <v>0</v>
      </c>
      <c r="M635" s="100">
        <v>0</v>
      </c>
      <c r="N635" s="100">
        <v>0</v>
      </c>
      <c r="O635" s="100">
        <v>0</v>
      </c>
      <c r="P635" s="100">
        <v>0</v>
      </c>
      <c r="Q635" s="100">
        <v>0</v>
      </c>
      <c r="R635" s="100">
        <v>0</v>
      </c>
      <c r="S635" s="100">
        <v>0</v>
      </c>
      <c r="T635" s="100">
        <v>0</v>
      </c>
      <c r="U635" s="100">
        <v>0.3</v>
      </c>
    </row>
    <row r="636" spans="4:21" ht="23.15">
      <c r="D636" s="97" t="s">
        <v>666</v>
      </c>
      <c r="E636" s="97" t="s">
        <v>662</v>
      </c>
      <c r="F636" s="94" t="s">
        <v>667</v>
      </c>
      <c r="G636" s="97">
        <v>7</v>
      </c>
      <c r="H636" s="98" t="s">
        <v>746</v>
      </c>
      <c r="I636" s="99" t="str">
        <f t="shared" si="9"/>
        <v>광양시|7</v>
      </c>
      <c r="J636" s="100">
        <v>1.1000000000000001</v>
      </c>
      <c r="K636" s="100">
        <v>0.3</v>
      </c>
      <c r="L636" s="100">
        <v>0</v>
      </c>
      <c r="M636" s="100">
        <v>0</v>
      </c>
      <c r="N636" s="100">
        <v>0</v>
      </c>
      <c r="O636" s="100">
        <v>0</v>
      </c>
      <c r="P636" s="100">
        <v>0</v>
      </c>
      <c r="Q636" s="100">
        <v>0</v>
      </c>
      <c r="R636" s="100">
        <v>0</v>
      </c>
      <c r="S636" s="100">
        <v>0</v>
      </c>
      <c r="T636" s="100">
        <v>0</v>
      </c>
      <c r="U636" s="100">
        <v>0.3</v>
      </c>
    </row>
    <row r="637" spans="4:21" ht="23.15">
      <c r="D637" s="97" t="s">
        <v>668</v>
      </c>
      <c r="E637" s="97" t="s">
        <v>662</v>
      </c>
      <c r="F637" s="94" t="s">
        <v>669</v>
      </c>
      <c r="G637" s="97">
        <v>7</v>
      </c>
      <c r="H637" s="98" t="s">
        <v>746</v>
      </c>
      <c r="I637" s="99" t="str">
        <f t="shared" si="9"/>
        <v>목포|7</v>
      </c>
      <c r="J637" s="100">
        <v>2.4</v>
      </c>
      <c r="K637" s="100">
        <v>1.3</v>
      </c>
      <c r="L637" s="100">
        <v>0</v>
      </c>
      <c r="M637" s="100">
        <v>0</v>
      </c>
      <c r="N637" s="100">
        <v>0</v>
      </c>
      <c r="O637" s="100">
        <v>0</v>
      </c>
      <c r="P637" s="100">
        <v>0</v>
      </c>
      <c r="Q637" s="100">
        <v>0</v>
      </c>
      <c r="R637" s="100">
        <v>0</v>
      </c>
      <c r="S637" s="100">
        <v>0</v>
      </c>
      <c r="T637" s="100">
        <v>0</v>
      </c>
      <c r="U637" s="100">
        <v>1.9</v>
      </c>
    </row>
    <row r="638" spans="4:21" ht="23.15">
      <c r="D638" s="97" t="s">
        <v>670</v>
      </c>
      <c r="E638" s="97" t="s">
        <v>662</v>
      </c>
      <c r="F638" s="94" t="s">
        <v>671</v>
      </c>
      <c r="G638" s="97">
        <v>7</v>
      </c>
      <c r="H638" s="98" t="s">
        <v>746</v>
      </c>
      <c r="I638" s="99" t="str">
        <f t="shared" si="9"/>
        <v>보성군|7</v>
      </c>
      <c r="J638" s="100">
        <v>1</v>
      </c>
      <c r="K638" s="100">
        <v>0.4</v>
      </c>
      <c r="L638" s="100">
        <v>0</v>
      </c>
      <c r="M638" s="100">
        <v>0</v>
      </c>
      <c r="N638" s="100">
        <v>0</v>
      </c>
      <c r="O638" s="100">
        <v>0</v>
      </c>
      <c r="P638" s="100">
        <v>0</v>
      </c>
      <c r="Q638" s="100">
        <v>0</v>
      </c>
      <c r="R638" s="100">
        <v>0</v>
      </c>
      <c r="S638" s="100">
        <v>0</v>
      </c>
      <c r="T638" s="100">
        <v>0</v>
      </c>
      <c r="U638" s="100">
        <v>0.3</v>
      </c>
    </row>
    <row r="639" spans="4:21" ht="23.15">
      <c r="D639" s="97" t="s">
        <v>672</v>
      </c>
      <c r="E639" s="97" t="s">
        <v>662</v>
      </c>
      <c r="F639" s="94" t="s">
        <v>673</v>
      </c>
      <c r="G639" s="97">
        <v>7</v>
      </c>
      <c r="H639" s="98" t="s">
        <v>746</v>
      </c>
      <c r="I639" s="99" t="str">
        <f t="shared" si="9"/>
        <v>순천|7</v>
      </c>
      <c r="J639" s="100">
        <v>2.7</v>
      </c>
      <c r="K639" s="100">
        <v>0.9</v>
      </c>
      <c r="L639" s="100">
        <v>0</v>
      </c>
      <c r="M639" s="100">
        <v>0</v>
      </c>
      <c r="N639" s="100">
        <v>0</v>
      </c>
      <c r="O639" s="100">
        <v>0</v>
      </c>
      <c r="P639" s="100">
        <v>0</v>
      </c>
      <c r="Q639" s="100">
        <v>0</v>
      </c>
      <c r="R639" s="100">
        <v>0</v>
      </c>
      <c r="S639" s="100">
        <v>0</v>
      </c>
      <c r="T639" s="100">
        <v>0</v>
      </c>
      <c r="U639" s="100">
        <v>1.1000000000000001</v>
      </c>
    </row>
    <row r="640" spans="4:21" ht="23.15">
      <c r="D640" s="97" t="s">
        <v>674</v>
      </c>
      <c r="E640" s="97" t="s">
        <v>662</v>
      </c>
      <c r="F640" s="94" t="s">
        <v>675</v>
      </c>
      <c r="G640" s="97">
        <v>7</v>
      </c>
      <c r="H640" s="98" t="s">
        <v>746</v>
      </c>
      <c r="I640" s="99" t="str">
        <f t="shared" si="9"/>
        <v>여수|7</v>
      </c>
      <c r="J640" s="100">
        <v>1.3</v>
      </c>
      <c r="K640" s="100">
        <v>0.3</v>
      </c>
      <c r="L640" s="100">
        <v>0</v>
      </c>
      <c r="M640" s="100">
        <v>0</v>
      </c>
      <c r="N640" s="100">
        <v>0</v>
      </c>
      <c r="O640" s="100">
        <v>0</v>
      </c>
      <c r="P640" s="100">
        <v>0</v>
      </c>
      <c r="Q640" s="100">
        <v>0</v>
      </c>
      <c r="R640" s="100">
        <v>0</v>
      </c>
      <c r="S640" s="100">
        <v>0</v>
      </c>
      <c r="T640" s="100">
        <v>0</v>
      </c>
      <c r="U640" s="100">
        <v>0.5</v>
      </c>
    </row>
    <row r="641" spans="4:21" ht="23.15">
      <c r="D641" s="97" t="s">
        <v>676</v>
      </c>
      <c r="E641" s="97" t="s">
        <v>662</v>
      </c>
      <c r="F641" s="94" t="s">
        <v>677</v>
      </c>
      <c r="G641" s="97">
        <v>7</v>
      </c>
      <c r="H641" s="98" t="s">
        <v>746</v>
      </c>
      <c r="I641" s="99" t="str">
        <f t="shared" si="9"/>
        <v>영광군|7</v>
      </c>
      <c r="J641" s="100">
        <v>3.1</v>
      </c>
      <c r="K641" s="100">
        <v>1.7</v>
      </c>
      <c r="L641" s="100">
        <v>0</v>
      </c>
      <c r="M641" s="100">
        <v>0</v>
      </c>
      <c r="N641" s="100">
        <v>0</v>
      </c>
      <c r="O641" s="100">
        <v>0</v>
      </c>
      <c r="P641" s="100">
        <v>0</v>
      </c>
      <c r="Q641" s="100">
        <v>0</v>
      </c>
      <c r="R641" s="100">
        <v>0</v>
      </c>
      <c r="S641" s="100">
        <v>0</v>
      </c>
      <c r="T641" s="100">
        <v>0</v>
      </c>
      <c r="U641" s="100">
        <v>2.1</v>
      </c>
    </row>
    <row r="642" spans="4:21" ht="23.15">
      <c r="D642" s="97" t="s">
        <v>678</v>
      </c>
      <c r="E642" s="97" t="s">
        <v>662</v>
      </c>
      <c r="F642" s="94" t="s">
        <v>679</v>
      </c>
      <c r="G642" s="97">
        <v>7</v>
      </c>
      <c r="H642" s="98" t="s">
        <v>746</v>
      </c>
      <c r="I642" s="99" t="str">
        <f t="shared" si="9"/>
        <v>완도|7</v>
      </c>
      <c r="J642" s="100">
        <v>1.2</v>
      </c>
      <c r="K642" s="100">
        <v>0.3</v>
      </c>
      <c r="L642" s="100">
        <v>0</v>
      </c>
      <c r="M642" s="100">
        <v>0</v>
      </c>
      <c r="N642" s="100">
        <v>0</v>
      </c>
      <c r="O642" s="100">
        <v>0</v>
      </c>
      <c r="P642" s="100">
        <v>0</v>
      </c>
      <c r="Q642" s="100">
        <v>0</v>
      </c>
      <c r="R642" s="100">
        <v>0</v>
      </c>
      <c r="S642" s="100">
        <v>0</v>
      </c>
      <c r="T642" s="100">
        <v>0</v>
      </c>
      <c r="U642" s="100">
        <v>0.4</v>
      </c>
    </row>
    <row r="643" spans="4:21" ht="23.15">
      <c r="D643" s="97" t="s">
        <v>680</v>
      </c>
      <c r="E643" s="97" t="s">
        <v>662</v>
      </c>
      <c r="F643" s="94" t="s">
        <v>681</v>
      </c>
      <c r="G643" s="97">
        <v>7</v>
      </c>
      <c r="H643" s="98" t="s">
        <v>746</v>
      </c>
      <c r="I643" s="99" t="str">
        <f t="shared" si="9"/>
        <v>장흥|7</v>
      </c>
      <c r="J643" s="100">
        <v>1.5</v>
      </c>
      <c r="K643" s="100">
        <v>0.6</v>
      </c>
      <c r="L643" s="100">
        <v>0</v>
      </c>
      <c r="M643" s="100">
        <v>0</v>
      </c>
      <c r="N643" s="100">
        <v>0</v>
      </c>
      <c r="O643" s="100">
        <v>0</v>
      </c>
      <c r="P643" s="100">
        <v>0</v>
      </c>
      <c r="Q643" s="100">
        <v>0</v>
      </c>
      <c r="R643" s="100">
        <v>0</v>
      </c>
      <c r="S643" s="100">
        <v>0</v>
      </c>
      <c r="T643" s="100">
        <v>0</v>
      </c>
      <c r="U643" s="100">
        <v>0.8</v>
      </c>
    </row>
    <row r="644" spans="4:21" ht="23.15">
      <c r="D644" s="97" t="s">
        <v>682</v>
      </c>
      <c r="E644" s="97" t="s">
        <v>662</v>
      </c>
      <c r="F644" s="94" t="s">
        <v>683</v>
      </c>
      <c r="G644" s="97">
        <v>7</v>
      </c>
      <c r="H644" s="98" t="s">
        <v>746</v>
      </c>
      <c r="I644" s="99" t="str">
        <f t="shared" si="9"/>
        <v>진도군|7</v>
      </c>
      <c r="J644" s="100">
        <v>1.3</v>
      </c>
      <c r="K644" s="100">
        <v>0.4</v>
      </c>
      <c r="L644" s="100">
        <v>0</v>
      </c>
      <c r="M644" s="100">
        <v>0</v>
      </c>
      <c r="N644" s="100">
        <v>0</v>
      </c>
      <c r="O644" s="100">
        <v>0</v>
      </c>
      <c r="P644" s="100">
        <v>0</v>
      </c>
      <c r="Q644" s="100">
        <v>0</v>
      </c>
      <c r="R644" s="100">
        <v>0</v>
      </c>
      <c r="S644" s="100">
        <v>0</v>
      </c>
      <c r="T644" s="100">
        <v>0</v>
      </c>
      <c r="U644" s="100">
        <v>0.3</v>
      </c>
    </row>
    <row r="645" spans="4:21" ht="23.15">
      <c r="D645" s="97" t="s">
        <v>684</v>
      </c>
      <c r="E645" s="97" t="s">
        <v>662</v>
      </c>
      <c r="F645" s="94" t="s">
        <v>685</v>
      </c>
      <c r="G645" s="97">
        <v>7</v>
      </c>
      <c r="H645" s="98" t="s">
        <v>746</v>
      </c>
      <c r="I645" s="99" t="str">
        <f t="shared" si="9"/>
        <v>해남|7</v>
      </c>
      <c r="J645" s="100">
        <v>1.5</v>
      </c>
      <c r="K645" s="100">
        <v>1</v>
      </c>
      <c r="L645" s="100">
        <v>0</v>
      </c>
      <c r="M645" s="100">
        <v>0</v>
      </c>
      <c r="N645" s="100">
        <v>0</v>
      </c>
      <c r="O645" s="100">
        <v>0</v>
      </c>
      <c r="P645" s="100">
        <v>0</v>
      </c>
      <c r="Q645" s="100">
        <v>0</v>
      </c>
      <c r="R645" s="100">
        <v>0</v>
      </c>
      <c r="S645" s="100">
        <v>0</v>
      </c>
      <c r="T645" s="100">
        <v>0</v>
      </c>
      <c r="U645" s="100">
        <v>0.8</v>
      </c>
    </row>
    <row r="646" spans="4:21" ht="23.15">
      <c r="D646" s="97" t="s">
        <v>686</v>
      </c>
      <c r="E646" s="97" t="s">
        <v>662</v>
      </c>
      <c r="F646" s="94" t="s">
        <v>687</v>
      </c>
      <c r="G646" s="97">
        <v>7</v>
      </c>
      <c r="H646" s="98" t="s">
        <v>746</v>
      </c>
      <c r="I646" s="99" t="str">
        <f t="shared" si="9"/>
        <v>흑산도|7</v>
      </c>
      <c r="J646" s="100">
        <v>1.3</v>
      </c>
      <c r="K646" s="100">
        <v>0.3</v>
      </c>
      <c r="L646" s="100">
        <v>0</v>
      </c>
      <c r="M646" s="100">
        <v>0</v>
      </c>
      <c r="N646" s="100">
        <v>0</v>
      </c>
      <c r="O646" s="100">
        <v>0</v>
      </c>
      <c r="P646" s="100">
        <v>0</v>
      </c>
      <c r="Q646" s="100">
        <v>0</v>
      </c>
      <c r="R646" s="100">
        <v>0</v>
      </c>
      <c r="S646" s="100">
        <v>0</v>
      </c>
      <c r="T646" s="100">
        <v>0</v>
      </c>
      <c r="U646" s="100">
        <v>0.5</v>
      </c>
    </row>
    <row r="647" spans="4:21" ht="23.15">
      <c r="D647" s="97" t="s">
        <v>688</v>
      </c>
      <c r="E647" s="97" t="s">
        <v>689</v>
      </c>
      <c r="F647" s="94" t="s">
        <v>690</v>
      </c>
      <c r="G647" s="97">
        <v>7</v>
      </c>
      <c r="H647" s="98" t="s">
        <v>746</v>
      </c>
      <c r="I647" s="99" t="str">
        <f t="shared" ref="I647:I710" si="10">$D647&amp;"|"&amp;$G647</f>
        <v>고창|7</v>
      </c>
      <c r="J647" s="100">
        <v>3.5</v>
      </c>
      <c r="K647" s="100">
        <v>1.6</v>
      </c>
      <c r="L647" s="100">
        <v>0</v>
      </c>
      <c r="M647" s="100">
        <v>0</v>
      </c>
      <c r="N647" s="100">
        <v>0</v>
      </c>
      <c r="O647" s="100">
        <v>0</v>
      </c>
      <c r="P647" s="100">
        <v>0</v>
      </c>
      <c r="Q647" s="100">
        <v>0</v>
      </c>
      <c r="R647" s="100">
        <v>0</v>
      </c>
      <c r="S647" s="100">
        <v>0</v>
      </c>
      <c r="T647" s="100">
        <v>0</v>
      </c>
      <c r="U647" s="100">
        <v>2.4</v>
      </c>
    </row>
    <row r="648" spans="4:21" ht="23.15">
      <c r="D648" s="97" t="s">
        <v>691</v>
      </c>
      <c r="E648" s="97" t="s">
        <v>689</v>
      </c>
      <c r="F648" s="94" t="s">
        <v>692</v>
      </c>
      <c r="G648" s="97">
        <v>7</v>
      </c>
      <c r="H648" s="98" t="s">
        <v>746</v>
      </c>
      <c r="I648" s="99" t="str">
        <f t="shared" si="10"/>
        <v>고창군|7</v>
      </c>
      <c r="J648" s="100">
        <v>3.4</v>
      </c>
      <c r="K648" s="100">
        <v>1.4</v>
      </c>
      <c r="L648" s="100">
        <v>0</v>
      </c>
      <c r="M648" s="100">
        <v>0</v>
      </c>
      <c r="N648" s="100">
        <v>0</v>
      </c>
      <c r="O648" s="100">
        <v>0</v>
      </c>
      <c r="P648" s="100">
        <v>0</v>
      </c>
      <c r="Q648" s="100">
        <v>0</v>
      </c>
      <c r="R648" s="100">
        <v>0</v>
      </c>
      <c r="S648" s="100">
        <v>0</v>
      </c>
      <c r="T648" s="100">
        <v>0</v>
      </c>
      <c r="U648" s="100">
        <v>2.4</v>
      </c>
    </row>
    <row r="649" spans="4:21" ht="23.15">
      <c r="D649" s="97" t="s">
        <v>693</v>
      </c>
      <c r="E649" s="97" t="s">
        <v>689</v>
      </c>
      <c r="F649" s="94" t="s">
        <v>694</v>
      </c>
      <c r="G649" s="97">
        <v>7</v>
      </c>
      <c r="H649" s="98" t="s">
        <v>746</v>
      </c>
      <c r="I649" s="99" t="str">
        <f t="shared" si="10"/>
        <v>군산|7</v>
      </c>
      <c r="J649" s="100">
        <v>3.2</v>
      </c>
      <c r="K649" s="100">
        <v>1.1000000000000001</v>
      </c>
      <c r="L649" s="100">
        <v>0</v>
      </c>
      <c r="M649" s="100">
        <v>0</v>
      </c>
      <c r="N649" s="100">
        <v>0</v>
      </c>
      <c r="O649" s="100">
        <v>0</v>
      </c>
      <c r="P649" s="100">
        <v>0</v>
      </c>
      <c r="Q649" s="100">
        <v>0</v>
      </c>
      <c r="R649" s="100">
        <v>0</v>
      </c>
      <c r="S649" s="100">
        <v>0</v>
      </c>
      <c r="T649" s="100">
        <v>0</v>
      </c>
      <c r="U649" s="100">
        <v>1.8</v>
      </c>
    </row>
    <row r="650" spans="4:21" ht="23.15">
      <c r="D650" s="97" t="s">
        <v>695</v>
      </c>
      <c r="E650" s="97" t="s">
        <v>689</v>
      </c>
      <c r="F650" s="94" t="s">
        <v>696</v>
      </c>
      <c r="G650" s="97">
        <v>7</v>
      </c>
      <c r="H650" s="98" t="s">
        <v>746</v>
      </c>
      <c r="I650" s="99" t="str">
        <f t="shared" si="10"/>
        <v>남원|7</v>
      </c>
      <c r="J650" s="100">
        <v>3.4</v>
      </c>
      <c r="K650" s="100">
        <v>1.4</v>
      </c>
      <c r="L650" s="100">
        <v>0</v>
      </c>
      <c r="M650" s="100">
        <v>0</v>
      </c>
      <c r="N650" s="100">
        <v>0</v>
      </c>
      <c r="O650" s="100">
        <v>0</v>
      </c>
      <c r="P650" s="100">
        <v>0</v>
      </c>
      <c r="Q650" s="100">
        <v>0</v>
      </c>
      <c r="R650" s="100">
        <v>0</v>
      </c>
      <c r="S650" s="100">
        <v>0</v>
      </c>
      <c r="T650" s="100">
        <v>0</v>
      </c>
      <c r="U650" s="100">
        <v>2</v>
      </c>
    </row>
    <row r="651" spans="4:21" ht="23.15">
      <c r="D651" s="97" t="s">
        <v>697</v>
      </c>
      <c r="E651" s="97" t="s">
        <v>689</v>
      </c>
      <c r="F651" s="94" t="s">
        <v>698</v>
      </c>
      <c r="G651" s="97">
        <v>7</v>
      </c>
      <c r="H651" s="98" t="s">
        <v>746</v>
      </c>
      <c r="I651" s="99" t="str">
        <f t="shared" si="10"/>
        <v>부안|7</v>
      </c>
      <c r="J651" s="100">
        <v>3.1</v>
      </c>
      <c r="K651" s="100">
        <v>1.2</v>
      </c>
      <c r="L651" s="100">
        <v>0</v>
      </c>
      <c r="M651" s="100">
        <v>0</v>
      </c>
      <c r="N651" s="100">
        <v>0</v>
      </c>
      <c r="O651" s="100">
        <v>0</v>
      </c>
      <c r="P651" s="100">
        <v>0</v>
      </c>
      <c r="Q651" s="100">
        <v>0</v>
      </c>
      <c r="R651" s="100">
        <v>0</v>
      </c>
      <c r="S651" s="100">
        <v>0</v>
      </c>
      <c r="T651" s="100">
        <v>0</v>
      </c>
      <c r="U651" s="100">
        <v>1.8</v>
      </c>
    </row>
    <row r="652" spans="4:21" ht="23.15">
      <c r="D652" s="97" t="s">
        <v>699</v>
      </c>
      <c r="E652" s="97" t="s">
        <v>689</v>
      </c>
      <c r="F652" s="94" t="s">
        <v>700</v>
      </c>
      <c r="G652" s="97">
        <v>7</v>
      </c>
      <c r="H652" s="98" t="s">
        <v>746</v>
      </c>
      <c r="I652" s="99" t="str">
        <f t="shared" si="10"/>
        <v>순창군|7</v>
      </c>
      <c r="J652" s="100">
        <v>3.7</v>
      </c>
      <c r="K652" s="100">
        <v>1.9</v>
      </c>
      <c r="L652" s="100">
        <v>0</v>
      </c>
      <c r="M652" s="100">
        <v>0</v>
      </c>
      <c r="N652" s="100">
        <v>0</v>
      </c>
      <c r="O652" s="100">
        <v>0</v>
      </c>
      <c r="P652" s="100">
        <v>0</v>
      </c>
      <c r="Q652" s="100">
        <v>0</v>
      </c>
      <c r="R652" s="100">
        <v>0</v>
      </c>
      <c r="S652" s="100">
        <v>0</v>
      </c>
      <c r="T652" s="100">
        <v>0</v>
      </c>
      <c r="U652" s="100">
        <v>2.1</v>
      </c>
    </row>
    <row r="653" spans="4:21" ht="23.15">
      <c r="D653" s="97" t="s">
        <v>701</v>
      </c>
      <c r="E653" s="97" t="s">
        <v>689</v>
      </c>
      <c r="F653" s="94" t="s">
        <v>702</v>
      </c>
      <c r="G653" s="97">
        <v>7</v>
      </c>
      <c r="H653" s="98" t="s">
        <v>746</v>
      </c>
      <c r="I653" s="99" t="str">
        <f t="shared" si="10"/>
        <v>임실|7</v>
      </c>
      <c r="J653" s="100">
        <v>4</v>
      </c>
      <c r="K653" s="100">
        <v>1.8</v>
      </c>
      <c r="L653" s="100">
        <v>0</v>
      </c>
      <c r="M653" s="100">
        <v>0</v>
      </c>
      <c r="N653" s="100">
        <v>0</v>
      </c>
      <c r="O653" s="100">
        <v>0</v>
      </c>
      <c r="P653" s="100">
        <v>0</v>
      </c>
      <c r="Q653" s="100">
        <v>0</v>
      </c>
      <c r="R653" s="100">
        <v>0</v>
      </c>
      <c r="S653" s="100">
        <v>0</v>
      </c>
      <c r="T653" s="100">
        <v>0</v>
      </c>
      <c r="U653" s="100">
        <v>2.6</v>
      </c>
    </row>
    <row r="654" spans="4:21" ht="23.15">
      <c r="D654" s="97" t="s">
        <v>703</v>
      </c>
      <c r="E654" s="97" t="s">
        <v>689</v>
      </c>
      <c r="F654" s="94" t="s">
        <v>704</v>
      </c>
      <c r="G654" s="97">
        <v>7</v>
      </c>
      <c r="H654" s="98" t="s">
        <v>746</v>
      </c>
      <c r="I654" s="99" t="str">
        <f t="shared" si="10"/>
        <v>장수|7</v>
      </c>
      <c r="J654" s="100">
        <v>4.9000000000000004</v>
      </c>
      <c r="K654" s="100">
        <v>2.9</v>
      </c>
      <c r="L654" s="100">
        <v>0.1</v>
      </c>
      <c r="M654" s="100">
        <v>0</v>
      </c>
      <c r="N654" s="100">
        <v>0</v>
      </c>
      <c r="O654" s="100">
        <v>0</v>
      </c>
      <c r="P654" s="100">
        <v>0</v>
      </c>
      <c r="Q654" s="100">
        <v>0</v>
      </c>
      <c r="R654" s="100">
        <v>0</v>
      </c>
      <c r="S654" s="100">
        <v>0</v>
      </c>
      <c r="T654" s="100">
        <v>0</v>
      </c>
      <c r="U654" s="100">
        <v>3.8</v>
      </c>
    </row>
    <row r="655" spans="4:21" ht="23.15">
      <c r="D655" s="97" t="s">
        <v>705</v>
      </c>
      <c r="E655" s="97" t="s">
        <v>689</v>
      </c>
      <c r="F655" s="94" t="s">
        <v>706</v>
      </c>
      <c r="G655" s="97">
        <v>7</v>
      </c>
      <c r="H655" s="98" t="s">
        <v>746</v>
      </c>
      <c r="I655" s="99" t="str">
        <f t="shared" si="10"/>
        <v>전주|7</v>
      </c>
      <c r="J655" s="100">
        <v>3.5</v>
      </c>
      <c r="K655" s="100">
        <v>0.7</v>
      </c>
      <c r="L655" s="100">
        <v>0</v>
      </c>
      <c r="M655" s="100">
        <v>0</v>
      </c>
      <c r="N655" s="100">
        <v>0</v>
      </c>
      <c r="O655" s="100">
        <v>0</v>
      </c>
      <c r="P655" s="100">
        <v>0</v>
      </c>
      <c r="Q655" s="100">
        <v>0</v>
      </c>
      <c r="R655" s="100">
        <v>0</v>
      </c>
      <c r="S655" s="100">
        <v>0</v>
      </c>
      <c r="T655" s="100">
        <v>0.1</v>
      </c>
      <c r="U655" s="100">
        <v>2.6</v>
      </c>
    </row>
    <row r="656" spans="4:21" ht="23.15">
      <c r="D656" s="97" t="s">
        <v>707</v>
      </c>
      <c r="E656" s="97" t="s">
        <v>689</v>
      </c>
      <c r="F656" s="94" t="s">
        <v>708</v>
      </c>
      <c r="G656" s="97">
        <v>7</v>
      </c>
      <c r="H656" s="98" t="s">
        <v>746</v>
      </c>
      <c r="I656" s="99" t="str">
        <f t="shared" si="10"/>
        <v>정읍|7</v>
      </c>
      <c r="J656" s="100">
        <v>3.7</v>
      </c>
      <c r="K656" s="100">
        <v>2.1</v>
      </c>
      <c r="L656" s="100">
        <v>0</v>
      </c>
      <c r="M656" s="100">
        <v>0</v>
      </c>
      <c r="N656" s="100">
        <v>0</v>
      </c>
      <c r="O656" s="100">
        <v>0</v>
      </c>
      <c r="P656" s="100">
        <v>0</v>
      </c>
      <c r="Q656" s="100">
        <v>0</v>
      </c>
      <c r="R656" s="100">
        <v>0</v>
      </c>
      <c r="S656" s="100">
        <v>0</v>
      </c>
      <c r="T656" s="100">
        <v>0</v>
      </c>
      <c r="U656" s="100">
        <v>2.7</v>
      </c>
    </row>
    <row r="657" spans="4:21" ht="23.15">
      <c r="D657" s="97" t="s">
        <v>709</v>
      </c>
      <c r="E657" s="97" t="s">
        <v>710</v>
      </c>
      <c r="F657" s="94" t="s">
        <v>711</v>
      </c>
      <c r="G657" s="97">
        <v>7</v>
      </c>
      <c r="H657" s="98" t="s">
        <v>746</v>
      </c>
      <c r="I657" s="99" t="str">
        <f t="shared" si="10"/>
        <v>고산|7</v>
      </c>
      <c r="J657" s="100">
        <v>0.2</v>
      </c>
      <c r="K657" s="100">
        <v>0</v>
      </c>
      <c r="L657" s="100">
        <v>0</v>
      </c>
      <c r="M657" s="100">
        <v>0</v>
      </c>
      <c r="N657" s="100">
        <v>0</v>
      </c>
      <c r="O657" s="100">
        <v>0</v>
      </c>
      <c r="P657" s="100">
        <v>0</v>
      </c>
      <c r="Q657" s="100">
        <v>0</v>
      </c>
      <c r="R657" s="100">
        <v>0</v>
      </c>
      <c r="S657" s="100">
        <v>0</v>
      </c>
      <c r="T657" s="100">
        <v>0</v>
      </c>
      <c r="U657" s="100">
        <v>0</v>
      </c>
    </row>
    <row r="658" spans="4:21" ht="23.15">
      <c r="D658" s="97" t="s">
        <v>712</v>
      </c>
      <c r="E658" s="97" t="s">
        <v>710</v>
      </c>
      <c r="F658" s="94" t="s">
        <v>713</v>
      </c>
      <c r="G658" s="97">
        <v>7</v>
      </c>
      <c r="H658" s="98" t="s">
        <v>746</v>
      </c>
      <c r="I658" s="99" t="str">
        <f t="shared" si="10"/>
        <v>서귀포|7</v>
      </c>
      <c r="J658" s="100">
        <v>0.1</v>
      </c>
      <c r="K658" s="100">
        <v>0</v>
      </c>
      <c r="L658" s="100">
        <v>0</v>
      </c>
      <c r="M658" s="100">
        <v>0</v>
      </c>
      <c r="N658" s="100">
        <v>0</v>
      </c>
      <c r="O658" s="100">
        <v>0</v>
      </c>
      <c r="P658" s="100">
        <v>0</v>
      </c>
      <c r="Q658" s="100">
        <v>0</v>
      </c>
      <c r="R658" s="100">
        <v>0</v>
      </c>
      <c r="S658" s="100">
        <v>0</v>
      </c>
      <c r="T658" s="100">
        <v>0</v>
      </c>
      <c r="U658" s="100">
        <v>0</v>
      </c>
    </row>
    <row r="659" spans="4:21" ht="23.15">
      <c r="D659" s="97" t="s">
        <v>714</v>
      </c>
      <c r="E659" s="97" t="s">
        <v>710</v>
      </c>
      <c r="F659" s="94" t="s">
        <v>715</v>
      </c>
      <c r="G659" s="97">
        <v>7</v>
      </c>
      <c r="H659" s="98" t="s">
        <v>746</v>
      </c>
      <c r="I659" s="99" t="str">
        <f t="shared" si="10"/>
        <v>성산|7</v>
      </c>
      <c r="J659" s="100">
        <v>0.6</v>
      </c>
      <c r="K659" s="100">
        <v>0.1</v>
      </c>
      <c r="L659" s="100">
        <v>0</v>
      </c>
      <c r="M659" s="100">
        <v>0</v>
      </c>
      <c r="N659" s="100">
        <v>0</v>
      </c>
      <c r="O659" s="100">
        <v>0</v>
      </c>
      <c r="P659" s="100">
        <v>0</v>
      </c>
      <c r="Q659" s="100">
        <v>0</v>
      </c>
      <c r="R659" s="100">
        <v>0</v>
      </c>
      <c r="S659" s="100">
        <v>0</v>
      </c>
      <c r="T659" s="100">
        <v>0</v>
      </c>
      <c r="U659" s="100">
        <v>0</v>
      </c>
    </row>
    <row r="660" spans="4:21" ht="23.15">
      <c r="D660" s="97" t="s">
        <v>716</v>
      </c>
      <c r="E660" s="97" t="s">
        <v>710</v>
      </c>
      <c r="F660" s="94" t="s">
        <v>717</v>
      </c>
      <c r="G660" s="97">
        <v>7</v>
      </c>
      <c r="H660" s="98" t="s">
        <v>746</v>
      </c>
      <c r="I660" s="99" t="str">
        <f t="shared" si="10"/>
        <v>제주|7</v>
      </c>
      <c r="J660" s="100">
        <v>0.6</v>
      </c>
      <c r="K660" s="100">
        <v>0.2</v>
      </c>
      <c r="L660" s="100">
        <v>0</v>
      </c>
      <c r="M660" s="100">
        <v>0</v>
      </c>
      <c r="N660" s="100">
        <v>0</v>
      </c>
      <c r="O660" s="100">
        <v>0</v>
      </c>
      <c r="P660" s="100">
        <v>0</v>
      </c>
      <c r="Q660" s="100">
        <v>0</v>
      </c>
      <c r="R660" s="100">
        <v>0</v>
      </c>
      <c r="S660" s="100">
        <v>0</v>
      </c>
      <c r="T660" s="100">
        <v>0</v>
      </c>
      <c r="U660" s="100">
        <v>0.2</v>
      </c>
    </row>
    <row r="661" spans="4:21" ht="23.15">
      <c r="D661" s="97" t="s">
        <v>718</v>
      </c>
      <c r="E661" s="97" t="s">
        <v>719</v>
      </c>
      <c r="F661" s="94" t="s">
        <v>720</v>
      </c>
      <c r="G661" s="97">
        <v>7</v>
      </c>
      <c r="H661" s="98" t="s">
        <v>746</v>
      </c>
      <c r="I661" s="99" t="str">
        <f t="shared" si="10"/>
        <v>금산|7</v>
      </c>
      <c r="J661" s="100">
        <v>3.9</v>
      </c>
      <c r="K661" s="100">
        <v>1.6</v>
      </c>
      <c r="L661" s="100">
        <v>0</v>
      </c>
      <c r="M661" s="100">
        <v>0</v>
      </c>
      <c r="N661" s="100">
        <v>0</v>
      </c>
      <c r="O661" s="100">
        <v>0</v>
      </c>
      <c r="P661" s="100">
        <v>0</v>
      </c>
      <c r="Q661" s="100">
        <v>0</v>
      </c>
      <c r="R661" s="100">
        <v>0</v>
      </c>
      <c r="S661" s="100">
        <v>0</v>
      </c>
      <c r="T661" s="100">
        <v>0</v>
      </c>
      <c r="U661" s="100">
        <v>3.1</v>
      </c>
    </row>
    <row r="662" spans="4:21" ht="23.15">
      <c r="D662" s="97" t="s">
        <v>721</v>
      </c>
      <c r="E662" s="97" t="s">
        <v>719</v>
      </c>
      <c r="F662" s="94" t="s">
        <v>722</v>
      </c>
      <c r="G662" s="97">
        <v>7</v>
      </c>
      <c r="H662" s="98" t="s">
        <v>746</v>
      </c>
      <c r="I662" s="99" t="str">
        <f t="shared" si="10"/>
        <v>보령|7</v>
      </c>
      <c r="J662" s="100">
        <v>3.6</v>
      </c>
      <c r="K662" s="100">
        <v>1.3</v>
      </c>
      <c r="L662" s="100">
        <v>0</v>
      </c>
      <c r="M662" s="100">
        <v>0</v>
      </c>
      <c r="N662" s="100">
        <v>0</v>
      </c>
      <c r="O662" s="100">
        <v>0</v>
      </c>
      <c r="P662" s="100">
        <v>0</v>
      </c>
      <c r="Q662" s="100">
        <v>0</v>
      </c>
      <c r="R662" s="100">
        <v>0</v>
      </c>
      <c r="S662" s="100">
        <v>0</v>
      </c>
      <c r="T662" s="100">
        <v>0</v>
      </c>
      <c r="U662" s="100">
        <v>2.6</v>
      </c>
    </row>
    <row r="663" spans="4:21" ht="23.15">
      <c r="D663" s="97" t="s">
        <v>723</v>
      </c>
      <c r="E663" s="97" t="s">
        <v>719</v>
      </c>
      <c r="F663" s="94" t="s">
        <v>724</v>
      </c>
      <c r="G663" s="97">
        <v>7</v>
      </c>
      <c r="H663" s="98" t="s">
        <v>746</v>
      </c>
      <c r="I663" s="99" t="str">
        <f t="shared" si="10"/>
        <v>부여|7</v>
      </c>
      <c r="J663" s="100">
        <v>3.6</v>
      </c>
      <c r="K663" s="100">
        <v>0.9</v>
      </c>
      <c r="L663" s="100">
        <v>0</v>
      </c>
      <c r="M663" s="100">
        <v>0</v>
      </c>
      <c r="N663" s="100">
        <v>0</v>
      </c>
      <c r="O663" s="100">
        <v>0</v>
      </c>
      <c r="P663" s="100">
        <v>0</v>
      </c>
      <c r="Q663" s="100">
        <v>0</v>
      </c>
      <c r="R663" s="100">
        <v>0</v>
      </c>
      <c r="S663" s="100">
        <v>0</v>
      </c>
      <c r="T663" s="100">
        <v>0</v>
      </c>
      <c r="U663" s="100">
        <v>2.5</v>
      </c>
    </row>
    <row r="664" spans="4:21" ht="23.15">
      <c r="D664" s="97" t="s">
        <v>91</v>
      </c>
      <c r="E664" s="97" t="s">
        <v>719</v>
      </c>
      <c r="F664" s="94" t="s">
        <v>725</v>
      </c>
      <c r="G664" s="97">
        <v>7</v>
      </c>
      <c r="H664" s="98" t="s">
        <v>746</v>
      </c>
      <c r="I664" s="99" t="str">
        <f t="shared" si="10"/>
        <v>서산|7</v>
      </c>
      <c r="J664" s="100">
        <v>5.5</v>
      </c>
      <c r="K664" s="100">
        <v>2.8</v>
      </c>
      <c r="L664" s="100">
        <v>0</v>
      </c>
      <c r="M664" s="100">
        <v>0</v>
      </c>
      <c r="N664" s="100">
        <v>0</v>
      </c>
      <c r="O664" s="100">
        <v>0</v>
      </c>
      <c r="P664" s="100">
        <v>0</v>
      </c>
      <c r="Q664" s="100">
        <v>0</v>
      </c>
      <c r="R664" s="100">
        <v>0</v>
      </c>
      <c r="S664" s="100">
        <v>0</v>
      </c>
      <c r="T664" s="100">
        <v>0.1</v>
      </c>
      <c r="U664" s="100">
        <v>3.7</v>
      </c>
    </row>
    <row r="665" spans="4:21" ht="23.15">
      <c r="D665" s="97" t="s">
        <v>726</v>
      </c>
      <c r="E665" s="97" t="s">
        <v>719</v>
      </c>
      <c r="F665" s="94" t="s">
        <v>727</v>
      </c>
      <c r="G665" s="97">
        <v>7</v>
      </c>
      <c r="H665" s="98" t="s">
        <v>746</v>
      </c>
      <c r="I665" s="99" t="str">
        <f t="shared" si="10"/>
        <v>천안|7</v>
      </c>
      <c r="J665" s="100">
        <v>5.6</v>
      </c>
      <c r="K665" s="100">
        <v>2.4</v>
      </c>
      <c r="L665" s="100">
        <v>0</v>
      </c>
      <c r="M665" s="100">
        <v>0</v>
      </c>
      <c r="N665" s="100">
        <v>0</v>
      </c>
      <c r="O665" s="100">
        <v>0</v>
      </c>
      <c r="P665" s="100">
        <v>0</v>
      </c>
      <c r="Q665" s="100">
        <v>0</v>
      </c>
      <c r="R665" s="100">
        <v>0</v>
      </c>
      <c r="S665" s="100">
        <v>0</v>
      </c>
      <c r="T665" s="100">
        <v>0</v>
      </c>
      <c r="U665" s="100">
        <v>3.9</v>
      </c>
    </row>
    <row r="666" spans="4:21" ht="23.15">
      <c r="D666" s="97" t="s">
        <v>728</v>
      </c>
      <c r="E666" s="97" t="s">
        <v>719</v>
      </c>
      <c r="F666" s="94" t="s">
        <v>729</v>
      </c>
      <c r="G666" s="97">
        <v>7</v>
      </c>
      <c r="H666" s="98" t="s">
        <v>746</v>
      </c>
      <c r="I666" s="99" t="str">
        <f t="shared" si="10"/>
        <v>홍성|7</v>
      </c>
      <c r="J666" s="100">
        <v>4.7</v>
      </c>
      <c r="K666" s="100">
        <v>2.2000000000000002</v>
      </c>
      <c r="L666" s="100">
        <v>0</v>
      </c>
      <c r="M666" s="100">
        <v>0</v>
      </c>
      <c r="N666" s="100">
        <v>0</v>
      </c>
      <c r="O666" s="100">
        <v>0</v>
      </c>
      <c r="P666" s="100">
        <v>0</v>
      </c>
      <c r="Q666" s="100">
        <v>0</v>
      </c>
      <c r="R666" s="100">
        <v>0</v>
      </c>
      <c r="S666" s="100">
        <v>0</v>
      </c>
      <c r="T666" s="100">
        <v>0</v>
      </c>
      <c r="U666" s="100">
        <v>4.0999999999999996</v>
      </c>
    </row>
    <row r="667" spans="4:21" ht="23.15">
      <c r="D667" s="97" t="s">
        <v>730</v>
      </c>
      <c r="E667" s="97" t="s">
        <v>731</v>
      </c>
      <c r="F667" s="94" t="s">
        <v>732</v>
      </c>
      <c r="G667" s="97">
        <v>7</v>
      </c>
      <c r="H667" s="98" t="s">
        <v>746</v>
      </c>
      <c r="I667" s="99" t="str">
        <f t="shared" si="10"/>
        <v>보은|7</v>
      </c>
      <c r="J667" s="100">
        <v>5</v>
      </c>
      <c r="K667" s="100">
        <v>1.9</v>
      </c>
      <c r="L667" s="100">
        <v>0</v>
      </c>
      <c r="M667" s="100">
        <v>0</v>
      </c>
      <c r="N667" s="100">
        <v>0</v>
      </c>
      <c r="O667" s="100">
        <v>0</v>
      </c>
      <c r="P667" s="100">
        <v>0</v>
      </c>
      <c r="Q667" s="100">
        <v>0</v>
      </c>
      <c r="R667" s="100">
        <v>0</v>
      </c>
      <c r="S667" s="100">
        <v>0</v>
      </c>
      <c r="T667" s="100">
        <v>0</v>
      </c>
      <c r="U667" s="100">
        <v>3.9</v>
      </c>
    </row>
    <row r="668" spans="4:21" ht="23.15">
      <c r="D668" s="97" t="s">
        <v>733</v>
      </c>
      <c r="E668" s="97" t="s">
        <v>731</v>
      </c>
      <c r="F668" s="94" t="s">
        <v>734</v>
      </c>
      <c r="G668" s="97">
        <v>7</v>
      </c>
      <c r="H668" s="98" t="s">
        <v>746</v>
      </c>
      <c r="I668" s="99" t="str">
        <f t="shared" si="10"/>
        <v>제천|7</v>
      </c>
      <c r="J668" s="100">
        <v>8</v>
      </c>
      <c r="K668" s="100">
        <v>3.1</v>
      </c>
      <c r="L668" s="100">
        <v>0.1</v>
      </c>
      <c r="M668" s="100">
        <v>0</v>
      </c>
      <c r="N668" s="100">
        <v>0</v>
      </c>
      <c r="O668" s="100">
        <v>0</v>
      </c>
      <c r="P668" s="100">
        <v>0</v>
      </c>
      <c r="Q668" s="100">
        <v>0</v>
      </c>
      <c r="R668" s="100">
        <v>0</v>
      </c>
      <c r="S668" s="100">
        <v>0</v>
      </c>
      <c r="T668" s="100">
        <v>0.1</v>
      </c>
      <c r="U668" s="100">
        <v>7</v>
      </c>
    </row>
    <row r="669" spans="4:21" ht="23.15">
      <c r="D669" s="97" t="s">
        <v>735</v>
      </c>
      <c r="E669" s="97" t="s">
        <v>731</v>
      </c>
      <c r="F669" s="94" t="s">
        <v>736</v>
      </c>
      <c r="G669" s="97">
        <v>7</v>
      </c>
      <c r="H669" s="98" t="s">
        <v>746</v>
      </c>
      <c r="I669" s="99" t="str">
        <f t="shared" si="10"/>
        <v>청주|7</v>
      </c>
      <c r="J669" s="100">
        <v>5.3</v>
      </c>
      <c r="K669" s="100">
        <v>2.2999999999999998</v>
      </c>
      <c r="L669" s="100">
        <v>0</v>
      </c>
      <c r="M669" s="100">
        <v>0</v>
      </c>
      <c r="N669" s="100">
        <v>0</v>
      </c>
      <c r="O669" s="100">
        <v>0</v>
      </c>
      <c r="P669" s="100">
        <v>0</v>
      </c>
      <c r="Q669" s="100">
        <v>0</v>
      </c>
      <c r="R669" s="100">
        <v>0</v>
      </c>
      <c r="S669" s="100">
        <v>0</v>
      </c>
      <c r="T669" s="100">
        <v>0.1</v>
      </c>
      <c r="U669" s="100">
        <v>4</v>
      </c>
    </row>
    <row r="670" spans="4:21" ht="23.15">
      <c r="D670" s="97" t="s">
        <v>737</v>
      </c>
      <c r="E670" s="97" t="s">
        <v>731</v>
      </c>
      <c r="F670" s="94" t="s">
        <v>738</v>
      </c>
      <c r="G670" s="97">
        <v>7</v>
      </c>
      <c r="H670" s="98" t="s">
        <v>746</v>
      </c>
      <c r="I670" s="99" t="str">
        <f t="shared" si="10"/>
        <v>추풍령|7</v>
      </c>
      <c r="J670" s="100">
        <v>5.4</v>
      </c>
      <c r="K670" s="100">
        <v>2.4</v>
      </c>
      <c r="L670" s="100">
        <v>0</v>
      </c>
      <c r="M670" s="100">
        <v>0</v>
      </c>
      <c r="N670" s="100">
        <v>0</v>
      </c>
      <c r="O670" s="100">
        <v>0</v>
      </c>
      <c r="P670" s="100">
        <v>0</v>
      </c>
      <c r="Q670" s="100">
        <v>0</v>
      </c>
      <c r="R670" s="100">
        <v>0</v>
      </c>
      <c r="S670" s="100">
        <v>0</v>
      </c>
      <c r="T670" s="100">
        <v>0.1</v>
      </c>
      <c r="U670" s="100">
        <v>4.5999999999999996</v>
      </c>
    </row>
    <row r="671" spans="4:21" ht="23.15">
      <c r="D671" s="97" t="s">
        <v>739</v>
      </c>
      <c r="E671" s="97" t="s">
        <v>731</v>
      </c>
      <c r="F671" s="94" t="s">
        <v>740</v>
      </c>
      <c r="G671" s="97">
        <v>7</v>
      </c>
      <c r="H671" s="98" t="s">
        <v>746</v>
      </c>
      <c r="I671" s="99" t="str">
        <f t="shared" si="10"/>
        <v>충주|7</v>
      </c>
      <c r="J671" s="100">
        <v>6.6</v>
      </c>
      <c r="K671" s="100">
        <v>2.2999999999999998</v>
      </c>
      <c r="L671" s="100">
        <v>0</v>
      </c>
      <c r="M671" s="100">
        <v>0</v>
      </c>
      <c r="N671" s="100">
        <v>0</v>
      </c>
      <c r="O671" s="100">
        <v>0</v>
      </c>
      <c r="P671" s="100">
        <v>0</v>
      </c>
      <c r="Q671" s="100">
        <v>0</v>
      </c>
      <c r="R671" s="100">
        <v>0</v>
      </c>
      <c r="S671" s="100">
        <v>0</v>
      </c>
      <c r="T671" s="100">
        <v>0</v>
      </c>
      <c r="U671" s="100">
        <v>5</v>
      </c>
    </row>
    <row r="672" spans="4:21">
      <c r="D672" s="97" t="s">
        <v>535</v>
      </c>
      <c r="E672" s="97" t="s">
        <v>536</v>
      </c>
      <c r="F672" s="94" t="s">
        <v>537</v>
      </c>
      <c r="G672" s="97">
        <v>8</v>
      </c>
      <c r="H672" s="98" t="s">
        <v>747</v>
      </c>
      <c r="I672" s="99" t="str">
        <f t="shared" si="10"/>
        <v>강릉|8</v>
      </c>
      <c r="J672" s="100">
        <v>0.9</v>
      </c>
      <c r="K672" s="100">
        <v>0</v>
      </c>
      <c r="L672" s="100">
        <v>0</v>
      </c>
      <c r="M672" s="100">
        <v>0</v>
      </c>
      <c r="N672" s="100">
        <v>0</v>
      </c>
      <c r="O672" s="100">
        <v>0</v>
      </c>
      <c r="P672" s="100">
        <v>0</v>
      </c>
      <c r="Q672" s="100">
        <v>0</v>
      </c>
      <c r="R672" s="100">
        <v>0</v>
      </c>
      <c r="S672" s="100">
        <v>0</v>
      </c>
      <c r="T672" s="100">
        <v>0</v>
      </c>
      <c r="U672" s="100">
        <v>0.1</v>
      </c>
    </row>
    <row r="673" spans="4:21">
      <c r="D673" s="97" t="s">
        <v>539</v>
      </c>
      <c r="E673" s="97" t="s">
        <v>536</v>
      </c>
      <c r="F673" s="94" t="s">
        <v>540</v>
      </c>
      <c r="G673" s="97">
        <v>8</v>
      </c>
      <c r="H673" s="98" t="s">
        <v>747</v>
      </c>
      <c r="I673" s="99" t="str">
        <f t="shared" si="10"/>
        <v>대관령|8</v>
      </c>
      <c r="J673" s="100">
        <v>15.9</v>
      </c>
      <c r="K673" s="100">
        <v>8.6999999999999993</v>
      </c>
      <c r="L673" s="100">
        <v>1.6</v>
      </c>
      <c r="M673" s="100">
        <v>0</v>
      </c>
      <c r="N673" s="100">
        <v>0</v>
      </c>
      <c r="O673" s="100">
        <v>0</v>
      </c>
      <c r="P673" s="100">
        <v>0</v>
      </c>
      <c r="Q673" s="100">
        <v>0</v>
      </c>
      <c r="R673" s="100">
        <v>0</v>
      </c>
      <c r="S673" s="100">
        <v>0</v>
      </c>
      <c r="T673" s="100">
        <v>0.3</v>
      </c>
      <c r="U673" s="100">
        <v>9.8000000000000007</v>
      </c>
    </row>
    <row r="674" spans="4:21">
      <c r="D674" s="97" t="s">
        <v>541</v>
      </c>
      <c r="E674" s="97" t="s">
        <v>536</v>
      </c>
      <c r="F674" s="94" t="s">
        <v>542</v>
      </c>
      <c r="G674" s="97">
        <v>8</v>
      </c>
      <c r="H674" s="98" t="s">
        <v>747</v>
      </c>
      <c r="I674" s="99" t="str">
        <f t="shared" si="10"/>
        <v>동해|8</v>
      </c>
      <c r="J674" s="100">
        <v>0.7</v>
      </c>
      <c r="K674" s="100">
        <v>0</v>
      </c>
      <c r="L674" s="100">
        <v>0</v>
      </c>
      <c r="M674" s="100">
        <v>0</v>
      </c>
      <c r="N674" s="100">
        <v>0</v>
      </c>
      <c r="O674" s="100">
        <v>0</v>
      </c>
      <c r="P674" s="100">
        <v>0</v>
      </c>
      <c r="Q674" s="100">
        <v>0</v>
      </c>
      <c r="R674" s="100">
        <v>0</v>
      </c>
      <c r="S674" s="100">
        <v>0</v>
      </c>
      <c r="T674" s="100">
        <v>0</v>
      </c>
      <c r="U674" s="100">
        <v>0</v>
      </c>
    </row>
    <row r="675" spans="4:21">
      <c r="D675" s="97" t="s">
        <v>543</v>
      </c>
      <c r="E675" s="97" t="s">
        <v>536</v>
      </c>
      <c r="F675" s="94" t="s">
        <v>544</v>
      </c>
      <c r="G675" s="97">
        <v>8</v>
      </c>
      <c r="H675" s="98" t="s">
        <v>747</v>
      </c>
      <c r="I675" s="99" t="str">
        <f t="shared" si="10"/>
        <v>북강릉|8</v>
      </c>
      <c r="J675" s="100">
        <v>1.4</v>
      </c>
      <c r="K675" s="100">
        <v>0.2</v>
      </c>
      <c r="L675" s="100">
        <v>0</v>
      </c>
      <c r="M675" s="100">
        <v>0</v>
      </c>
      <c r="N675" s="100">
        <v>0</v>
      </c>
      <c r="O675" s="100">
        <v>0</v>
      </c>
      <c r="P675" s="100">
        <v>0</v>
      </c>
      <c r="Q675" s="100">
        <v>0</v>
      </c>
      <c r="R675" s="100">
        <v>0</v>
      </c>
      <c r="S675" s="100">
        <v>0</v>
      </c>
      <c r="T675" s="100">
        <v>0</v>
      </c>
      <c r="U675" s="100">
        <v>0.4</v>
      </c>
    </row>
    <row r="676" spans="4:21">
      <c r="D676" s="97" t="s">
        <v>545</v>
      </c>
      <c r="E676" s="97" t="s">
        <v>536</v>
      </c>
      <c r="F676" s="94" t="s">
        <v>546</v>
      </c>
      <c r="G676" s="97">
        <v>8</v>
      </c>
      <c r="H676" s="98" t="s">
        <v>747</v>
      </c>
      <c r="I676" s="99" t="str">
        <f t="shared" si="10"/>
        <v>북춘천|8</v>
      </c>
      <c r="J676" s="100">
        <v>11.9</v>
      </c>
      <c r="K676" s="100">
        <v>4.5</v>
      </c>
      <c r="L676" s="100">
        <v>0</v>
      </c>
      <c r="M676" s="100">
        <v>0</v>
      </c>
      <c r="N676" s="100">
        <v>0</v>
      </c>
      <c r="O676" s="100">
        <v>0</v>
      </c>
      <c r="P676" s="100">
        <v>0</v>
      </c>
      <c r="Q676" s="100">
        <v>0</v>
      </c>
      <c r="R676" s="100">
        <v>0</v>
      </c>
      <c r="S676" s="100">
        <v>0</v>
      </c>
      <c r="T676" s="100">
        <v>0</v>
      </c>
      <c r="U676" s="100">
        <v>8.6</v>
      </c>
    </row>
    <row r="677" spans="4:21">
      <c r="D677" s="97" t="s">
        <v>547</v>
      </c>
      <c r="E677" s="97" t="s">
        <v>536</v>
      </c>
      <c r="F677" s="94" t="s">
        <v>548</v>
      </c>
      <c r="G677" s="97">
        <v>8</v>
      </c>
      <c r="H677" s="98" t="s">
        <v>747</v>
      </c>
      <c r="I677" s="99" t="str">
        <f t="shared" si="10"/>
        <v>속초|8</v>
      </c>
      <c r="J677" s="100">
        <v>1.7</v>
      </c>
      <c r="K677" s="100">
        <v>0.1</v>
      </c>
      <c r="L677" s="100">
        <v>0</v>
      </c>
      <c r="M677" s="100">
        <v>0</v>
      </c>
      <c r="N677" s="100">
        <v>0</v>
      </c>
      <c r="O677" s="100">
        <v>0</v>
      </c>
      <c r="P677" s="100">
        <v>0</v>
      </c>
      <c r="Q677" s="100">
        <v>0</v>
      </c>
      <c r="R677" s="100">
        <v>0</v>
      </c>
      <c r="S677" s="100">
        <v>0</v>
      </c>
      <c r="T677" s="100">
        <v>0</v>
      </c>
      <c r="U677" s="100">
        <v>0.6</v>
      </c>
    </row>
    <row r="678" spans="4:21">
      <c r="D678" s="97" t="s">
        <v>549</v>
      </c>
      <c r="E678" s="97" t="s">
        <v>536</v>
      </c>
      <c r="F678" s="94" t="s">
        <v>550</v>
      </c>
      <c r="G678" s="97">
        <v>8</v>
      </c>
      <c r="H678" s="98" t="s">
        <v>747</v>
      </c>
      <c r="I678" s="99" t="str">
        <f t="shared" si="10"/>
        <v>영월|8</v>
      </c>
      <c r="J678" s="100">
        <v>6</v>
      </c>
      <c r="K678" s="100">
        <v>1.4</v>
      </c>
      <c r="L678" s="100">
        <v>0</v>
      </c>
      <c r="M678" s="100">
        <v>0</v>
      </c>
      <c r="N678" s="100">
        <v>0</v>
      </c>
      <c r="O678" s="100">
        <v>0</v>
      </c>
      <c r="P678" s="100">
        <v>0</v>
      </c>
      <c r="Q678" s="100">
        <v>0</v>
      </c>
      <c r="R678" s="100">
        <v>0</v>
      </c>
      <c r="S678" s="100">
        <v>0</v>
      </c>
      <c r="T678" s="100">
        <v>0</v>
      </c>
      <c r="U678" s="100">
        <v>3.7</v>
      </c>
    </row>
    <row r="679" spans="4:21">
      <c r="D679" s="97" t="s">
        <v>551</v>
      </c>
      <c r="E679" s="97" t="s">
        <v>536</v>
      </c>
      <c r="F679" s="94" t="s">
        <v>552</v>
      </c>
      <c r="G679" s="97">
        <v>8</v>
      </c>
      <c r="H679" s="98" t="s">
        <v>747</v>
      </c>
      <c r="I679" s="99" t="str">
        <f t="shared" si="10"/>
        <v>원주|8</v>
      </c>
      <c r="J679" s="100">
        <v>3.8</v>
      </c>
      <c r="K679" s="100">
        <v>0.6</v>
      </c>
      <c r="L679" s="100">
        <v>0</v>
      </c>
      <c r="M679" s="100">
        <v>0</v>
      </c>
      <c r="N679" s="100">
        <v>0</v>
      </c>
      <c r="O679" s="100">
        <v>0</v>
      </c>
      <c r="P679" s="100">
        <v>0</v>
      </c>
      <c r="Q679" s="100">
        <v>0</v>
      </c>
      <c r="R679" s="100">
        <v>0</v>
      </c>
      <c r="S679" s="100">
        <v>0</v>
      </c>
      <c r="T679" s="100">
        <v>0</v>
      </c>
      <c r="U679" s="100">
        <v>1.9</v>
      </c>
    </row>
    <row r="680" spans="4:21">
      <c r="D680" s="97" t="s">
        <v>553</v>
      </c>
      <c r="E680" s="97" t="s">
        <v>536</v>
      </c>
      <c r="F680" s="94" t="s">
        <v>554</v>
      </c>
      <c r="G680" s="97">
        <v>8</v>
      </c>
      <c r="H680" s="98" t="s">
        <v>747</v>
      </c>
      <c r="I680" s="99" t="str">
        <f t="shared" si="10"/>
        <v>인제|8</v>
      </c>
      <c r="J680" s="100">
        <v>10.199999999999999</v>
      </c>
      <c r="K680" s="100">
        <v>3.1</v>
      </c>
      <c r="L680" s="100">
        <v>0.1</v>
      </c>
      <c r="M680" s="100">
        <v>0</v>
      </c>
      <c r="N680" s="100">
        <v>0</v>
      </c>
      <c r="O680" s="100">
        <v>0</v>
      </c>
      <c r="P680" s="100">
        <v>0</v>
      </c>
      <c r="Q680" s="100">
        <v>0</v>
      </c>
      <c r="R680" s="100">
        <v>0</v>
      </c>
      <c r="S680" s="100">
        <v>0</v>
      </c>
      <c r="T680" s="100">
        <v>0</v>
      </c>
      <c r="U680" s="100">
        <v>5.9</v>
      </c>
    </row>
    <row r="681" spans="4:21">
      <c r="D681" s="97" t="s">
        <v>555</v>
      </c>
      <c r="E681" s="97" t="s">
        <v>536</v>
      </c>
      <c r="F681" s="94" t="s">
        <v>556</v>
      </c>
      <c r="G681" s="97">
        <v>8</v>
      </c>
      <c r="H681" s="98" t="s">
        <v>747</v>
      </c>
      <c r="I681" s="99" t="str">
        <f t="shared" si="10"/>
        <v>정선군|8</v>
      </c>
      <c r="J681" s="100">
        <v>7.9</v>
      </c>
      <c r="K681" s="100">
        <v>2.2999999999999998</v>
      </c>
      <c r="L681" s="100">
        <v>0.2</v>
      </c>
      <c r="M681" s="100">
        <v>0</v>
      </c>
      <c r="N681" s="100">
        <v>0</v>
      </c>
      <c r="O681" s="100">
        <v>0</v>
      </c>
      <c r="P681" s="100">
        <v>0</v>
      </c>
      <c r="Q681" s="100">
        <v>0</v>
      </c>
      <c r="R681" s="100">
        <v>0</v>
      </c>
      <c r="S681" s="100">
        <v>0</v>
      </c>
      <c r="T681" s="100">
        <v>0</v>
      </c>
      <c r="U681" s="100">
        <v>4.9000000000000004</v>
      </c>
    </row>
    <row r="682" spans="4:21">
      <c r="D682" s="97" t="s">
        <v>557</v>
      </c>
      <c r="E682" s="97" t="s">
        <v>536</v>
      </c>
      <c r="F682" s="94" t="s">
        <v>558</v>
      </c>
      <c r="G682" s="97">
        <v>8</v>
      </c>
      <c r="H682" s="98" t="s">
        <v>747</v>
      </c>
      <c r="I682" s="99" t="str">
        <f t="shared" si="10"/>
        <v>철원|8</v>
      </c>
      <c r="J682" s="100">
        <v>14.3</v>
      </c>
      <c r="K682" s="100">
        <v>6</v>
      </c>
      <c r="L682" s="100">
        <v>0.1</v>
      </c>
      <c r="M682" s="100">
        <v>0</v>
      </c>
      <c r="N682" s="100">
        <v>0</v>
      </c>
      <c r="O682" s="100">
        <v>0</v>
      </c>
      <c r="P682" s="100">
        <v>0</v>
      </c>
      <c r="Q682" s="100">
        <v>0</v>
      </c>
      <c r="R682" s="100">
        <v>0</v>
      </c>
      <c r="S682" s="100">
        <v>0</v>
      </c>
      <c r="T682" s="100">
        <v>0</v>
      </c>
      <c r="U682" s="100">
        <v>8.6999999999999993</v>
      </c>
    </row>
    <row r="683" spans="4:21">
      <c r="D683" s="97" t="s">
        <v>559</v>
      </c>
      <c r="E683" s="97" t="s">
        <v>536</v>
      </c>
      <c r="F683" s="94" t="s">
        <v>560</v>
      </c>
      <c r="G683" s="97">
        <v>8</v>
      </c>
      <c r="H683" s="98" t="s">
        <v>747</v>
      </c>
      <c r="I683" s="99" t="str">
        <f t="shared" si="10"/>
        <v>춘천|8</v>
      </c>
      <c r="J683" s="100">
        <v>8.9</v>
      </c>
      <c r="K683" s="100">
        <v>3.1</v>
      </c>
      <c r="L683" s="100">
        <v>0</v>
      </c>
      <c r="M683" s="100">
        <v>0</v>
      </c>
      <c r="N683" s="100">
        <v>0</v>
      </c>
      <c r="O683" s="100">
        <v>0</v>
      </c>
      <c r="P683" s="100">
        <v>0</v>
      </c>
      <c r="Q683" s="100">
        <v>0</v>
      </c>
      <c r="R683" s="100">
        <v>0</v>
      </c>
      <c r="S683" s="100">
        <v>0</v>
      </c>
      <c r="T683" s="100">
        <v>0</v>
      </c>
      <c r="U683" s="100">
        <v>4.8</v>
      </c>
    </row>
    <row r="684" spans="4:21">
      <c r="D684" s="97" t="s">
        <v>561</v>
      </c>
      <c r="E684" s="97" t="s">
        <v>536</v>
      </c>
      <c r="F684" s="94" t="s">
        <v>562</v>
      </c>
      <c r="G684" s="97">
        <v>8</v>
      </c>
      <c r="H684" s="98" t="s">
        <v>747</v>
      </c>
      <c r="I684" s="99" t="str">
        <f t="shared" si="10"/>
        <v>태백|8</v>
      </c>
      <c r="J684" s="100">
        <v>8.6</v>
      </c>
      <c r="K684" s="100">
        <v>3.8</v>
      </c>
      <c r="L684" s="100">
        <v>0.3</v>
      </c>
      <c r="M684" s="100">
        <v>0</v>
      </c>
      <c r="N684" s="100">
        <v>0</v>
      </c>
      <c r="O684" s="100">
        <v>0</v>
      </c>
      <c r="P684" s="100">
        <v>0</v>
      </c>
      <c r="Q684" s="100">
        <v>0</v>
      </c>
      <c r="R684" s="100">
        <v>0</v>
      </c>
      <c r="S684" s="100">
        <v>0</v>
      </c>
      <c r="T684" s="100">
        <v>0</v>
      </c>
      <c r="U684" s="100">
        <v>5.0999999999999996</v>
      </c>
    </row>
    <row r="685" spans="4:21">
      <c r="D685" s="97" t="s">
        <v>563</v>
      </c>
      <c r="E685" s="97" t="s">
        <v>536</v>
      </c>
      <c r="F685" s="94" t="s">
        <v>564</v>
      </c>
      <c r="G685" s="97">
        <v>8</v>
      </c>
      <c r="H685" s="98" t="s">
        <v>747</v>
      </c>
      <c r="I685" s="99" t="str">
        <f t="shared" si="10"/>
        <v>홍천|8</v>
      </c>
      <c r="J685" s="100">
        <v>10</v>
      </c>
      <c r="K685" s="100">
        <v>3</v>
      </c>
      <c r="L685" s="100">
        <v>0.1</v>
      </c>
      <c r="M685" s="100">
        <v>0</v>
      </c>
      <c r="N685" s="100">
        <v>0</v>
      </c>
      <c r="O685" s="100">
        <v>0</v>
      </c>
      <c r="P685" s="100">
        <v>0</v>
      </c>
      <c r="Q685" s="100">
        <v>0</v>
      </c>
      <c r="R685" s="100">
        <v>0</v>
      </c>
      <c r="S685" s="100">
        <v>0</v>
      </c>
      <c r="T685" s="100">
        <v>0</v>
      </c>
      <c r="U685" s="100">
        <v>5.7</v>
      </c>
    </row>
    <row r="686" spans="4:21">
      <c r="D686" s="97" t="s">
        <v>565</v>
      </c>
      <c r="E686" s="97" t="s">
        <v>566</v>
      </c>
      <c r="F686" s="94" t="s">
        <v>567</v>
      </c>
      <c r="G686" s="97">
        <v>8</v>
      </c>
      <c r="H686" s="98" t="s">
        <v>747</v>
      </c>
      <c r="I686" s="99" t="str">
        <f t="shared" si="10"/>
        <v>동두천|8</v>
      </c>
      <c r="J686" s="100">
        <v>7</v>
      </c>
      <c r="K686" s="100">
        <v>2.4</v>
      </c>
      <c r="L686" s="100">
        <v>0</v>
      </c>
      <c r="M686" s="100">
        <v>0</v>
      </c>
      <c r="N686" s="100">
        <v>0</v>
      </c>
      <c r="O686" s="100">
        <v>0</v>
      </c>
      <c r="P686" s="100">
        <v>0</v>
      </c>
      <c r="Q686" s="100">
        <v>0</v>
      </c>
      <c r="R686" s="100">
        <v>0</v>
      </c>
      <c r="S686" s="100">
        <v>0</v>
      </c>
      <c r="T686" s="100">
        <v>0</v>
      </c>
      <c r="U686" s="100">
        <v>5</v>
      </c>
    </row>
    <row r="687" spans="4:21">
      <c r="D687" s="97" t="s">
        <v>568</v>
      </c>
      <c r="E687" s="97" t="s">
        <v>566</v>
      </c>
      <c r="F687" s="94" t="s">
        <v>569</v>
      </c>
      <c r="G687" s="97">
        <v>8</v>
      </c>
      <c r="H687" s="98" t="s">
        <v>747</v>
      </c>
      <c r="I687" s="99" t="str">
        <f t="shared" si="10"/>
        <v>수원|8</v>
      </c>
      <c r="J687" s="100">
        <v>2.5</v>
      </c>
      <c r="K687" s="100">
        <v>0.3</v>
      </c>
      <c r="L687" s="100">
        <v>0</v>
      </c>
      <c r="M687" s="100">
        <v>0</v>
      </c>
      <c r="N687" s="100">
        <v>0</v>
      </c>
      <c r="O687" s="100">
        <v>0</v>
      </c>
      <c r="P687" s="100">
        <v>0</v>
      </c>
      <c r="Q687" s="100">
        <v>0</v>
      </c>
      <c r="R687" s="100">
        <v>0</v>
      </c>
      <c r="S687" s="100">
        <v>0</v>
      </c>
      <c r="T687" s="100">
        <v>0</v>
      </c>
      <c r="U687" s="100">
        <v>1.7</v>
      </c>
    </row>
    <row r="688" spans="4:21">
      <c r="D688" s="97" t="s">
        <v>570</v>
      </c>
      <c r="E688" s="97" t="s">
        <v>566</v>
      </c>
      <c r="F688" s="94" t="s">
        <v>571</v>
      </c>
      <c r="G688" s="97">
        <v>8</v>
      </c>
      <c r="H688" s="98" t="s">
        <v>747</v>
      </c>
      <c r="I688" s="99" t="str">
        <f t="shared" si="10"/>
        <v>양평|8</v>
      </c>
      <c r="J688" s="100">
        <v>5.4</v>
      </c>
      <c r="K688" s="100">
        <v>1.2</v>
      </c>
      <c r="L688" s="100">
        <v>0</v>
      </c>
      <c r="M688" s="100">
        <v>0</v>
      </c>
      <c r="N688" s="100">
        <v>0</v>
      </c>
      <c r="O688" s="100">
        <v>0</v>
      </c>
      <c r="P688" s="100">
        <v>0</v>
      </c>
      <c r="Q688" s="100">
        <v>0</v>
      </c>
      <c r="R688" s="100">
        <v>0</v>
      </c>
      <c r="S688" s="100">
        <v>0</v>
      </c>
      <c r="T688" s="100">
        <v>0</v>
      </c>
      <c r="U688" s="100">
        <v>2.9</v>
      </c>
    </row>
    <row r="689" spans="4:21">
      <c r="D689" s="97" t="s">
        <v>572</v>
      </c>
      <c r="E689" s="97" t="s">
        <v>566</v>
      </c>
      <c r="F689" s="94" t="s">
        <v>573</v>
      </c>
      <c r="G689" s="97">
        <v>8</v>
      </c>
      <c r="H689" s="98" t="s">
        <v>747</v>
      </c>
      <c r="I689" s="99" t="str">
        <f t="shared" si="10"/>
        <v>이천|8</v>
      </c>
      <c r="J689" s="100">
        <v>6</v>
      </c>
      <c r="K689" s="100">
        <v>1.8</v>
      </c>
      <c r="L689" s="100">
        <v>0</v>
      </c>
      <c r="M689" s="100">
        <v>0</v>
      </c>
      <c r="N689" s="100">
        <v>0</v>
      </c>
      <c r="O689" s="100">
        <v>0</v>
      </c>
      <c r="P689" s="100">
        <v>0</v>
      </c>
      <c r="Q689" s="100">
        <v>0</v>
      </c>
      <c r="R689" s="100">
        <v>0</v>
      </c>
      <c r="S689" s="100">
        <v>0</v>
      </c>
      <c r="T689" s="100">
        <v>0</v>
      </c>
      <c r="U689" s="100">
        <v>3.8</v>
      </c>
    </row>
    <row r="690" spans="4:21">
      <c r="D690" s="97" t="s">
        <v>574</v>
      </c>
      <c r="E690" s="97" t="s">
        <v>566</v>
      </c>
      <c r="F690" s="94" t="s">
        <v>575</v>
      </c>
      <c r="G690" s="97">
        <v>8</v>
      </c>
      <c r="H690" s="98" t="s">
        <v>747</v>
      </c>
      <c r="I690" s="99" t="str">
        <f t="shared" si="10"/>
        <v>파주|8</v>
      </c>
      <c r="J690" s="100">
        <v>12.2</v>
      </c>
      <c r="K690" s="100">
        <v>5</v>
      </c>
      <c r="L690" s="100">
        <v>0</v>
      </c>
      <c r="M690" s="100">
        <v>0</v>
      </c>
      <c r="N690" s="100">
        <v>0</v>
      </c>
      <c r="O690" s="100">
        <v>0</v>
      </c>
      <c r="P690" s="100">
        <v>0</v>
      </c>
      <c r="Q690" s="100">
        <v>0</v>
      </c>
      <c r="R690" s="100">
        <v>0</v>
      </c>
      <c r="S690" s="100">
        <v>0</v>
      </c>
      <c r="T690" s="100">
        <v>0</v>
      </c>
      <c r="U690" s="100">
        <v>7.1</v>
      </c>
    </row>
    <row r="691" spans="4:21">
      <c r="D691" s="97" t="s">
        <v>576</v>
      </c>
      <c r="E691" s="97" t="s">
        <v>577</v>
      </c>
      <c r="F691" s="94" t="s">
        <v>578</v>
      </c>
      <c r="G691" s="97">
        <v>8</v>
      </c>
      <c r="H691" s="98" t="s">
        <v>747</v>
      </c>
      <c r="I691" s="99" t="str">
        <f t="shared" si="10"/>
        <v>거제|8</v>
      </c>
      <c r="J691" s="100">
        <v>0</v>
      </c>
      <c r="K691" s="100">
        <v>0</v>
      </c>
      <c r="L691" s="100">
        <v>0</v>
      </c>
      <c r="M691" s="100">
        <v>0</v>
      </c>
      <c r="N691" s="100">
        <v>0</v>
      </c>
      <c r="O691" s="100">
        <v>0</v>
      </c>
      <c r="P691" s="100">
        <v>0</v>
      </c>
      <c r="Q691" s="100">
        <v>0</v>
      </c>
      <c r="R691" s="100">
        <v>0</v>
      </c>
      <c r="S691" s="100">
        <v>0</v>
      </c>
      <c r="T691" s="100">
        <v>0</v>
      </c>
      <c r="U691" s="100">
        <v>0</v>
      </c>
    </row>
    <row r="692" spans="4:21">
      <c r="D692" s="97" t="s">
        <v>579</v>
      </c>
      <c r="E692" s="97" t="s">
        <v>577</v>
      </c>
      <c r="F692" s="94" t="s">
        <v>580</v>
      </c>
      <c r="G692" s="97">
        <v>8</v>
      </c>
      <c r="H692" s="98" t="s">
        <v>747</v>
      </c>
      <c r="I692" s="99" t="str">
        <f t="shared" si="10"/>
        <v>거창|8</v>
      </c>
      <c r="J692" s="100">
        <v>2.8</v>
      </c>
      <c r="K692" s="100">
        <v>0.6</v>
      </c>
      <c r="L692" s="100">
        <v>0</v>
      </c>
      <c r="M692" s="100">
        <v>0</v>
      </c>
      <c r="N692" s="100">
        <v>0</v>
      </c>
      <c r="O692" s="100">
        <v>0</v>
      </c>
      <c r="P692" s="100">
        <v>0</v>
      </c>
      <c r="Q692" s="100">
        <v>0</v>
      </c>
      <c r="R692" s="100">
        <v>0</v>
      </c>
      <c r="S692" s="100">
        <v>0</v>
      </c>
      <c r="T692" s="100">
        <v>0</v>
      </c>
      <c r="U692" s="100">
        <v>0.4</v>
      </c>
    </row>
    <row r="693" spans="4:21">
      <c r="D693" s="97" t="s">
        <v>581</v>
      </c>
      <c r="E693" s="97" t="s">
        <v>577</v>
      </c>
      <c r="F693" s="94" t="s">
        <v>582</v>
      </c>
      <c r="G693" s="97">
        <v>8</v>
      </c>
      <c r="H693" s="98" t="s">
        <v>747</v>
      </c>
      <c r="I693" s="99" t="str">
        <f t="shared" si="10"/>
        <v>김해시|8</v>
      </c>
      <c r="J693" s="100">
        <v>0.4</v>
      </c>
      <c r="K693" s="100">
        <v>0.2</v>
      </c>
      <c r="L693" s="100">
        <v>0</v>
      </c>
      <c r="M693" s="100">
        <v>0</v>
      </c>
      <c r="N693" s="100">
        <v>0</v>
      </c>
      <c r="O693" s="100">
        <v>0</v>
      </c>
      <c r="P693" s="100">
        <v>0</v>
      </c>
      <c r="Q693" s="100">
        <v>0</v>
      </c>
      <c r="R693" s="100">
        <v>0</v>
      </c>
      <c r="S693" s="100">
        <v>0</v>
      </c>
      <c r="T693" s="100">
        <v>0</v>
      </c>
      <c r="U693" s="100">
        <v>0</v>
      </c>
    </row>
    <row r="694" spans="4:21">
      <c r="D694" s="97" t="s">
        <v>583</v>
      </c>
      <c r="E694" s="97" t="s">
        <v>577</v>
      </c>
      <c r="F694" s="94" t="s">
        <v>584</v>
      </c>
      <c r="G694" s="97">
        <v>8</v>
      </c>
      <c r="H694" s="98" t="s">
        <v>747</v>
      </c>
      <c r="I694" s="99" t="str">
        <f t="shared" si="10"/>
        <v>남해|8</v>
      </c>
      <c r="J694" s="100">
        <v>0</v>
      </c>
      <c r="K694" s="100">
        <v>0</v>
      </c>
      <c r="L694" s="100">
        <v>0</v>
      </c>
      <c r="M694" s="100">
        <v>0</v>
      </c>
      <c r="N694" s="100">
        <v>0</v>
      </c>
      <c r="O694" s="100">
        <v>0</v>
      </c>
      <c r="P694" s="100">
        <v>0</v>
      </c>
      <c r="Q694" s="100">
        <v>0</v>
      </c>
      <c r="R694" s="100">
        <v>0</v>
      </c>
      <c r="S694" s="100">
        <v>0</v>
      </c>
      <c r="T694" s="100">
        <v>0</v>
      </c>
      <c r="U694" s="100">
        <v>0</v>
      </c>
    </row>
    <row r="695" spans="4:21">
      <c r="D695" s="97" t="s">
        <v>585</v>
      </c>
      <c r="E695" s="97" t="s">
        <v>577</v>
      </c>
      <c r="F695" s="94" t="s">
        <v>586</v>
      </c>
      <c r="G695" s="97">
        <v>8</v>
      </c>
      <c r="H695" s="98" t="s">
        <v>747</v>
      </c>
      <c r="I695" s="99" t="str">
        <f t="shared" si="10"/>
        <v>밀양|8</v>
      </c>
      <c r="J695" s="100">
        <v>0.7</v>
      </c>
      <c r="K695" s="100">
        <v>0.3</v>
      </c>
      <c r="L695" s="100">
        <v>0</v>
      </c>
      <c r="M695" s="100">
        <v>0</v>
      </c>
      <c r="N695" s="100">
        <v>0</v>
      </c>
      <c r="O695" s="100">
        <v>0</v>
      </c>
      <c r="P695" s="100">
        <v>0</v>
      </c>
      <c r="Q695" s="100">
        <v>0</v>
      </c>
      <c r="R695" s="100">
        <v>0</v>
      </c>
      <c r="S695" s="100">
        <v>0</v>
      </c>
      <c r="T695" s="100">
        <v>0</v>
      </c>
      <c r="U695" s="100">
        <v>0</v>
      </c>
    </row>
    <row r="696" spans="4:21">
      <c r="D696" s="97" t="s">
        <v>587</v>
      </c>
      <c r="E696" s="97" t="s">
        <v>577</v>
      </c>
      <c r="F696" s="94" t="s">
        <v>588</v>
      </c>
      <c r="G696" s="97">
        <v>8</v>
      </c>
      <c r="H696" s="98" t="s">
        <v>747</v>
      </c>
      <c r="I696" s="99" t="str">
        <f t="shared" si="10"/>
        <v>북창원|8</v>
      </c>
      <c r="J696" s="100">
        <v>0</v>
      </c>
      <c r="K696" s="100">
        <v>0</v>
      </c>
      <c r="L696" s="100">
        <v>0</v>
      </c>
      <c r="M696" s="100">
        <v>0</v>
      </c>
      <c r="N696" s="100">
        <v>0</v>
      </c>
      <c r="O696" s="100">
        <v>0</v>
      </c>
      <c r="P696" s="100">
        <v>0</v>
      </c>
      <c r="Q696" s="100">
        <v>0</v>
      </c>
      <c r="R696" s="100">
        <v>0</v>
      </c>
      <c r="S696" s="100">
        <v>0</v>
      </c>
      <c r="T696" s="100">
        <v>0</v>
      </c>
      <c r="U696" s="100">
        <v>0</v>
      </c>
    </row>
    <row r="697" spans="4:21">
      <c r="D697" s="97" t="s">
        <v>589</v>
      </c>
      <c r="E697" s="97" t="s">
        <v>577</v>
      </c>
      <c r="F697" s="94" t="s">
        <v>590</v>
      </c>
      <c r="G697" s="97">
        <v>8</v>
      </c>
      <c r="H697" s="98" t="s">
        <v>747</v>
      </c>
      <c r="I697" s="99" t="str">
        <f t="shared" si="10"/>
        <v>산청|8</v>
      </c>
      <c r="J697" s="100">
        <v>0.8</v>
      </c>
      <c r="K697" s="100">
        <v>0.1</v>
      </c>
      <c r="L697" s="100">
        <v>0</v>
      </c>
      <c r="M697" s="100">
        <v>0</v>
      </c>
      <c r="N697" s="100">
        <v>0</v>
      </c>
      <c r="O697" s="100">
        <v>0</v>
      </c>
      <c r="P697" s="100">
        <v>0</v>
      </c>
      <c r="Q697" s="100">
        <v>0</v>
      </c>
      <c r="R697" s="100">
        <v>0</v>
      </c>
      <c r="S697" s="100">
        <v>0</v>
      </c>
      <c r="T697" s="100">
        <v>0</v>
      </c>
      <c r="U697" s="100">
        <v>0.1</v>
      </c>
    </row>
    <row r="698" spans="4:21">
      <c r="D698" s="97" t="s">
        <v>591</v>
      </c>
      <c r="E698" s="97" t="s">
        <v>577</v>
      </c>
      <c r="F698" s="94" t="s">
        <v>592</v>
      </c>
      <c r="G698" s="97">
        <v>8</v>
      </c>
      <c r="H698" s="98" t="s">
        <v>747</v>
      </c>
      <c r="I698" s="99" t="str">
        <f t="shared" si="10"/>
        <v>양산시|8</v>
      </c>
      <c r="J698" s="100">
        <v>0</v>
      </c>
      <c r="K698" s="100">
        <v>0</v>
      </c>
      <c r="L698" s="100">
        <v>0</v>
      </c>
      <c r="M698" s="100">
        <v>0</v>
      </c>
      <c r="N698" s="100">
        <v>0</v>
      </c>
      <c r="O698" s="100">
        <v>0</v>
      </c>
      <c r="P698" s="100">
        <v>0</v>
      </c>
      <c r="Q698" s="100">
        <v>0</v>
      </c>
      <c r="R698" s="100">
        <v>0</v>
      </c>
      <c r="S698" s="100">
        <v>0</v>
      </c>
      <c r="T698" s="100">
        <v>0</v>
      </c>
      <c r="U698" s="100">
        <v>0</v>
      </c>
    </row>
    <row r="699" spans="4:21">
      <c r="D699" s="97" t="s">
        <v>593</v>
      </c>
      <c r="E699" s="97" t="s">
        <v>577</v>
      </c>
      <c r="F699" s="94" t="s">
        <v>594</v>
      </c>
      <c r="G699" s="97">
        <v>8</v>
      </c>
      <c r="H699" s="98" t="s">
        <v>747</v>
      </c>
      <c r="I699" s="99" t="str">
        <f t="shared" si="10"/>
        <v>의령군|8</v>
      </c>
      <c r="J699" s="100">
        <v>1.5</v>
      </c>
      <c r="K699" s="100">
        <v>0.5</v>
      </c>
      <c r="L699" s="100">
        <v>0</v>
      </c>
      <c r="M699" s="100">
        <v>0</v>
      </c>
      <c r="N699" s="100">
        <v>0</v>
      </c>
      <c r="O699" s="100">
        <v>0</v>
      </c>
      <c r="P699" s="100">
        <v>0</v>
      </c>
      <c r="Q699" s="100">
        <v>0</v>
      </c>
      <c r="R699" s="100">
        <v>0</v>
      </c>
      <c r="S699" s="100">
        <v>0</v>
      </c>
      <c r="T699" s="100">
        <v>0</v>
      </c>
      <c r="U699" s="100">
        <v>0.2</v>
      </c>
    </row>
    <row r="700" spans="4:21">
      <c r="D700" s="97" t="s">
        <v>595</v>
      </c>
      <c r="E700" s="97" t="s">
        <v>577</v>
      </c>
      <c r="F700" s="94" t="s">
        <v>596</v>
      </c>
      <c r="G700" s="97">
        <v>8</v>
      </c>
      <c r="H700" s="98" t="s">
        <v>747</v>
      </c>
      <c r="I700" s="99" t="str">
        <f t="shared" si="10"/>
        <v>진주|8</v>
      </c>
      <c r="J700" s="100">
        <v>1</v>
      </c>
      <c r="K700" s="100">
        <v>0.2</v>
      </c>
      <c r="L700" s="100">
        <v>0</v>
      </c>
      <c r="M700" s="100">
        <v>0</v>
      </c>
      <c r="N700" s="100">
        <v>0</v>
      </c>
      <c r="O700" s="100">
        <v>0</v>
      </c>
      <c r="P700" s="100">
        <v>0</v>
      </c>
      <c r="Q700" s="100">
        <v>0</v>
      </c>
      <c r="R700" s="100">
        <v>0</v>
      </c>
      <c r="S700" s="100">
        <v>0</v>
      </c>
      <c r="T700" s="100">
        <v>0</v>
      </c>
      <c r="U700" s="100">
        <v>0.1</v>
      </c>
    </row>
    <row r="701" spans="4:21">
      <c r="D701" s="97" t="s">
        <v>597</v>
      </c>
      <c r="E701" s="97" t="s">
        <v>577</v>
      </c>
      <c r="F701" s="94" t="s">
        <v>598</v>
      </c>
      <c r="G701" s="97">
        <v>8</v>
      </c>
      <c r="H701" s="98" t="s">
        <v>747</v>
      </c>
      <c r="I701" s="99" t="str">
        <f t="shared" si="10"/>
        <v>창원|8</v>
      </c>
      <c r="J701" s="100">
        <v>0.6</v>
      </c>
      <c r="K701" s="100">
        <v>0</v>
      </c>
      <c r="L701" s="100">
        <v>0</v>
      </c>
      <c r="M701" s="100">
        <v>0</v>
      </c>
      <c r="N701" s="100">
        <v>0</v>
      </c>
      <c r="O701" s="100">
        <v>0</v>
      </c>
      <c r="P701" s="100">
        <v>0</v>
      </c>
      <c r="Q701" s="100">
        <v>0</v>
      </c>
      <c r="R701" s="100">
        <v>0</v>
      </c>
      <c r="S701" s="100">
        <v>0</v>
      </c>
      <c r="T701" s="100">
        <v>0</v>
      </c>
      <c r="U701" s="100">
        <v>0</v>
      </c>
    </row>
    <row r="702" spans="4:21">
      <c r="D702" s="97" t="s">
        <v>599</v>
      </c>
      <c r="E702" s="97" t="s">
        <v>577</v>
      </c>
      <c r="F702" s="94" t="s">
        <v>600</v>
      </c>
      <c r="G702" s="97">
        <v>8</v>
      </c>
      <c r="H702" s="98" t="s">
        <v>747</v>
      </c>
      <c r="I702" s="99" t="str">
        <f t="shared" si="10"/>
        <v>통영|8</v>
      </c>
      <c r="J702" s="100">
        <v>0</v>
      </c>
      <c r="K702" s="100">
        <v>0</v>
      </c>
      <c r="L702" s="100">
        <v>0</v>
      </c>
      <c r="M702" s="100">
        <v>0</v>
      </c>
      <c r="N702" s="100">
        <v>0</v>
      </c>
      <c r="O702" s="100">
        <v>0</v>
      </c>
      <c r="P702" s="100">
        <v>0</v>
      </c>
      <c r="Q702" s="100">
        <v>0</v>
      </c>
      <c r="R702" s="100">
        <v>0</v>
      </c>
      <c r="S702" s="100">
        <v>0</v>
      </c>
      <c r="T702" s="100">
        <v>0</v>
      </c>
      <c r="U702" s="100">
        <v>0</v>
      </c>
    </row>
    <row r="703" spans="4:21">
      <c r="D703" s="97" t="s">
        <v>601</v>
      </c>
      <c r="E703" s="97" t="s">
        <v>577</v>
      </c>
      <c r="F703" s="94" t="s">
        <v>602</v>
      </c>
      <c r="G703" s="97">
        <v>8</v>
      </c>
      <c r="H703" s="98" t="s">
        <v>747</v>
      </c>
      <c r="I703" s="99" t="str">
        <f t="shared" si="10"/>
        <v>함양군|8</v>
      </c>
      <c r="J703" s="100">
        <v>1</v>
      </c>
      <c r="K703" s="100">
        <v>0.5</v>
      </c>
      <c r="L703" s="100">
        <v>0</v>
      </c>
      <c r="M703" s="100">
        <v>0</v>
      </c>
      <c r="N703" s="100">
        <v>0</v>
      </c>
      <c r="O703" s="100">
        <v>0</v>
      </c>
      <c r="P703" s="100">
        <v>0</v>
      </c>
      <c r="Q703" s="100">
        <v>0</v>
      </c>
      <c r="R703" s="100">
        <v>0</v>
      </c>
      <c r="S703" s="100">
        <v>0</v>
      </c>
      <c r="T703" s="100">
        <v>0</v>
      </c>
      <c r="U703" s="100">
        <v>0.3</v>
      </c>
    </row>
    <row r="704" spans="4:21">
      <c r="D704" s="97" t="s">
        <v>603</v>
      </c>
      <c r="E704" s="97" t="s">
        <v>577</v>
      </c>
      <c r="F704" s="94" t="s">
        <v>604</v>
      </c>
      <c r="G704" s="97">
        <v>8</v>
      </c>
      <c r="H704" s="98" t="s">
        <v>747</v>
      </c>
      <c r="I704" s="99" t="str">
        <f t="shared" si="10"/>
        <v>합천|8</v>
      </c>
      <c r="J704" s="100">
        <v>1.4</v>
      </c>
      <c r="K704" s="100">
        <v>0.4</v>
      </c>
      <c r="L704" s="100">
        <v>0</v>
      </c>
      <c r="M704" s="100">
        <v>0</v>
      </c>
      <c r="N704" s="100">
        <v>0</v>
      </c>
      <c r="O704" s="100">
        <v>0</v>
      </c>
      <c r="P704" s="100">
        <v>0</v>
      </c>
      <c r="Q704" s="100">
        <v>0</v>
      </c>
      <c r="R704" s="100">
        <v>0</v>
      </c>
      <c r="S704" s="100">
        <v>0</v>
      </c>
      <c r="T704" s="100">
        <v>0</v>
      </c>
      <c r="U704" s="100">
        <v>0.2</v>
      </c>
    </row>
    <row r="705" spans="4:21">
      <c r="D705" s="97" t="s">
        <v>605</v>
      </c>
      <c r="E705" s="97" t="s">
        <v>606</v>
      </c>
      <c r="F705" s="94" t="s">
        <v>607</v>
      </c>
      <c r="G705" s="97">
        <v>8</v>
      </c>
      <c r="H705" s="98" t="s">
        <v>747</v>
      </c>
      <c r="I705" s="99" t="str">
        <f t="shared" si="10"/>
        <v>경주시|8</v>
      </c>
      <c r="J705" s="100">
        <v>0.9</v>
      </c>
      <c r="K705" s="100">
        <v>0</v>
      </c>
      <c r="L705" s="100">
        <v>0</v>
      </c>
      <c r="M705" s="100">
        <v>0</v>
      </c>
      <c r="N705" s="100">
        <v>0</v>
      </c>
      <c r="O705" s="100">
        <v>0</v>
      </c>
      <c r="P705" s="100">
        <v>0</v>
      </c>
      <c r="Q705" s="100">
        <v>0</v>
      </c>
      <c r="R705" s="100">
        <v>0</v>
      </c>
      <c r="S705" s="100">
        <v>0</v>
      </c>
      <c r="T705" s="100">
        <v>0</v>
      </c>
      <c r="U705" s="100">
        <v>0</v>
      </c>
    </row>
    <row r="706" spans="4:21">
      <c r="D706" s="97" t="s">
        <v>608</v>
      </c>
      <c r="E706" s="97" t="s">
        <v>606</v>
      </c>
      <c r="F706" s="94" t="s">
        <v>609</v>
      </c>
      <c r="G706" s="97">
        <v>8</v>
      </c>
      <c r="H706" s="98" t="s">
        <v>747</v>
      </c>
      <c r="I706" s="99" t="str">
        <f t="shared" si="10"/>
        <v>구미|8</v>
      </c>
      <c r="J706" s="100">
        <v>0.8</v>
      </c>
      <c r="K706" s="100">
        <v>0</v>
      </c>
      <c r="L706" s="100">
        <v>0</v>
      </c>
      <c r="M706" s="100">
        <v>0</v>
      </c>
      <c r="N706" s="100">
        <v>0</v>
      </c>
      <c r="O706" s="100">
        <v>0</v>
      </c>
      <c r="P706" s="100">
        <v>0</v>
      </c>
      <c r="Q706" s="100">
        <v>0</v>
      </c>
      <c r="R706" s="100">
        <v>0</v>
      </c>
      <c r="S706" s="100">
        <v>0</v>
      </c>
      <c r="T706" s="100">
        <v>0</v>
      </c>
      <c r="U706" s="100">
        <v>0</v>
      </c>
    </row>
    <row r="707" spans="4:21">
      <c r="D707" s="97" t="s">
        <v>610</v>
      </c>
      <c r="E707" s="97" t="s">
        <v>606</v>
      </c>
      <c r="F707" s="94" t="s">
        <v>611</v>
      </c>
      <c r="G707" s="97">
        <v>8</v>
      </c>
      <c r="H707" s="98" t="s">
        <v>747</v>
      </c>
      <c r="I707" s="99" t="str">
        <f t="shared" si="10"/>
        <v>문경|8</v>
      </c>
      <c r="J707" s="100">
        <v>2.1</v>
      </c>
      <c r="K707" s="100">
        <v>0.4</v>
      </c>
      <c r="L707" s="100">
        <v>0</v>
      </c>
      <c r="M707" s="100">
        <v>0</v>
      </c>
      <c r="N707" s="100">
        <v>0</v>
      </c>
      <c r="O707" s="100">
        <v>0</v>
      </c>
      <c r="P707" s="100">
        <v>0</v>
      </c>
      <c r="Q707" s="100">
        <v>0</v>
      </c>
      <c r="R707" s="100">
        <v>0</v>
      </c>
      <c r="S707" s="100">
        <v>0</v>
      </c>
      <c r="T707" s="100">
        <v>0</v>
      </c>
      <c r="U707" s="100">
        <v>1</v>
      </c>
    </row>
    <row r="708" spans="4:21">
      <c r="D708" s="97" t="s">
        <v>612</v>
      </c>
      <c r="E708" s="97" t="s">
        <v>606</v>
      </c>
      <c r="F708" s="94" t="s">
        <v>613</v>
      </c>
      <c r="G708" s="97">
        <v>8</v>
      </c>
      <c r="H708" s="98" t="s">
        <v>747</v>
      </c>
      <c r="I708" s="99" t="str">
        <f t="shared" si="10"/>
        <v>봉화|8</v>
      </c>
      <c r="J708" s="100">
        <v>8.6</v>
      </c>
      <c r="K708" s="100">
        <v>2.9</v>
      </c>
      <c r="L708" s="100">
        <v>0</v>
      </c>
      <c r="M708" s="100">
        <v>0</v>
      </c>
      <c r="N708" s="100">
        <v>0</v>
      </c>
      <c r="O708" s="100">
        <v>0</v>
      </c>
      <c r="P708" s="100">
        <v>0</v>
      </c>
      <c r="Q708" s="100">
        <v>0</v>
      </c>
      <c r="R708" s="100">
        <v>0</v>
      </c>
      <c r="S708" s="100">
        <v>0</v>
      </c>
      <c r="T708" s="100">
        <v>0</v>
      </c>
      <c r="U708" s="100">
        <v>4.5999999999999996</v>
      </c>
    </row>
    <row r="709" spans="4:21">
      <c r="D709" s="97" t="s">
        <v>614</v>
      </c>
      <c r="E709" s="97" t="s">
        <v>606</v>
      </c>
      <c r="F709" s="94" t="s">
        <v>615</v>
      </c>
      <c r="G709" s="97">
        <v>8</v>
      </c>
      <c r="H709" s="98" t="s">
        <v>747</v>
      </c>
      <c r="I709" s="99" t="str">
        <f t="shared" si="10"/>
        <v>상주|8</v>
      </c>
      <c r="J709" s="100">
        <v>1.3</v>
      </c>
      <c r="K709" s="100">
        <v>0.3</v>
      </c>
      <c r="L709" s="100">
        <v>0</v>
      </c>
      <c r="M709" s="100">
        <v>0</v>
      </c>
      <c r="N709" s="100">
        <v>0</v>
      </c>
      <c r="O709" s="100">
        <v>0</v>
      </c>
      <c r="P709" s="100">
        <v>0</v>
      </c>
      <c r="Q709" s="100">
        <v>0</v>
      </c>
      <c r="R709" s="100">
        <v>0</v>
      </c>
      <c r="S709" s="100">
        <v>0</v>
      </c>
      <c r="T709" s="100">
        <v>0</v>
      </c>
      <c r="U709" s="100">
        <v>0.4</v>
      </c>
    </row>
    <row r="710" spans="4:21">
      <c r="D710" s="97" t="s">
        <v>616</v>
      </c>
      <c r="E710" s="97" t="s">
        <v>606</v>
      </c>
      <c r="F710" s="94" t="s">
        <v>617</v>
      </c>
      <c r="G710" s="97">
        <v>8</v>
      </c>
      <c r="H710" s="98" t="s">
        <v>747</v>
      </c>
      <c r="I710" s="99" t="str">
        <f t="shared" si="10"/>
        <v>안동|8</v>
      </c>
      <c r="J710" s="100">
        <v>4</v>
      </c>
      <c r="K710" s="100">
        <v>1.1000000000000001</v>
      </c>
      <c r="L710" s="100">
        <v>0</v>
      </c>
      <c r="M710" s="100">
        <v>0</v>
      </c>
      <c r="N710" s="100">
        <v>0</v>
      </c>
      <c r="O710" s="100">
        <v>0</v>
      </c>
      <c r="P710" s="100">
        <v>0</v>
      </c>
      <c r="Q710" s="100">
        <v>0</v>
      </c>
      <c r="R710" s="100">
        <v>0</v>
      </c>
      <c r="S710" s="100">
        <v>0</v>
      </c>
      <c r="T710" s="100">
        <v>0</v>
      </c>
      <c r="U710" s="100">
        <v>1.3</v>
      </c>
    </row>
    <row r="711" spans="4:21">
      <c r="D711" s="97" t="s">
        <v>618</v>
      </c>
      <c r="E711" s="97" t="s">
        <v>606</v>
      </c>
      <c r="F711" s="94" t="s">
        <v>619</v>
      </c>
      <c r="G711" s="97">
        <v>8</v>
      </c>
      <c r="H711" s="98" t="s">
        <v>747</v>
      </c>
      <c r="I711" s="99" t="str">
        <f t="shared" ref="I711:I774" si="11">$D711&amp;"|"&amp;$G711</f>
        <v>영덕|8</v>
      </c>
      <c r="J711" s="100">
        <v>1</v>
      </c>
      <c r="K711" s="100">
        <v>0</v>
      </c>
      <c r="L711" s="100">
        <v>0</v>
      </c>
      <c r="M711" s="100">
        <v>0</v>
      </c>
      <c r="N711" s="100">
        <v>0</v>
      </c>
      <c r="O711" s="100">
        <v>0</v>
      </c>
      <c r="P711" s="100">
        <v>0</v>
      </c>
      <c r="Q711" s="100">
        <v>0</v>
      </c>
      <c r="R711" s="100">
        <v>0</v>
      </c>
      <c r="S711" s="100">
        <v>0</v>
      </c>
      <c r="T711" s="100">
        <v>0</v>
      </c>
      <c r="U711" s="100">
        <v>0.1</v>
      </c>
    </row>
    <row r="712" spans="4:21">
      <c r="D712" s="97" t="s">
        <v>620</v>
      </c>
      <c r="E712" s="97" t="s">
        <v>606</v>
      </c>
      <c r="F712" s="94" t="s">
        <v>621</v>
      </c>
      <c r="G712" s="97">
        <v>8</v>
      </c>
      <c r="H712" s="98" t="s">
        <v>747</v>
      </c>
      <c r="I712" s="99" t="str">
        <f t="shared" si="11"/>
        <v>영주|8</v>
      </c>
      <c r="J712" s="100">
        <v>4.5999999999999996</v>
      </c>
      <c r="K712" s="100">
        <v>1.2</v>
      </c>
      <c r="L712" s="100">
        <v>0</v>
      </c>
      <c r="M712" s="100">
        <v>0</v>
      </c>
      <c r="N712" s="100">
        <v>0</v>
      </c>
      <c r="O712" s="100">
        <v>0</v>
      </c>
      <c r="P712" s="100">
        <v>0</v>
      </c>
      <c r="Q712" s="100">
        <v>0</v>
      </c>
      <c r="R712" s="100">
        <v>0</v>
      </c>
      <c r="S712" s="100">
        <v>0</v>
      </c>
      <c r="T712" s="100">
        <v>0</v>
      </c>
      <c r="U712" s="100">
        <v>1.8</v>
      </c>
    </row>
    <row r="713" spans="4:21">
      <c r="D713" s="97" t="s">
        <v>622</v>
      </c>
      <c r="E713" s="97" t="s">
        <v>606</v>
      </c>
      <c r="F713" s="94" t="s">
        <v>623</v>
      </c>
      <c r="G713" s="97">
        <v>8</v>
      </c>
      <c r="H713" s="98" t="s">
        <v>747</v>
      </c>
      <c r="I713" s="99" t="str">
        <f t="shared" si="11"/>
        <v>영천|8</v>
      </c>
      <c r="J713" s="100">
        <v>1.2</v>
      </c>
      <c r="K713" s="100">
        <v>0.3</v>
      </c>
      <c r="L713" s="100">
        <v>0</v>
      </c>
      <c r="M713" s="100">
        <v>0</v>
      </c>
      <c r="N713" s="100">
        <v>0</v>
      </c>
      <c r="O713" s="100">
        <v>0</v>
      </c>
      <c r="P713" s="100">
        <v>0</v>
      </c>
      <c r="Q713" s="100">
        <v>0</v>
      </c>
      <c r="R713" s="100">
        <v>0</v>
      </c>
      <c r="S713" s="100">
        <v>0</v>
      </c>
      <c r="T713" s="100">
        <v>0</v>
      </c>
      <c r="U713" s="100">
        <v>0.1</v>
      </c>
    </row>
    <row r="714" spans="4:21">
      <c r="D714" s="97" t="s">
        <v>624</v>
      </c>
      <c r="E714" s="97" t="s">
        <v>606</v>
      </c>
      <c r="F714" s="94" t="s">
        <v>625</v>
      </c>
      <c r="G714" s="97">
        <v>8</v>
      </c>
      <c r="H714" s="98" t="s">
        <v>747</v>
      </c>
      <c r="I714" s="99" t="str">
        <f t="shared" si="11"/>
        <v>울릉도|8</v>
      </c>
      <c r="J714" s="100">
        <v>0</v>
      </c>
      <c r="K714" s="100">
        <v>0</v>
      </c>
      <c r="L714" s="100">
        <v>0</v>
      </c>
      <c r="M714" s="100">
        <v>0</v>
      </c>
      <c r="N714" s="100">
        <v>0</v>
      </c>
      <c r="O714" s="100">
        <v>0</v>
      </c>
      <c r="P714" s="100">
        <v>0</v>
      </c>
      <c r="Q714" s="100">
        <v>0</v>
      </c>
      <c r="R714" s="100">
        <v>0</v>
      </c>
      <c r="S714" s="100">
        <v>0</v>
      </c>
      <c r="T714" s="100">
        <v>0</v>
      </c>
      <c r="U714" s="100">
        <v>0</v>
      </c>
    </row>
    <row r="715" spans="4:21">
      <c r="D715" s="97" t="s">
        <v>626</v>
      </c>
      <c r="E715" s="97" t="s">
        <v>606</v>
      </c>
      <c r="F715" s="94" t="s">
        <v>627</v>
      </c>
      <c r="G715" s="97">
        <v>8</v>
      </c>
      <c r="H715" s="98" t="s">
        <v>747</v>
      </c>
      <c r="I715" s="99" t="str">
        <f t="shared" si="11"/>
        <v>울진|8</v>
      </c>
      <c r="J715" s="100">
        <v>0.9</v>
      </c>
      <c r="K715" s="100">
        <v>0</v>
      </c>
      <c r="L715" s="100">
        <v>0</v>
      </c>
      <c r="M715" s="100">
        <v>0</v>
      </c>
      <c r="N715" s="100">
        <v>0</v>
      </c>
      <c r="O715" s="100">
        <v>0</v>
      </c>
      <c r="P715" s="100">
        <v>0</v>
      </c>
      <c r="Q715" s="100">
        <v>0</v>
      </c>
      <c r="R715" s="100">
        <v>0</v>
      </c>
      <c r="S715" s="100">
        <v>0</v>
      </c>
      <c r="T715" s="100">
        <v>0</v>
      </c>
      <c r="U715" s="100">
        <v>0</v>
      </c>
    </row>
    <row r="716" spans="4:21">
      <c r="D716" s="97" t="s">
        <v>628</v>
      </c>
      <c r="E716" s="97" t="s">
        <v>606</v>
      </c>
      <c r="F716" s="94" t="s">
        <v>629</v>
      </c>
      <c r="G716" s="97">
        <v>8</v>
      </c>
      <c r="H716" s="98" t="s">
        <v>747</v>
      </c>
      <c r="I716" s="99" t="str">
        <f t="shared" si="11"/>
        <v>의성|8</v>
      </c>
      <c r="J716" s="100">
        <v>7.8</v>
      </c>
      <c r="K716" s="100">
        <v>2.9</v>
      </c>
      <c r="L716" s="100">
        <v>0</v>
      </c>
      <c r="M716" s="100">
        <v>0</v>
      </c>
      <c r="N716" s="100">
        <v>0</v>
      </c>
      <c r="O716" s="100">
        <v>0</v>
      </c>
      <c r="P716" s="100">
        <v>0</v>
      </c>
      <c r="Q716" s="100">
        <v>0</v>
      </c>
      <c r="R716" s="100">
        <v>0</v>
      </c>
      <c r="S716" s="100">
        <v>0</v>
      </c>
      <c r="T716" s="100">
        <v>0</v>
      </c>
      <c r="U716" s="100">
        <v>4.3</v>
      </c>
    </row>
    <row r="717" spans="4:21">
      <c r="D717" s="97" t="s">
        <v>630</v>
      </c>
      <c r="E717" s="97" t="s">
        <v>606</v>
      </c>
      <c r="F717" s="94" t="s">
        <v>631</v>
      </c>
      <c r="G717" s="97">
        <v>8</v>
      </c>
      <c r="H717" s="98" t="s">
        <v>747</v>
      </c>
      <c r="I717" s="99" t="str">
        <f t="shared" si="11"/>
        <v>청송군|8</v>
      </c>
      <c r="J717" s="100">
        <v>7.4</v>
      </c>
      <c r="K717" s="100">
        <v>2.4</v>
      </c>
      <c r="L717" s="100">
        <v>0</v>
      </c>
      <c r="M717" s="100">
        <v>0</v>
      </c>
      <c r="N717" s="100">
        <v>0</v>
      </c>
      <c r="O717" s="100">
        <v>0</v>
      </c>
      <c r="P717" s="100">
        <v>0</v>
      </c>
      <c r="Q717" s="100">
        <v>0</v>
      </c>
      <c r="R717" s="100">
        <v>0</v>
      </c>
      <c r="S717" s="100">
        <v>0</v>
      </c>
      <c r="T717" s="100">
        <v>0</v>
      </c>
      <c r="U717" s="100">
        <v>3.4</v>
      </c>
    </row>
    <row r="718" spans="4:21">
      <c r="D718" s="97" t="s">
        <v>632</v>
      </c>
      <c r="E718" s="97" t="s">
        <v>606</v>
      </c>
      <c r="F718" s="94" t="s">
        <v>633</v>
      </c>
      <c r="G718" s="97">
        <v>8</v>
      </c>
      <c r="H718" s="98" t="s">
        <v>747</v>
      </c>
      <c r="I718" s="99" t="str">
        <f t="shared" si="11"/>
        <v>포항|8</v>
      </c>
      <c r="J718" s="100">
        <v>0.5</v>
      </c>
      <c r="K718" s="100">
        <v>0</v>
      </c>
      <c r="L718" s="100">
        <v>0</v>
      </c>
      <c r="M718" s="100">
        <v>0</v>
      </c>
      <c r="N718" s="100">
        <v>0</v>
      </c>
      <c r="O718" s="100">
        <v>0</v>
      </c>
      <c r="P718" s="100">
        <v>0</v>
      </c>
      <c r="Q718" s="100">
        <v>0</v>
      </c>
      <c r="R718" s="100">
        <v>0</v>
      </c>
      <c r="S718" s="100">
        <v>0</v>
      </c>
      <c r="T718" s="100">
        <v>0</v>
      </c>
      <c r="U718" s="100">
        <v>0</v>
      </c>
    </row>
    <row r="719" spans="4:21">
      <c r="D719" s="97" t="s">
        <v>634</v>
      </c>
      <c r="E719" s="97" t="s">
        <v>635</v>
      </c>
      <c r="F719" s="94" t="s">
        <v>636</v>
      </c>
      <c r="G719" s="97">
        <v>8</v>
      </c>
      <c r="H719" s="98" t="s">
        <v>747</v>
      </c>
      <c r="I719" s="99" t="str">
        <f t="shared" si="11"/>
        <v>광주|8</v>
      </c>
      <c r="J719" s="100">
        <v>0.2</v>
      </c>
      <c r="K719" s="100">
        <v>0</v>
      </c>
      <c r="L719" s="100">
        <v>0</v>
      </c>
      <c r="M719" s="100">
        <v>0</v>
      </c>
      <c r="N719" s="100">
        <v>0</v>
      </c>
      <c r="O719" s="100">
        <v>0</v>
      </c>
      <c r="P719" s="100">
        <v>0</v>
      </c>
      <c r="Q719" s="100">
        <v>0</v>
      </c>
      <c r="R719" s="100">
        <v>0</v>
      </c>
      <c r="S719" s="100">
        <v>0</v>
      </c>
      <c r="T719" s="100">
        <v>0</v>
      </c>
      <c r="U719" s="100">
        <v>0</v>
      </c>
    </row>
    <row r="720" spans="4:21">
      <c r="D720" s="97" t="s">
        <v>637</v>
      </c>
      <c r="E720" s="97" t="s">
        <v>638</v>
      </c>
      <c r="F720" s="94" t="s">
        <v>639</v>
      </c>
      <c r="G720" s="97">
        <v>8</v>
      </c>
      <c r="H720" s="98" t="s">
        <v>747</v>
      </c>
      <c r="I720" s="99" t="str">
        <f t="shared" si="11"/>
        <v>대구|8</v>
      </c>
      <c r="J720" s="100">
        <v>0.9</v>
      </c>
      <c r="K720" s="100">
        <v>0</v>
      </c>
      <c r="L720" s="100">
        <v>0</v>
      </c>
      <c r="M720" s="100">
        <v>0</v>
      </c>
      <c r="N720" s="100">
        <v>0</v>
      </c>
      <c r="O720" s="100">
        <v>0</v>
      </c>
      <c r="P720" s="100">
        <v>0</v>
      </c>
      <c r="Q720" s="100">
        <v>0</v>
      </c>
      <c r="R720" s="100">
        <v>0</v>
      </c>
      <c r="S720" s="100">
        <v>0</v>
      </c>
      <c r="T720" s="100">
        <v>0</v>
      </c>
      <c r="U720" s="100">
        <v>0</v>
      </c>
    </row>
    <row r="721" spans="4:21">
      <c r="D721" s="97" t="s">
        <v>640</v>
      </c>
      <c r="E721" s="97" t="s">
        <v>641</v>
      </c>
      <c r="F721" s="94" t="s">
        <v>642</v>
      </c>
      <c r="G721" s="97">
        <v>8</v>
      </c>
      <c r="H721" s="98" t="s">
        <v>747</v>
      </c>
      <c r="I721" s="99" t="str">
        <f t="shared" si="11"/>
        <v>대전|8</v>
      </c>
      <c r="J721" s="100">
        <v>1.6</v>
      </c>
      <c r="K721" s="100">
        <v>0.4</v>
      </c>
      <c r="L721" s="100">
        <v>0</v>
      </c>
      <c r="M721" s="100">
        <v>0</v>
      </c>
      <c r="N721" s="100">
        <v>0</v>
      </c>
      <c r="O721" s="100">
        <v>0</v>
      </c>
      <c r="P721" s="100">
        <v>0</v>
      </c>
      <c r="Q721" s="100">
        <v>0</v>
      </c>
      <c r="R721" s="100">
        <v>0</v>
      </c>
      <c r="S721" s="100">
        <v>0</v>
      </c>
      <c r="T721" s="100">
        <v>0</v>
      </c>
      <c r="U721" s="100">
        <v>0.6</v>
      </c>
    </row>
    <row r="722" spans="4:21">
      <c r="D722" s="97" t="s">
        <v>643</v>
      </c>
      <c r="E722" s="97" t="s">
        <v>644</v>
      </c>
      <c r="F722" s="94" t="s">
        <v>645</v>
      </c>
      <c r="G722" s="97">
        <v>8</v>
      </c>
      <c r="H722" s="98" t="s">
        <v>747</v>
      </c>
      <c r="I722" s="99" t="str">
        <f t="shared" si="11"/>
        <v>부산|8</v>
      </c>
      <c r="J722" s="100">
        <v>0.2</v>
      </c>
      <c r="K722" s="100">
        <v>0</v>
      </c>
      <c r="L722" s="100">
        <v>0</v>
      </c>
      <c r="M722" s="100">
        <v>0</v>
      </c>
      <c r="N722" s="100">
        <v>0</v>
      </c>
      <c r="O722" s="100">
        <v>0</v>
      </c>
      <c r="P722" s="100">
        <v>0</v>
      </c>
      <c r="Q722" s="100">
        <v>0</v>
      </c>
      <c r="R722" s="100">
        <v>0</v>
      </c>
      <c r="S722" s="100">
        <v>0</v>
      </c>
      <c r="T722" s="100">
        <v>0</v>
      </c>
      <c r="U722" s="100">
        <v>0</v>
      </c>
    </row>
    <row r="723" spans="4:21">
      <c r="D723" s="97" t="s">
        <v>64</v>
      </c>
      <c r="E723" s="97" t="s">
        <v>646</v>
      </c>
      <c r="F723" s="94" t="s">
        <v>647</v>
      </c>
      <c r="G723" s="97">
        <v>8</v>
      </c>
      <c r="H723" s="98" t="s">
        <v>747</v>
      </c>
      <c r="I723" s="99" t="str">
        <f t="shared" si="11"/>
        <v>서울|8</v>
      </c>
      <c r="J723" s="100">
        <v>2.2000000000000002</v>
      </c>
      <c r="K723" s="100">
        <v>0.4</v>
      </c>
      <c r="L723" s="100">
        <v>0</v>
      </c>
      <c r="M723" s="100">
        <v>0</v>
      </c>
      <c r="N723" s="100">
        <v>0</v>
      </c>
      <c r="O723" s="100">
        <v>0</v>
      </c>
      <c r="P723" s="100">
        <v>0</v>
      </c>
      <c r="Q723" s="100">
        <v>0</v>
      </c>
      <c r="R723" s="100">
        <v>0</v>
      </c>
      <c r="S723" s="100">
        <v>0</v>
      </c>
      <c r="T723" s="100">
        <v>0</v>
      </c>
      <c r="U723" s="100">
        <v>1.8</v>
      </c>
    </row>
    <row r="724" spans="4:21">
      <c r="D724" s="97" t="s">
        <v>648</v>
      </c>
      <c r="E724" s="97" t="s">
        <v>649</v>
      </c>
      <c r="F724" s="94" t="s">
        <v>650</v>
      </c>
      <c r="G724" s="97">
        <v>8</v>
      </c>
      <c r="H724" s="98" t="s">
        <v>747</v>
      </c>
      <c r="I724" s="99" t="str">
        <f t="shared" si="11"/>
        <v>세종|8</v>
      </c>
      <c r="J724" s="100">
        <v>1.2</v>
      </c>
      <c r="K724" s="100">
        <v>0</v>
      </c>
      <c r="L724" s="100">
        <v>0</v>
      </c>
      <c r="M724" s="100">
        <v>0</v>
      </c>
      <c r="N724" s="100">
        <v>0</v>
      </c>
      <c r="O724" s="100">
        <v>0</v>
      </c>
      <c r="P724" s="100">
        <v>0</v>
      </c>
      <c r="Q724" s="100">
        <v>0</v>
      </c>
      <c r="R724" s="100">
        <v>0</v>
      </c>
      <c r="S724" s="100">
        <v>0</v>
      </c>
      <c r="T724" s="100">
        <v>0</v>
      </c>
      <c r="U724" s="100">
        <v>1.5</v>
      </c>
    </row>
    <row r="725" spans="4:21">
      <c r="D725" s="97" t="s">
        <v>651</v>
      </c>
      <c r="E725" s="97" t="s">
        <v>652</v>
      </c>
      <c r="F725" s="94" t="s">
        <v>653</v>
      </c>
      <c r="G725" s="97">
        <v>8</v>
      </c>
      <c r="H725" s="98" t="s">
        <v>747</v>
      </c>
      <c r="I725" s="99" t="str">
        <f t="shared" si="11"/>
        <v>울산|8</v>
      </c>
      <c r="J725" s="100">
        <v>0.3</v>
      </c>
      <c r="K725" s="100">
        <v>0</v>
      </c>
      <c r="L725" s="100">
        <v>0</v>
      </c>
      <c r="M725" s="100">
        <v>0</v>
      </c>
      <c r="N725" s="100">
        <v>0</v>
      </c>
      <c r="O725" s="100">
        <v>0</v>
      </c>
      <c r="P725" s="100">
        <v>0</v>
      </c>
      <c r="Q725" s="100">
        <v>0</v>
      </c>
      <c r="R725" s="100">
        <v>0</v>
      </c>
      <c r="S725" s="100">
        <v>0</v>
      </c>
      <c r="T725" s="100">
        <v>0</v>
      </c>
      <c r="U725" s="100">
        <v>0</v>
      </c>
    </row>
    <row r="726" spans="4:21">
      <c r="D726" s="97" t="s">
        <v>654</v>
      </c>
      <c r="E726" s="97" t="s">
        <v>655</v>
      </c>
      <c r="F726" s="94" t="s">
        <v>656</v>
      </c>
      <c r="G726" s="97">
        <v>8</v>
      </c>
      <c r="H726" s="98" t="s">
        <v>747</v>
      </c>
      <c r="I726" s="99" t="str">
        <f t="shared" si="11"/>
        <v>강화|8</v>
      </c>
      <c r="J726" s="100">
        <v>4.7</v>
      </c>
      <c r="K726" s="100">
        <v>1.5</v>
      </c>
      <c r="L726" s="100">
        <v>0</v>
      </c>
      <c r="M726" s="100">
        <v>0</v>
      </c>
      <c r="N726" s="100">
        <v>0</v>
      </c>
      <c r="O726" s="100">
        <v>0</v>
      </c>
      <c r="P726" s="100">
        <v>0</v>
      </c>
      <c r="Q726" s="100">
        <v>0</v>
      </c>
      <c r="R726" s="100">
        <v>0</v>
      </c>
      <c r="S726" s="100">
        <v>0</v>
      </c>
      <c r="T726" s="100">
        <v>0</v>
      </c>
      <c r="U726" s="100">
        <v>3.5</v>
      </c>
    </row>
    <row r="727" spans="4:21">
      <c r="D727" s="97" t="s">
        <v>657</v>
      </c>
      <c r="E727" s="97" t="s">
        <v>655</v>
      </c>
      <c r="F727" s="94" t="s">
        <v>658</v>
      </c>
      <c r="G727" s="97">
        <v>8</v>
      </c>
      <c r="H727" s="98" t="s">
        <v>747</v>
      </c>
      <c r="I727" s="99" t="str">
        <f t="shared" si="11"/>
        <v>백령도|8</v>
      </c>
      <c r="J727" s="100">
        <v>0.6</v>
      </c>
      <c r="K727" s="100">
        <v>0</v>
      </c>
      <c r="L727" s="100">
        <v>0</v>
      </c>
      <c r="M727" s="100">
        <v>0</v>
      </c>
      <c r="N727" s="100">
        <v>0</v>
      </c>
      <c r="O727" s="100">
        <v>0</v>
      </c>
      <c r="P727" s="100">
        <v>0</v>
      </c>
      <c r="Q727" s="100">
        <v>0</v>
      </c>
      <c r="R727" s="100">
        <v>0</v>
      </c>
      <c r="S727" s="100">
        <v>0</v>
      </c>
      <c r="T727" s="100">
        <v>0</v>
      </c>
      <c r="U727" s="100">
        <v>0</v>
      </c>
    </row>
    <row r="728" spans="4:21">
      <c r="D728" s="97" t="s">
        <v>659</v>
      </c>
      <c r="E728" s="97" t="s">
        <v>655</v>
      </c>
      <c r="F728" s="94" t="s">
        <v>660</v>
      </c>
      <c r="G728" s="97">
        <v>8</v>
      </c>
      <c r="H728" s="98" t="s">
        <v>747</v>
      </c>
      <c r="I728" s="99" t="str">
        <f t="shared" si="11"/>
        <v>인천|8</v>
      </c>
      <c r="J728" s="100">
        <v>1.8</v>
      </c>
      <c r="K728" s="100">
        <v>0</v>
      </c>
      <c r="L728" s="100">
        <v>0</v>
      </c>
      <c r="M728" s="100">
        <v>0</v>
      </c>
      <c r="N728" s="100">
        <v>0</v>
      </c>
      <c r="O728" s="100">
        <v>0</v>
      </c>
      <c r="P728" s="100">
        <v>0</v>
      </c>
      <c r="Q728" s="100">
        <v>0</v>
      </c>
      <c r="R728" s="100">
        <v>0</v>
      </c>
      <c r="S728" s="100">
        <v>0</v>
      </c>
      <c r="T728" s="100">
        <v>0</v>
      </c>
      <c r="U728" s="100">
        <v>0.9</v>
      </c>
    </row>
    <row r="729" spans="4:21">
      <c r="D729" s="97" t="s">
        <v>661</v>
      </c>
      <c r="E729" s="97" t="s">
        <v>662</v>
      </c>
      <c r="F729" s="94" t="s">
        <v>663</v>
      </c>
      <c r="G729" s="97">
        <v>8</v>
      </c>
      <c r="H729" s="98" t="s">
        <v>747</v>
      </c>
      <c r="I729" s="99" t="str">
        <f t="shared" si="11"/>
        <v>강진군|8</v>
      </c>
      <c r="J729" s="100">
        <v>0.5</v>
      </c>
      <c r="K729" s="100">
        <v>0</v>
      </c>
      <c r="L729" s="100">
        <v>0</v>
      </c>
      <c r="M729" s="100">
        <v>0</v>
      </c>
      <c r="N729" s="100">
        <v>0</v>
      </c>
      <c r="O729" s="100">
        <v>0</v>
      </c>
      <c r="P729" s="100">
        <v>0</v>
      </c>
      <c r="Q729" s="100">
        <v>0</v>
      </c>
      <c r="R729" s="100">
        <v>0</v>
      </c>
      <c r="S729" s="100">
        <v>0</v>
      </c>
      <c r="T729" s="100">
        <v>0</v>
      </c>
      <c r="U729" s="100">
        <v>0</v>
      </c>
    </row>
    <row r="730" spans="4:21">
      <c r="D730" s="97" t="s">
        <v>664</v>
      </c>
      <c r="E730" s="97" t="s">
        <v>662</v>
      </c>
      <c r="F730" s="94" t="s">
        <v>665</v>
      </c>
      <c r="G730" s="97">
        <v>8</v>
      </c>
      <c r="H730" s="98" t="s">
        <v>747</v>
      </c>
      <c r="I730" s="99" t="str">
        <f t="shared" si="11"/>
        <v>고흥|8</v>
      </c>
      <c r="J730" s="100">
        <v>0.5</v>
      </c>
      <c r="K730" s="100">
        <v>0</v>
      </c>
      <c r="L730" s="100">
        <v>0</v>
      </c>
      <c r="M730" s="100">
        <v>0</v>
      </c>
      <c r="N730" s="100">
        <v>0</v>
      </c>
      <c r="O730" s="100">
        <v>0</v>
      </c>
      <c r="P730" s="100">
        <v>0</v>
      </c>
      <c r="Q730" s="100">
        <v>0</v>
      </c>
      <c r="R730" s="100">
        <v>0</v>
      </c>
      <c r="S730" s="100">
        <v>0</v>
      </c>
      <c r="T730" s="100">
        <v>0</v>
      </c>
      <c r="U730" s="100">
        <v>0</v>
      </c>
    </row>
    <row r="731" spans="4:21">
      <c r="D731" s="97" t="s">
        <v>666</v>
      </c>
      <c r="E731" s="97" t="s">
        <v>662</v>
      </c>
      <c r="F731" s="94" t="s">
        <v>667</v>
      </c>
      <c r="G731" s="97">
        <v>8</v>
      </c>
      <c r="H731" s="98" t="s">
        <v>747</v>
      </c>
      <c r="I731" s="99" t="str">
        <f t="shared" si="11"/>
        <v>광양시|8</v>
      </c>
      <c r="J731" s="100">
        <v>0.1</v>
      </c>
      <c r="K731" s="100">
        <v>0</v>
      </c>
      <c r="L731" s="100">
        <v>0</v>
      </c>
      <c r="M731" s="100">
        <v>0</v>
      </c>
      <c r="N731" s="100">
        <v>0</v>
      </c>
      <c r="O731" s="100">
        <v>0</v>
      </c>
      <c r="P731" s="100">
        <v>0</v>
      </c>
      <c r="Q731" s="100">
        <v>0</v>
      </c>
      <c r="R731" s="100">
        <v>0</v>
      </c>
      <c r="S731" s="100">
        <v>0</v>
      </c>
      <c r="T731" s="100">
        <v>0</v>
      </c>
      <c r="U731" s="100">
        <v>0</v>
      </c>
    </row>
    <row r="732" spans="4:21">
      <c r="D732" s="97" t="s">
        <v>668</v>
      </c>
      <c r="E732" s="97" t="s">
        <v>662</v>
      </c>
      <c r="F732" s="94" t="s">
        <v>669</v>
      </c>
      <c r="G732" s="97">
        <v>8</v>
      </c>
      <c r="H732" s="98" t="s">
        <v>747</v>
      </c>
      <c r="I732" s="99" t="str">
        <f t="shared" si="11"/>
        <v>목포|8</v>
      </c>
      <c r="J732" s="100">
        <v>0.2</v>
      </c>
      <c r="K732" s="100">
        <v>0</v>
      </c>
      <c r="L732" s="100">
        <v>0</v>
      </c>
      <c r="M732" s="100">
        <v>0</v>
      </c>
      <c r="N732" s="100">
        <v>0</v>
      </c>
      <c r="O732" s="100">
        <v>0</v>
      </c>
      <c r="P732" s="100">
        <v>0</v>
      </c>
      <c r="Q732" s="100">
        <v>0</v>
      </c>
      <c r="R732" s="100">
        <v>0</v>
      </c>
      <c r="S732" s="100">
        <v>0</v>
      </c>
      <c r="T732" s="100">
        <v>0</v>
      </c>
      <c r="U732" s="100">
        <v>0</v>
      </c>
    </row>
    <row r="733" spans="4:21">
      <c r="D733" s="97" t="s">
        <v>670</v>
      </c>
      <c r="E733" s="97" t="s">
        <v>662</v>
      </c>
      <c r="F733" s="94" t="s">
        <v>671</v>
      </c>
      <c r="G733" s="97">
        <v>8</v>
      </c>
      <c r="H733" s="98" t="s">
        <v>747</v>
      </c>
      <c r="I733" s="99" t="str">
        <f t="shared" si="11"/>
        <v>보성군|8</v>
      </c>
      <c r="J733" s="100">
        <v>0</v>
      </c>
      <c r="K733" s="100">
        <v>0</v>
      </c>
      <c r="L733" s="100">
        <v>0</v>
      </c>
      <c r="M733" s="100">
        <v>0</v>
      </c>
      <c r="N733" s="100">
        <v>0</v>
      </c>
      <c r="O733" s="100">
        <v>0</v>
      </c>
      <c r="P733" s="100">
        <v>0</v>
      </c>
      <c r="Q733" s="100">
        <v>0</v>
      </c>
      <c r="R733" s="100">
        <v>0</v>
      </c>
      <c r="S733" s="100">
        <v>0</v>
      </c>
      <c r="T733" s="100">
        <v>0</v>
      </c>
      <c r="U733" s="100">
        <v>0</v>
      </c>
    </row>
    <row r="734" spans="4:21">
      <c r="D734" s="97" t="s">
        <v>672</v>
      </c>
      <c r="E734" s="97" t="s">
        <v>662</v>
      </c>
      <c r="F734" s="94" t="s">
        <v>673</v>
      </c>
      <c r="G734" s="97">
        <v>8</v>
      </c>
      <c r="H734" s="98" t="s">
        <v>747</v>
      </c>
      <c r="I734" s="99" t="str">
        <f t="shared" si="11"/>
        <v>순천|8</v>
      </c>
      <c r="J734" s="100">
        <v>0.8</v>
      </c>
      <c r="K734" s="100">
        <v>0.2</v>
      </c>
      <c r="L734" s="100">
        <v>0</v>
      </c>
      <c r="M734" s="100">
        <v>0</v>
      </c>
      <c r="N734" s="100">
        <v>0</v>
      </c>
      <c r="O734" s="100">
        <v>0</v>
      </c>
      <c r="P734" s="100">
        <v>0</v>
      </c>
      <c r="Q734" s="100">
        <v>0</v>
      </c>
      <c r="R734" s="100">
        <v>0</v>
      </c>
      <c r="S734" s="100">
        <v>0</v>
      </c>
      <c r="T734" s="100">
        <v>0</v>
      </c>
      <c r="U734" s="100">
        <v>0</v>
      </c>
    </row>
    <row r="735" spans="4:21">
      <c r="D735" s="97" t="s">
        <v>674</v>
      </c>
      <c r="E735" s="97" t="s">
        <v>662</v>
      </c>
      <c r="F735" s="94" t="s">
        <v>675</v>
      </c>
      <c r="G735" s="97">
        <v>8</v>
      </c>
      <c r="H735" s="98" t="s">
        <v>747</v>
      </c>
      <c r="I735" s="99" t="str">
        <f t="shared" si="11"/>
        <v>여수|8</v>
      </c>
      <c r="J735" s="100">
        <v>0</v>
      </c>
      <c r="K735" s="100">
        <v>0</v>
      </c>
      <c r="L735" s="100">
        <v>0</v>
      </c>
      <c r="M735" s="100">
        <v>0</v>
      </c>
      <c r="N735" s="100">
        <v>0</v>
      </c>
      <c r="O735" s="100">
        <v>0</v>
      </c>
      <c r="P735" s="100">
        <v>0</v>
      </c>
      <c r="Q735" s="100">
        <v>0</v>
      </c>
      <c r="R735" s="100">
        <v>0</v>
      </c>
      <c r="S735" s="100">
        <v>0</v>
      </c>
      <c r="T735" s="100">
        <v>0</v>
      </c>
      <c r="U735" s="100">
        <v>0</v>
      </c>
    </row>
    <row r="736" spans="4:21">
      <c r="D736" s="97" t="s">
        <v>676</v>
      </c>
      <c r="E736" s="97" t="s">
        <v>662</v>
      </c>
      <c r="F736" s="94" t="s">
        <v>677</v>
      </c>
      <c r="G736" s="97">
        <v>8</v>
      </c>
      <c r="H736" s="98" t="s">
        <v>747</v>
      </c>
      <c r="I736" s="99" t="str">
        <f t="shared" si="11"/>
        <v>영광군|8</v>
      </c>
      <c r="J736" s="100">
        <v>1.2</v>
      </c>
      <c r="K736" s="100">
        <v>0.2</v>
      </c>
      <c r="L736" s="100">
        <v>0</v>
      </c>
      <c r="M736" s="100">
        <v>0</v>
      </c>
      <c r="N736" s="100">
        <v>0</v>
      </c>
      <c r="O736" s="100">
        <v>0</v>
      </c>
      <c r="P736" s="100">
        <v>0</v>
      </c>
      <c r="Q736" s="100">
        <v>0</v>
      </c>
      <c r="R736" s="100">
        <v>0</v>
      </c>
      <c r="S736" s="100">
        <v>0</v>
      </c>
      <c r="T736" s="100">
        <v>0</v>
      </c>
      <c r="U736" s="100">
        <v>0.1</v>
      </c>
    </row>
    <row r="737" spans="4:21">
      <c r="D737" s="97" t="s">
        <v>678</v>
      </c>
      <c r="E737" s="97" t="s">
        <v>662</v>
      </c>
      <c r="F737" s="94" t="s">
        <v>679</v>
      </c>
      <c r="G737" s="97">
        <v>8</v>
      </c>
      <c r="H737" s="98" t="s">
        <v>747</v>
      </c>
      <c r="I737" s="99" t="str">
        <f t="shared" si="11"/>
        <v>완도|8</v>
      </c>
      <c r="J737" s="100">
        <v>0</v>
      </c>
      <c r="K737" s="100">
        <v>0</v>
      </c>
      <c r="L737" s="100">
        <v>0</v>
      </c>
      <c r="M737" s="100">
        <v>0</v>
      </c>
      <c r="N737" s="100">
        <v>0</v>
      </c>
      <c r="O737" s="100">
        <v>0</v>
      </c>
      <c r="P737" s="100">
        <v>0</v>
      </c>
      <c r="Q737" s="100">
        <v>0</v>
      </c>
      <c r="R737" s="100">
        <v>0</v>
      </c>
      <c r="S737" s="100">
        <v>0</v>
      </c>
      <c r="T737" s="100">
        <v>0</v>
      </c>
      <c r="U737" s="100">
        <v>0</v>
      </c>
    </row>
    <row r="738" spans="4:21">
      <c r="D738" s="97" t="s">
        <v>680</v>
      </c>
      <c r="E738" s="97" t="s">
        <v>662</v>
      </c>
      <c r="F738" s="94" t="s">
        <v>681</v>
      </c>
      <c r="G738" s="97">
        <v>8</v>
      </c>
      <c r="H738" s="98" t="s">
        <v>747</v>
      </c>
      <c r="I738" s="99" t="str">
        <f t="shared" si="11"/>
        <v>장흥|8</v>
      </c>
      <c r="J738" s="100">
        <v>0.7</v>
      </c>
      <c r="K738" s="100">
        <v>0</v>
      </c>
      <c r="L738" s="100">
        <v>0</v>
      </c>
      <c r="M738" s="100">
        <v>0</v>
      </c>
      <c r="N738" s="100">
        <v>0</v>
      </c>
      <c r="O738" s="100">
        <v>0</v>
      </c>
      <c r="P738" s="100">
        <v>0</v>
      </c>
      <c r="Q738" s="100">
        <v>0</v>
      </c>
      <c r="R738" s="100">
        <v>0</v>
      </c>
      <c r="S738" s="100">
        <v>0</v>
      </c>
      <c r="T738" s="100">
        <v>0</v>
      </c>
      <c r="U738" s="100">
        <v>0</v>
      </c>
    </row>
    <row r="739" spans="4:21">
      <c r="D739" s="97" t="s">
        <v>682</v>
      </c>
      <c r="E739" s="97" t="s">
        <v>662</v>
      </c>
      <c r="F739" s="94" t="s">
        <v>683</v>
      </c>
      <c r="G739" s="97">
        <v>8</v>
      </c>
      <c r="H739" s="98" t="s">
        <v>747</v>
      </c>
      <c r="I739" s="99" t="str">
        <f t="shared" si="11"/>
        <v>진도군|8</v>
      </c>
      <c r="J739" s="100">
        <v>0.2</v>
      </c>
      <c r="K739" s="100">
        <v>0</v>
      </c>
      <c r="L739" s="100">
        <v>0</v>
      </c>
      <c r="M739" s="100">
        <v>0</v>
      </c>
      <c r="N739" s="100">
        <v>0</v>
      </c>
      <c r="O739" s="100">
        <v>0</v>
      </c>
      <c r="P739" s="100">
        <v>0</v>
      </c>
      <c r="Q739" s="100">
        <v>0</v>
      </c>
      <c r="R739" s="100">
        <v>0</v>
      </c>
      <c r="S739" s="100">
        <v>0</v>
      </c>
      <c r="T739" s="100">
        <v>0</v>
      </c>
      <c r="U739" s="100">
        <v>0</v>
      </c>
    </row>
    <row r="740" spans="4:21">
      <c r="D740" s="97" t="s">
        <v>684</v>
      </c>
      <c r="E740" s="97" t="s">
        <v>662</v>
      </c>
      <c r="F740" s="94" t="s">
        <v>685</v>
      </c>
      <c r="G740" s="97">
        <v>8</v>
      </c>
      <c r="H740" s="98" t="s">
        <v>747</v>
      </c>
      <c r="I740" s="99" t="str">
        <f t="shared" si="11"/>
        <v>해남|8</v>
      </c>
      <c r="J740" s="100">
        <v>0.7</v>
      </c>
      <c r="K740" s="100">
        <v>0.2</v>
      </c>
      <c r="L740" s="100">
        <v>0</v>
      </c>
      <c r="M740" s="100">
        <v>0</v>
      </c>
      <c r="N740" s="100">
        <v>0</v>
      </c>
      <c r="O740" s="100">
        <v>0</v>
      </c>
      <c r="P740" s="100">
        <v>0</v>
      </c>
      <c r="Q740" s="100">
        <v>0</v>
      </c>
      <c r="R740" s="100">
        <v>0</v>
      </c>
      <c r="S740" s="100">
        <v>0</v>
      </c>
      <c r="T740" s="100">
        <v>0</v>
      </c>
      <c r="U740" s="100">
        <v>0</v>
      </c>
    </row>
    <row r="741" spans="4:21">
      <c r="D741" s="97" t="s">
        <v>686</v>
      </c>
      <c r="E741" s="97" t="s">
        <v>662</v>
      </c>
      <c r="F741" s="94" t="s">
        <v>687</v>
      </c>
      <c r="G741" s="97">
        <v>8</v>
      </c>
      <c r="H741" s="98" t="s">
        <v>747</v>
      </c>
      <c r="I741" s="99" t="str">
        <f t="shared" si="11"/>
        <v>흑산도|8</v>
      </c>
      <c r="J741" s="100">
        <v>0</v>
      </c>
      <c r="K741" s="100">
        <v>0</v>
      </c>
      <c r="L741" s="100">
        <v>0</v>
      </c>
      <c r="M741" s="100">
        <v>0</v>
      </c>
      <c r="N741" s="100">
        <v>0</v>
      </c>
      <c r="O741" s="100">
        <v>0</v>
      </c>
      <c r="P741" s="100">
        <v>0</v>
      </c>
      <c r="Q741" s="100">
        <v>0</v>
      </c>
      <c r="R741" s="100">
        <v>0</v>
      </c>
      <c r="S741" s="100">
        <v>0</v>
      </c>
      <c r="T741" s="100">
        <v>0</v>
      </c>
      <c r="U741" s="100">
        <v>0</v>
      </c>
    </row>
    <row r="742" spans="4:21">
      <c r="D742" s="97" t="s">
        <v>688</v>
      </c>
      <c r="E742" s="97" t="s">
        <v>689</v>
      </c>
      <c r="F742" s="94" t="s">
        <v>690</v>
      </c>
      <c r="G742" s="97">
        <v>8</v>
      </c>
      <c r="H742" s="98" t="s">
        <v>747</v>
      </c>
      <c r="I742" s="99" t="str">
        <f t="shared" si="11"/>
        <v>고창|8</v>
      </c>
      <c r="J742" s="100">
        <v>1.3</v>
      </c>
      <c r="K742" s="100">
        <v>0.2</v>
      </c>
      <c r="L742" s="100">
        <v>0</v>
      </c>
      <c r="M742" s="100">
        <v>0</v>
      </c>
      <c r="N742" s="100">
        <v>0</v>
      </c>
      <c r="O742" s="100">
        <v>0</v>
      </c>
      <c r="P742" s="100">
        <v>0</v>
      </c>
      <c r="Q742" s="100">
        <v>0</v>
      </c>
      <c r="R742" s="100">
        <v>0</v>
      </c>
      <c r="S742" s="100">
        <v>0</v>
      </c>
      <c r="T742" s="100">
        <v>0</v>
      </c>
      <c r="U742" s="100">
        <v>0.2</v>
      </c>
    </row>
    <row r="743" spans="4:21">
      <c r="D743" s="97" t="s">
        <v>691</v>
      </c>
      <c r="E743" s="97" t="s">
        <v>689</v>
      </c>
      <c r="F743" s="94" t="s">
        <v>692</v>
      </c>
      <c r="G743" s="97">
        <v>8</v>
      </c>
      <c r="H743" s="98" t="s">
        <v>747</v>
      </c>
      <c r="I743" s="99" t="str">
        <f t="shared" si="11"/>
        <v>고창군|8</v>
      </c>
      <c r="J743" s="100">
        <v>1.2</v>
      </c>
      <c r="K743" s="100">
        <v>0.2</v>
      </c>
      <c r="L743" s="100">
        <v>0</v>
      </c>
      <c r="M743" s="100">
        <v>0</v>
      </c>
      <c r="N743" s="100">
        <v>0</v>
      </c>
      <c r="O743" s="100">
        <v>0</v>
      </c>
      <c r="P743" s="100">
        <v>0</v>
      </c>
      <c r="Q743" s="100">
        <v>0</v>
      </c>
      <c r="R743" s="100">
        <v>0</v>
      </c>
      <c r="S743" s="100">
        <v>0</v>
      </c>
      <c r="T743" s="100">
        <v>0</v>
      </c>
      <c r="U743" s="100">
        <v>0.1</v>
      </c>
    </row>
    <row r="744" spans="4:21">
      <c r="D744" s="97" t="s">
        <v>693</v>
      </c>
      <c r="E744" s="97" t="s">
        <v>689</v>
      </c>
      <c r="F744" s="94" t="s">
        <v>694</v>
      </c>
      <c r="G744" s="97">
        <v>8</v>
      </c>
      <c r="H744" s="98" t="s">
        <v>747</v>
      </c>
      <c r="I744" s="99" t="str">
        <f t="shared" si="11"/>
        <v>군산|8</v>
      </c>
      <c r="J744" s="100">
        <v>1.3</v>
      </c>
      <c r="K744" s="100">
        <v>0.1</v>
      </c>
      <c r="L744" s="100">
        <v>0</v>
      </c>
      <c r="M744" s="100">
        <v>0</v>
      </c>
      <c r="N744" s="100">
        <v>0</v>
      </c>
      <c r="O744" s="100">
        <v>0</v>
      </c>
      <c r="P744" s="100">
        <v>0</v>
      </c>
      <c r="Q744" s="100">
        <v>0</v>
      </c>
      <c r="R744" s="100">
        <v>0</v>
      </c>
      <c r="S744" s="100">
        <v>0</v>
      </c>
      <c r="T744" s="100">
        <v>0</v>
      </c>
      <c r="U744" s="100">
        <v>0.1</v>
      </c>
    </row>
    <row r="745" spans="4:21">
      <c r="D745" s="97" t="s">
        <v>695</v>
      </c>
      <c r="E745" s="97" t="s">
        <v>689</v>
      </c>
      <c r="F745" s="94" t="s">
        <v>696</v>
      </c>
      <c r="G745" s="97">
        <v>8</v>
      </c>
      <c r="H745" s="98" t="s">
        <v>747</v>
      </c>
      <c r="I745" s="99" t="str">
        <f t="shared" si="11"/>
        <v>남원|8</v>
      </c>
      <c r="J745" s="100">
        <v>2.2000000000000002</v>
      </c>
      <c r="K745" s="100">
        <v>0.4</v>
      </c>
      <c r="L745" s="100">
        <v>0</v>
      </c>
      <c r="M745" s="100">
        <v>0</v>
      </c>
      <c r="N745" s="100">
        <v>0</v>
      </c>
      <c r="O745" s="100">
        <v>0</v>
      </c>
      <c r="P745" s="100">
        <v>0</v>
      </c>
      <c r="Q745" s="100">
        <v>0</v>
      </c>
      <c r="R745" s="100">
        <v>0</v>
      </c>
      <c r="S745" s="100">
        <v>0</v>
      </c>
      <c r="T745" s="100">
        <v>0</v>
      </c>
      <c r="U745" s="100">
        <v>0.5</v>
      </c>
    </row>
    <row r="746" spans="4:21">
      <c r="D746" s="97" t="s">
        <v>697</v>
      </c>
      <c r="E746" s="97" t="s">
        <v>689</v>
      </c>
      <c r="F746" s="94" t="s">
        <v>698</v>
      </c>
      <c r="G746" s="97">
        <v>8</v>
      </c>
      <c r="H746" s="98" t="s">
        <v>747</v>
      </c>
      <c r="I746" s="99" t="str">
        <f t="shared" si="11"/>
        <v>부안|8</v>
      </c>
      <c r="J746" s="100">
        <v>1.5</v>
      </c>
      <c r="K746" s="100">
        <v>0.2</v>
      </c>
      <c r="L746" s="100">
        <v>0</v>
      </c>
      <c r="M746" s="100">
        <v>0</v>
      </c>
      <c r="N746" s="100">
        <v>0</v>
      </c>
      <c r="O746" s="100">
        <v>0</v>
      </c>
      <c r="P746" s="100">
        <v>0</v>
      </c>
      <c r="Q746" s="100">
        <v>0</v>
      </c>
      <c r="R746" s="100">
        <v>0</v>
      </c>
      <c r="S746" s="100">
        <v>0</v>
      </c>
      <c r="T746" s="100">
        <v>0</v>
      </c>
      <c r="U746" s="100">
        <v>0</v>
      </c>
    </row>
    <row r="747" spans="4:21">
      <c r="D747" s="97" t="s">
        <v>699</v>
      </c>
      <c r="E747" s="97" t="s">
        <v>689</v>
      </c>
      <c r="F747" s="94" t="s">
        <v>700</v>
      </c>
      <c r="G747" s="97">
        <v>8</v>
      </c>
      <c r="H747" s="98" t="s">
        <v>747</v>
      </c>
      <c r="I747" s="99" t="str">
        <f t="shared" si="11"/>
        <v>순창군|8</v>
      </c>
      <c r="J747" s="100">
        <v>2.5</v>
      </c>
      <c r="K747" s="100">
        <v>0.4</v>
      </c>
      <c r="L747" s="100">
        <v>0</v>
      </c>
      <c r="M747" s="100">
        <v>0</v>
      </c>
      <c r="N747" s="100">
        <v>0</v>
      </c>
      <c r="O747" s="100">
        <v>0</v>
      </c>
      <c r="P747" s="100">
        <v>0</v>
      </c>
      <c r="Q747" s="100">
        <v>0</v>
      </c>
      <c r="R747" s="100">
        <v>0</v>
      </c>
      <c r="S747" s="100">
        <v>0</v>
      </c>
      <c r="T747" s="100">
        <v>0</v>
      </c>
      <c r="U747" s="100">
        <v>0.6</v>
      </c>
    </row>
    <row r="748" spans="4:21">
      <c r="D748" s="97" t="s">
        <v>701</v>
      </c>
      <c r="E748" s="97" t="s">
        <v>689</v>
      </c>
      <c r="F748" s="94" t="s">
        <v>702</v>
      </c>
      <c r="G748" s="97">
        <v>8</v>
      </c>
      <c r="H748" s="98" t="s">
        <v>747</v>
      </c>
      <c r="I748" s="99" t="str">
        <f t="shared" si="11"/>
        <v>임실|8</v>
      </c>
      <c r="J748" s="100">
        <v>4</v>
      </c>
      <c r="K748" s="100">
        <v>1.2</v>
      </c>
      <c r="L748" s="100">
        <v>0</v>
      </c>
      <c r="M748" s="100">
        <v>0</v>
      </c>
      <c r="N748" s="100">
        <v>0</v>
      </c>
      <c r="O748" s="100">
        <v>0</v>
      </c>
      <c r="P748" s="100">
        <v>0</v>
      </c>
      <c r="Q748" s="100">
        <v>0</v>
      </c>
      <c r="R748" s="100">
        <v>0</v>
      </c>
      <c r="S748" s="100">
        <v>0</v>
      </c>
      <c r="T748" s="100">
        <v>0</v>
      </c>
      <c r="U748" s="100">
        <v>1.4</v>
      </c>
    </row>
    <row r="749" spans="4:21">
      <c r="D749" s="97" t="s">
        <v>703</v>
      </c>
      <c r="E749" s="97" t="s">
        <v>689</v>
      </c>
      <c r="F749" s="94" t="s">
        <v>704</v>
      </c>
      <c r="G749" s="97">
        <v>8</v>
      </c>
      <c r="H749" s="98" t="s">
        <v>747</v>
      </c>
      <c r="I749" s="99" t="str">
        <f t="shared" si="11"/>
        <v>장수|8</v>
      </c>
      <c r="J749" s="100">
        <v>5.7</v>
      </c>
      <c r="K749" s="100">
        <v>1.6</v>
      </c>
      <c r="L749" s="100">
        <v>0.1</v>
      </c>
      <c r="M749" s="100">
        <v>0</v>
      </c>
      <c r="N749" s="100">
        <v>0</v>
      </c>
      <c r="O749" s="100">
        <v>0</v>
      </c>
      <c r="P749" s="100">
        <v>0</v>
      </c>
      <c r="Q749" s="100">
        <v>0</v>
      </c>
      <c r="R749" s="100">
        <v>0</v>
      </c>
      <c r="S749" s="100">
        <v>0</v>
      </c>
      <c r="T749" s="100">
        <v>0</v>
      </c>
      <c r="U749" s="100">
        <v>2.6</v>
      </c>
    </row>
    <row r="750" spans="4:21">
      <c r="D750" s="97" t="s">
        <v>705</v>
      </c>
      <c r="E750" s="97" t="s">
        <v>689</v>
      </c>
      <c r="F750" s="94" t="s">
        <v>706</v>
      </c>
      <c r="G750" s="97">
        <v>8</v>
      </c>
      <c r="H750" s="98" t="s">
        <v>747</v>
      </c>
      <c r="I750" s="99" t="str">
        <f t="shared" si="11"/>
        <v>전주|8</v>
      </c>
      <c r="J750" s="100">
        <v>1.3</v>
      </c>
      <c r="K750" s="100">
        <v>0</v>
      </c>
      <c r="L750" s="100">
        <v>0</v>
      </c>
      <c r="M750" s="100">
        <v>0</v>
      </c>
      <c r="N750" s="100">
        <v>0</v>
      </c>
      <c r="O750" s="100">
        <v>0</v>
      </c>
      <c r="P750" s="100">
        <v>0</v>
      </c>
      <c r="Q750" s="100">
        <v>0</v>
      </c>
      <c r="R750" s="100">
        <v>0</v>
      </c>
      <c r="S750" s="100">
        <v>0</v>
      </c>
      <c r="T750" s="100">
        <v>0</v>
      </c>
      <c r="U750" s="100">
        <v>0</v>
      </c>
    </row>
    <row r="751" spans="4:21">
      <c r="D751" s="97" t="s">
        <v>707</v>
      </c>
      <c r="E751" s="97" t="s">
        <v>689</v>
      </c>
      <c r="F751" s="94" t="s">
        <v>708</v>
      </c>
      <c r="G751" s="97">
        <v>8</v>
      </c>
      <c r="H751" s="98" t="s">
        <v>747</v>
      </c>
      <c r="I751" s="99" t="str">
        <f t="shared" si="11"/>
        <v>정읍|8</v>
      </c>
      <c r="J751" s="100">
        <v>1.4</v>
      </c>
      <c r="K751" s="100">
        <v>0.3</v>
      </c>
      <c r="L751" s="100">
        <v>0</v>
      </c>
      <c r="M751" s="100">
        <v>0</v>
      </c>
      <c r="N751" s="100">
        <v>0</v>
      </c>
      <c r="O751" s="100">
        <v>0</v>
      </c>
      <c r="P751" s="100">
        <v>0</v>
      </c>
      <c r="Q751" s="100">
        <v>0</v>
      </c>
      <c r="R751" s="100">
        <v>0</v>
      </c>
      <c r="S751" s="100">
        <v>0</v>
      </c>
      <c r="T751" s="100">
        <v>0</v>
      </c>
      <c r="U751" s="100">
        <v>0</v>
      </c>
    </row>
    <row r="752" spans="4:21">
      <c r="D752" s="97" t="s">
        <v>709</v>
      </c>
      <c r="E752" s="97" t="s">
        <v>710</v>
      </c>
      <c r="F752" s="94" t="s">
        <v>711</v>
      </c>
      <c r="G752" s="97">
        <v>8</v>
      </c>
      <c r="H752" s="98" t="s">
        <v>747</v>
      </c>
      <c r="I752" s="99" t="str">
        <f t="shared" si="11"/>
        <v>고산|8</v>
      </c>
      <c r="J752" s="100">
        <v>0</v>
      </c>
      <c r="K752" s="100">
        <v>0</v>
      </c>
      <c r="L752" s="100">
        <v>0</v>
      </c>
      <c r="M752" s="100">
        <v>0</v>
      </c>
      <c r="N752" s="100">
        <v>0</v>
      </c>
      <c r="O752" s="100">
        <v>0</v>
      </c>
      <c r="P752" s="100">
        <v>0</v>
      </c>
      <c r="Q752" s="100">
        <v>0</v>
      </c>
      <c r="R752" s="100">
        <v>0</v>
      </c>
      <c r="S752" s="100">
        <v>0</v>
      </c>
      <c r="T752" s="100">
        <v>0</v>
      </c>
      <c r="U752" s="100">
        <v>0</v>
      </c>
    </row>
    <row r="753" spans="4:21">
      <c r="D753" s="97" t="s">
        <v>712</v>
      </c>
      <c r="E753" s="97" t="s">
        <v>710</v>
      </c>
      <c r="F753" s="94" t="s">
        <v>713</v>
      </c>
      <c r="G753" s="97">
        <v>8</v>
      </c>
      <c r="H753" s="98" t="s">
        <v>747</v>
      </c>
      <c r="I753" s="99" t="str">
        <f t="shared" si="11"/>
        <v>서귀포|8</v>
      </c>
      <c r="J753" s="100">
        <v>0</v>
      </c>
      <c r="K753" s="100">
        <v>0</v>
      </c>
      <c r="L753" s="100">
        <v>0</v>
      </c>
      <c r="M753" s="100">
        <v>0</v>
      </c>
      <c r="N753" s="100">
        <v>0</v>
      </c>
      <c r="O753" s="100">
        <v>0</v>
      </c>
      <c r="P753" s="100">
        <v>0</v>
      </c>
      <c r="Q753" s="100">
        <v>0</v>
      </c>
      <c r="R753" s="100">
        <v>0</v>
      </c>
      <c r="S753" s="100">
        <v>0</v>
      </c>
      <c r="T753" s="100">
        <v>0</v>
      </c>
      <c r="U753" s="100">
        <v>0</v>
      </c>
    </row>
    <row r="754" spans="4:21">
      <c r="D754" s="97" t="s">
        <v>714</v>
      </c>
      <c r="E754" s="97" t="s">
        <v>710</v>
      </c>
      <c r="F754" s="94" t="s">
        <v>715</v>
      </c>
      <c r="G754" s="97">
        <v>8</v>
      </c>
      <c r="H754" s="98" t="s">
        <v>747</v>
      </c>
      <c r="I754" s="99" t="str">
        <f t="shared" si="11"/>
        <v>성산|8</v>
      </c>
      <c r="J754" s="100">
        <v>0</v>
      </c>
      <c r="K754" s="100">
        <v>0</v>
      </c>
      <c r="L754" s="100">
        <v>0</v>
      </c>
      <c r="M754" s="100">
        <v>0</v>
      </c>
      <c r="N754" s="100">
        <v>0</v>
      </c>
      <c r="O754" s="100">
        <v>0</v>
      </c>
      <c r="P754" s="100">
        <v>0</v>
      </c>
      <c r="Q754" s="100">
        <v>0</v>
      </c>
      <c r="R754" s="100">
        <v>0</v>
      </c>
      <c r="S754" s="100">
        <v>0</v>
      </c>
      <c r="T754" s="100">
        <v>0</v>
      </c>
      <c r="U754" s="100">
        <v>0</v>
      </c>
    </row>
    <row r="755" spans="4:21">
      <c r="D755" s="97" t="s">
        <v>716</v>
      </c>
      <c r="E755" s="97" t="s">
        <v>710</v>
      </c>
      <c r="F755" s="94" t="s">
        <v>717</v>
      </c>
      <c r="G755" s="97">
        <v>8</v>
      </c>
      <c r="H755" s="98" t="s">
        <v>747</v>
      </c>
      <c r="I755" s="99" t="str">
        <f t="shared" si="11"/>
        <v>제주|8</v>
      </c>
      <c r="J755" s="100">
        <v>0</v>
      </c>
      <c r="K755" s="100">
        <v>0</v>
      </c>
      <c r="L755" s="100">
        <v>0</v>
      </c>
      <c r="M755" s="100">
        <v>0</v>
      </c>
      <c r="N755" s="100">
        <v>0</v>
      </c>
      <c r="O755" s="100">
        <v>0</v>
      </c>
      <c r="P755" s="100">
        <v>0</v>
      </c>
      <c r="Q755" s="100">
        <v>0</v>
      </c>
      <c r="R755" s="100">
        <v>0</v>
      </c>
      <c r="S755" s="100">
        <v>0</v>
      </c>
      <c r="T755" s="100">
        <v>0</v>
      </c>
      <c r="U755" s="100">
        <v>0</v>
      </c>
    </row>
    <row r="756" spans="4:21">
      <c r="D756" s="97" t="s">
        <v>718</v>
      </c>
      <c r="E756" s="97" t="s">
        <v>719</v>
      </c>
      <c r="F756" s="94" t="s">
        <v>720</v>
      </c>
      <c r="G756" s="97">
        <v>8</v>
      </c>
      <c r="H756" s="98" t="s">
        <v>747</v>
      </c>
      <c r="I756" s="99" t="str">
        <f t="shared" si="11"/>
        <v>금산|8</v>
      </c>
      <c r="J756" s="100">
        <v>3.8</v>
      </c>
      <c r="K756" s="100">
        <v>1.2</v>
      </c>
      <c r="L756" s="100">
        <v>0</v>
      </c>
      <c r="M756" s="100">
        <v>0</v>
      </c>
      <c r="N756" s="100">
        <v>0</v>
      </c>
      <c r="O756" s="100">
        <v>0</v>
      </c>
      <c r="P756" s="100">
        <v>0</v>
      </c>
      <c r="Q756" s="100">
        <v>0</v>
      </c>
      <c r="R756" s="100">
        <v>0</v>
      </c>
      <c r="S756" s="100">
        <v>0</v>
      </c>
      <c r="T756" s="100">
        <v>0</v>
      </c>
      <c r="U756" s="100">
        <v>2.2999999999999998</v>
      </c>
    </row>
    <row r="757" spans="4:21">
      <c r="D757" s="97" t="s">
        <v>721</v>
      </c>
      <c r="E757" s="97" t="s">
        <v>719</v>
      </c>
      <c r="F757" s="94" t="s">
        <v>722</v>
      </c>
      <c r="G757" s="97">
        <v>8</v>
      </c>
      <c r="H757" s="98" t="s">
        <v>747</v>
      </c>
      <c r="I757" s="99" t="str">
        <f t="shared" si="11"/>
        <v>보령|8</v>
      </c>
      <c r="J757" s="100">
        <v>1.1000000000000001</v>
      </c>
      <c r="K757" s="100">
        <v>0.1</v>
      </c>
      <c r="L757" s="100">
        <v>0</v>
      </c>
      <c r="M757" s="100">
        <v>0</v>
      </c>
      <c r="N757" s="100">
        <v>0</v>
      </c>
      <c r="O757" s="100">
        <v>0</v>
      </c>
      <c r="P757" s="100">
        <v>0</v>
      </c>
      <c r="Q757" s="100">
        <v>0</v>
      </c>
      <c r="R757" s="100">
        <v>0</v>
      </c>
      <c r="S757" s="100">
        <v>0</v>
      </c>
      <c r="T757" s="100">
        <v>0</v>
      </c>
      <c r="U757" s="100">
        <v>0</v>
      </c>
    </row>
    <row r="758" spans="4:21">
      <c r="D758" s="97" t="s">
        <v>723</v>
      </c>
      <c r="E758" s="97" t="s">
        <v>719</v>
      </c>
      <c r="F758" s="94" t="s">
        <v>724</v>
      </c>
      <c r="G758" s="97">
        <v>8</v>
      </c>
      <c r="H758" s="98" t="s">
        <v>747</v>
      </c>
      <c r="I758" s="99" t="str">
        <f t="shared" si="11"/>
        <v>부여|8</v>
      </c>
      <c r="J758" s="100">
        <v>2.5</v>
      </c>
      <c r="K758" s="100">
        <v>0.7</v>
      </c>
      <c r="L758" s="100">
        <v>0</v>
      </c>
      <c r="M758" s="100">
        <v>0</v>
      </c>
      <c r="N758" s="100">
        <v>0</v>
      </c>
      <c r="O758" s="100">
        <v>0</v>
      </c>
      <c r="P758" s="100">
        <v>0</v>
      </c>
      <c r="Q758" s="100">
        <v>0</v>
      </c>
      <c r="R758" s="100">
        <v>0</v>
      </c>
      <c r="S758" s="100">
        <v>0</v>
      </c>
      <c r="T758" s="100">
        <v>0</v>
      </c>
      <c r="U758" s="100">
        <v>0.9</v>
      </c>
    </row>
    <row r="759" spans="4:21">
      <c r="D759" s="97" t="s">
        <v>91</v>
      </c>
      <c r="E759" s="97" t="s">
        <v>719</v>
      </c>
      <c r="F759" s="94" t="s">
        <v>725</v>
      </c>
      <c r="G759" s="97">
        <v>8</v>
      </c>
      <c r="H759" s="98" t="s">
        <v>747</v>
      </c>
      <c r="I759" s="99" t="str">
        <f t="shared" si="11"/>
        <v>서산|8</v>
      </c>
      <c r="J759" s="100">
        <v>2</v>
      </c>
      <c r="K759" s="100">
        <v>0.3</v>
      </c>
      <c r="L759" s="100">
        <v>0</v>
      </c>
      <c r="M759" s="100">
        <v>0</v>
      </c>
      <c r="N759" s="100">
        <v>0</v>
      </c>
      <c r="O759" s="100">
        <v>0</v>
      </c>
      <c r="P759" s="100">
        <v>0</v>
      </c>
      <c r="Q759" s="100">
        <v>0</v>
      </c>
      <c r="R759" s="100">
        <v>0</v>
      </c>
      <c r="S759" s="100">
        <v>0</v>
      </c>
      <c r="T759" s="100">
        <v>0</v>
      </c>
      <c r="U759" s="100">
        <v>0.7</v>
      </c>
    </row>
    <row r="760" spans="4:21">
      <c r="D760" s="97" t="s">
        <v>726</v>
      </c>
      <c r="E760" s="97" t="s">
        <v>719</v>
      </c>
      <c r="F760" s="94" t="s">
        <v>727</v>
      </c>
      <c r="G760" s="97">
        <v>8</v>
      </c>
      <c r="H760" s="98" t="s">
        <v>747</v>
      </c>
      <c r="I760" s="99" t="str">
        <f t="shared" si="11"/>
        <v>천안|8</v>
      </c>
      <c r="J760" s="100">
        <v>5</v>
      </c>
      <c r="K760" s="100">
        <v>1.2</v>
      </c>
      <c r="L760" s="100">
        <v>0</v>
      </c>
      <c r="M760" s="100">
        <v>0</v>
      </c>
      <c r="N760" s="100">
        <v>0</v>
      </c>
      <c r="O760" s="100">
        <v>0</v>
      </c>
      <c r="P760" s="100">
        <v>0</v>
      </c>
      <c r="Q760" s="100">
        <v>0</v>
      </c>
      <c r="R760" s="100">
        <v>0</v>
      </c>
      <c r="S760" s="100">
        <v>0</v>
      </c>
      <c r="T760" s="100">
        <v>0</v>
      </c>
      <c r="U760" s="100">
        <v>3.7</v>
      </c>
    </row>
    <row r="761" spans="4:21">
      <c r="D761" s="97" t="s">
        <v>728</v>
      </c>
      <c r="E761" s="97" t="s">
        <v>719</v>
      </c>
      <c r="F761" s="94" t="s">
        <v>729</v>
      </c>
      <c r="G761" s="97">
        <v>8</v>
      </c>
      <c r="H761" s="98" t="s">
        <v>747</v>
      </c>
      <c r="I761" s="99" t="str">
        <f t="shared" si="11"/>
        <v>홍성|8</v>
      </c>
      <c r="J761" s="100">
        <v>2.9</v>
      </c>
      <c r="K761" s="100">
        <v>0.7</v>
      </c>
      <c r="L761" s="100">
        <v>0</v>
      </c>
      <c r="M761" s="100">
        <v>0</v>
      </c>
      <c r="N761" s="100">
        <v>0</v>
      </c>
      <c r="O761" s="100">
        <v>0</v>
      </c>
      <c r="P761" s="100">
        <v>0</v>
      </c>
      <c r="Q761" s="100">
        <v>0</v>
      </c>
      <c r="R761" s="100">
        <v>0</v>
      </c>
      <c r="S761" s="100">
        <v>0</v>
      </c>
      <c r="T761" s="100">
        <v>0</v>
      </c>
      <c r="U761" s="100">
        <v>1.2</v>
      </c>
    </row>
    <row r="762" spans="4:21">
      <c r="D762" s="97" t="s">
        <v>730</v>
      </c>
      <c r="E762" s="97" t="s">
        <v>731</v>
      </c>
      <c r="F762" s="94" t="s">
        <v>732</v>
      </c>
      <c r="G762" s="97">
        <v>8</v>
      </c>
      <c r="H762" s="98" t="s">
        <v>747</v>
      </c>
      <c r="I762" s="99" t="str">
        <f t="shared" si="11"/>
        <v>보은|8</v>
      </c>
      <c r="J762" s="100">
        <v>5.9</v>
      </c>
      <c r="K762" s="100">
        <v>1.9</v>
      </c>
      <c r="L762" s="100">
        <v>0</v>
      </c>
      <c r="M762" s="100">
        <v>0</v>
      </c>
      <c r="N762" s="100">
        <v>0</v>
      </c>
      <c r="O762" s="100">
        <v>0</v>
      </c>
      <c r="P762" s="100">
        <v>0</v>
      </c>
      <c r="Q762" s="100">
        <v>0</v>
      </c>
      <c r="R762" s="100">
        <v>0</v>
      </c>
      <c r="S762" s="100">
        <v>0</v>
      </c>
      <c r="T762" s="100">
        <v>0</v>
      </c>
      <c r="U762" s="100">
        <v>3.4</v>
      </c>
    </row>
    <row r="763" spans="4:21">
      <c r="D763" s="97" t="s">
        <v>733</v>
      </c>
      <c r="E763" s="97" t="s">
        <v>731</v>
      </c>
      <c r="F763" s="94" t="s">
        <v>734</v>
      </c>
      <c r="G763" s="97">
        <v>8</v>
      </c>
      <c r="H763" s="98" t="s">
        <v>747</v>
      </c>
      <c r="I763" s="99" t="str">
        <f t="shared" si="11"/>
        <v>제천|8</v>
      </c>
      <c r="J763" s="100">
        <v>11.7</v>
      </c>
      <c r="K763" s="100">
        <v>4.5</v>
      </c>
      <c r="L763" s="100">
        <v>0.1</v>
      </c>
      <c r="M763" s="100">
        <v>0</v>
      </c>
      <c r="N763" s="100">
        <v>0</v>
      </c>
      <c r="O763" s="100">
        <v>0</v>
      </c>
      <c r="P763" s="100">
        <v>0</v>
      </c>
      <c r="Q763" s="100">
        <v>0</v>
      </c>
      <c r="R763" s="100">
        <v>0</v>
      </c>
      <c r="S763" s="100">
        <v>0</v>
      </c>
      <c r="T763" s="100">
        <v>0</v>
      </c>
      <c r="U763" s="100">
        <v>6.7</v>
      </c>
    </row>
    <row r="764" spans="4:21">
      <c r="D764" s="97" t="s">
        <v>735</v>
      </c>
      <c r="E764" s="97" t="s">
        <v>731</v>
      </c>
      <c r="F764" s="94" t="s">
        <v>736</v>
      </c>
      <c r="G764" s="97">
        <v>8</v>
      </c>
      <c r="H764" s="98" t="s">
        <v>747</v>
      </c>
      <c r="I764" s="99" t="str">
        <f t="shared" si="11"/>
        <v>청주|8</v>
      </c>
      <c r="J764" s="100">
        <v>1.7</v>
      </c>
      <c r="K764" s="100">
        <v>0.1</v>
      </c>
      <c r="L764" s="100">
        <v>0</v>
      </c>
      <c r="M764" s="100">
        <v>0</v>
      </c>
      <c r="N764" s="100">
        <v>0</v>
      </c>
      <c r="O764" s="100">
        <v>0</v>
      </c>
      <c r="P764" s="100">
        <v>0</v>
      </c>
      <c r="Q764" s="100">
        <v>0</v>
      </c>
      <c r="R764" s="100">
        <v>0</v>
      </c>
      <c r="S764" s="100">
        <v>0</v>
      </c>
      <c r="T764" s="100">
        <v>0</v>
      </c>
      <c r="U764" s="100">
        <v>0.4</v>
      </c>
    </row>
    <row r="765" spans="4:21">
      <c r="D765" s="97" t="s">
        <v>737</v>
      </c>
      <c r="E765" s="97" t="s">
        <v>731</v>
      </c>
      <c r="F765" s="94" t="s">
        <v>738</v>
      </c>
      <c r="G765" s="97">
        <v>8</v>
      </c>
      <c r="H765" s="98" t="s">
        <v>747</v>
      </c>
      <c r="I765" s="99" t="str">
        <f t="shared" si="11"/>
        <v>추풍령|8</v>
      </c>
      <c r="J765" s="100">
        <v>2</v>
      </c>
      <c r="K765" s="100">
        <v>0.6</v>
      </c>
      <c r="L765" s="100">
        <v>0</v>
      </c>
      <c r="M765" s="100">
        <v>0</v>
      </c>
      <c r="N765" s="100">
        <v>0</v>
      </c>
      <c r="O765" s="100">
        <v>0</v>
      </c>
      <c r="P765" s="100">
        <v>0</v>
      </c>
      <c r="Q765" s="100">
        <v>0</v>
      </c>
      <c r="R765" s="100">
        <v>0</v>
      </c>
      <c r="S765" s="100">
        <v>0</v>
      </c>
      <c r="T765" s="100">
        <v>0</v>
      </c>
      <c r="U765" s="100">
        <v>1</v>
      </c>
    </row>
    <row r="766" spans="4:21">
      <c r="D766" s="97" t="s">
        <v>739</v>
      </c>
      <c r="E766" s="97" t="s">
        <v>731</v>
      </c>
      <c r="F766" s="94" t="s">
        <v>740</v>
      </c>
      <c r="G766" s="97">
        <v>8</v>
      </c>
      <c r="H766" s="98" t="s">
        <v>747</v>
      </c>
      <c r="I766" s="99" t="str">
        <f t="shared" si="11"/>
        <v>충주|8</v>
      </c>
      <c r="J766" s="100">
        <v>5.9</v>
      </c>
      <c r="K766" s="100">
        <v>1.7</v>
      </c>
      <c r="L766" s="100">
        <v>0.1</v>
      </c>
      <c r="M766" s="100">
        <v>0</v>
      </c>
      <c r="N766" s="100">
        <v>0</v>
      </c>
      <c r="O766" s="100">
        <v>0</v>
      </c>
      <c r="P766" s="100">
        <v>0</v>
      </c>
      <c r="Q766" s="100">
        <v>0</v>
      </c>
      <c r="R766" s="100">
        <v>0</v>
      </c>
      <c r="S766" s="100">
        <v>0</v>
      </c>
      <c r="T766" s="100">
        <v>0</v>
      </c>
      <c r="U766" s="100">
        <v>3.9</v>
      </c>
    </row>
    <row r="767" spans="4:21">
      <c r="D767" s="97" t="s">
        <v>535</v>
      </c>
      <c r="E767" s="97" t="s">
        <v>536</v>
      </c>
      <c r="F767" s="94" t="s">
        <v>537</v>
      </c>
      <c r="G767" s="97">
        <v>9</v>
      </c>
      <c r="H767" s="98" t="s">
        <v>748</v>
      </c>
      <c r="I767" s="99" t="str">
        <f t="shared" si="11"/>
        <v>강릉|9</v>
      </c>
      <c r="J767" s="100">
        <v>2.2999999999999998</v>
      </c>
      <c r="K767" s="100">
        <v>2.6</v>
      </c>
      <c r="L767" s="100">
        <v>4.5</v>
      </c>
      <c r="M767" s="100">
        <v>5.2</v>
      </c>
      <c r="N767" s="100">
        <v>3.1</v>
      </c>
      <c r="O767" s="100">
        <v>5.4</v>
      </c>
      <c r="P767" s="100">
        <v>9.1</v>
      </c>
      <c r="Q767" s="100">
        <v>8.6999999999999993</v>
      </c>
      <c r="R767" s="100">
        <v>7.7</v>
      </c>
      <c r="S767" s="100">
        <v>5</v>
      </c>
      <c r="T767" s="100">
        <v>4.3</v>
      </c>
      <c r="U767" s="100">
        <v>2</v>
      </c>
    </row>
    <row r="768" spans="4:21">
      <c r="D768" s="97" t="s">
        <v>539</v>
      </c>
      <c r="E768" s="97" t="s">
        <v>536</v>
      </c>
      <c r="F768" s="94" t="s">
        <v>540</v>
      </c>
      <c r="G768" s="97">
        <v>9</v>
      </c>
      <c r="H768" s="98" t="s">
        <v>748</v>
      </c>
      <c r="I768" s="99" t="str">
        <f t="shared" si="11"/>
        <v>대관령|9</v>
      </c>
      <c r="J768" s="100">
        <v>1.3</v>
      </c>
      <c r="K768" s="100">
        <v>2</v>
      </c>
      <c r="L768" s="100">
        <v>4.0999999999999996</v>
      </c>
      <c r="M768" s="100">
        <v>6.1</v>
      </c>
      <c r="N768" s="100">
        <v>4.5</v>
      </c>
      <c r="O768" s="100">
        <v>6.3</v>
      </c>
      <c r="P768" s="100">
        <v>10.1</v>
      </c>
      <c r="Q768" s="100">
        <v>9.8000000000000007</v>
      </c>
      <c r="R768" s="100">
        <v>8.4</v>
      </c>
      <c r="S768" s="100">
        <v>4.9000000000000004</v>
      </c>
      <c r="T768" s="100">
        <v>3.8</v>
      </c>
      <c r="U768" s="100">
        <v>1.7</v>
      </c>
    </row>
    <row r="769" spans="4:21">
      <c r="D769" s="97" t="s">
        <v>541</v>
      </c>
      <c r="E769" s="97" t="s">
        <v>536</v>
      </c>
      <c r="F769" s="94" t="s">
        <v>542</v>
      </c>
      <c r="G769" s="97">
        <v>9</v>
      </c>
      <c r="H769" s="98" t="s">
        <v>748</v>
      </c>
      <c r="I769" s="99" t="str">
        <f t="shared" si="11"/>
        <v>동해|9</v>
      </c>
      <c r="J769" s="100">
        <v>2.2000000000000002</v>
      </c>
      <c r="K769" s="100">
        <v>2.9</v>
      </c>
      <c r="L769" s="100">
        <v>4.0999999999999996</v>
      </c>
      <c r="M769" s="100">
        <v>4.0999999999999996</v>
      </c>
      <c r="N769" s="100">
        <v>2.7</v>
      </c>
      <c r="O769" s="100">
        <v>4</v>
      </c>
      <c r="P769" s="100">
        <v>8.1999999999999993</v>
      </c>
      <c r="Q769" s="100">
        <v>8</v>
      </c>
      <c r="R769" s="100">
        <v>6.8</v>
      </c>
      <c r="S769" s="100">
        <v>5.9</v>
      </c>
      <c r="T769" s="100">
        <v>3.4</v>
      </c>
      <c r="U769" s="100">
        <v>1.8</v>
      </c>
    </row>
    <row r="770" spans="4:21">
      <c r="D770" s="97" t="s">
        <v>543</v>
      </c>
      <c r="E770" s="97" t="s">
        <v>536</v>
      </c>
      <c r="F770" s="94" t="s">
        <v>544</v>
      </c>
      <c r="G770" s="97">
        <v>9</v>
      </c>
      <c r="H770" s="98" t="s">
        <v>748</v>
      </c>
      <c r="I770" s="99" t="str">
        <f t="shared" si="11"/>
        <v>북강릉|9</v>
      </c>
      <c r="J770" s="100">
        <v>2.2999999999999998</v>
      </c>
      <c r="K770" s="100">
        <v>2.6</v>
      </c>
      <c r="L770" s="100">
        <v>4.5</v>
      </c>
      <c r="M770" s="100">
        <v>4.8</v>
      </c>
      <c r="N770" s="100">
        <v>3.3</v>
      </c>
      <c r="O770" s="100">
        <v>5.2</v>
      </c>
      <c r="P770" s="100">
        <v>9.1999999999999993</v>
      </c>
      <c r="Q770" s="100">
        <v>9.1</v>
      </c>
      <c r="R770" s="100">
        <v>7.8</v>
      </c>
      <c r="S770" s="100">
        <v>5.3</v>
      </c>
      <c r="T770" s="100">
        <v>3.6</v>
      </c>
      <c r="U770" s="100">
        <v>1.9</v>
      </c>
    </row>
    <row r="771" spans="4:21">
      <c r="D771" s="97" t="s">
        <v>545</v>
      </c>
      <c r="E771" s="97" t="s">
        <v>536</v>
      </c>
      <c r="F771" s="94" t="s">
        <v>546</v>
      </c>
      <c r="G771" s="97">
        <v>9</v>
      </c>
      <c r="H771" s="98" t="s">
        <v>748</v>
      </c>
      <c r="I771" s="99" t="str">
        <f t="shared" si="11"/>
        <v>북춘천|9</v>
      </c>
      <c r="J771" s="100">
        <v>1.3</v>
      </c>
      <c r="K771" s="100">
        <v>1.6</v>
      </c>
      <c r="L771" s="100">
        <v>3</v>
      </c>
      <c r="M771" s="100">
        <v>4.5</v>
      </c>
      <c r="N771" s="100">
        <v>5.0999999999999996</v>
      </c>
      <c r="O771" s="100">
        <v>5.9</v>
      </c>
      <c r="P771" s="100">
        <v>10.4</v>
      </c>
      <c r="Q771" s="100">
        <v>8.5</v>
      </c>
      <c r="R771" s="100">
        <v>5.4</v>
      </c>
      <c r="S771" s="100">
        <v>4</v>
      </c>
      <c r="T771" s="100">
        <v>3.3</v>
      </c>
      <c r="U771" s="100">
        <v>1.8</v>
      </c>
    </row>
    <row r="772" spans="4:21">
      <c r="D772" s="97" t="s">
        <v>547</v>
      </c>
      <c r="E772" s="97" t="s">
        <v>536</v>
      </c>
      <c r="F772" s="94" t="s">
        <v>548</v>
      </c>
      <c r="G772" s="97">
        <v>9</v>
      </c>
      <c r="H772" s="98" t="s">
        <v>748</v>
      </c>
      <c r="I772" s="99" t="str">
        <f t="shared" si="11"/>
        <v>속초|9</v>
      </c>
      <c r="J772" s="100">
        <v>2.1</v>
      </c>
      <c r="K772" s="100">
        <v>2.7</v>
      </c>
      <c r="L772" s="100">
        <v>4.2</v>
      </c>
      <c r="M772" s="100">
        <v>4.5999999999999996</v>
      </c>
      <c r="N772" s="100">
        <v>4.5</v>
      </c>
      <c r="O772" s="100">
        <v>5.5</v>
      </c>
      <c r="P772" s="100">
        <v>8.5</v>
      </c>
      <c r="Q772" s="100">
        <v>9.6</v>
      </c>
      <c r="R772" s="100">
        <v>6.6</v>
      </c>
      <c r="S772" s="100">
        <v>5.0999999999999996</v>
      </c>
      <c r="T772" s="100">
        <v>4.4000000000000004</v>
      </c>
      <c r="U772" s="100">
        <v>1.8</v>
      </c>
    </row>
    <row r="773" spans="4:21">
      <c r="D773" s="97" t="s">
        <v>549</v>
      </c>
      <c r="E773" s="97" t="s">
        <v>536</v>
      </c>
      <c r="F773" s="94" t="s">
        <v>550</v>
      </c>
      <c r="G773" s="97">
        <v>9</v>
      </c>
      <c r="H773" s="98" t="s">
        <v>748</v>
      </c>
      <c r="I773" s="99" t="str">
        <f t="shared" si="11"/>
        <v>영월|9</v>
      </c>
      <c r="J773" s="100">
        <v>1.4</v>
      </c>
      <c r="K773" s="100">
        <v>2.2999999999999998</v>
      </c>
      <c r="L773" s="100">
        <v>3.7</v>
      </c>
      <c r="M773" s="100">
        <v>5.5</v>
      </c>
      <c r="N773" s="100">
        <v>5.0999999999999996</v>
      </c>
      <c r="O773" s="100">
        <v>5.5</v>
      </c>
      <c r="P773" s="100">
        <v>9.9</v>
      </c>
      <c r="Q773" s="100">
        <v>8.6999999999999993</v>
      </c>
      <c r="R773" s="100">
        <v>4.8</v>
      </c>
      <c r="S773" s="100">
        <v>3.6</v>
      </c>
      <c r="T773" s="100">
        <v>3.7</v>
      </c>
      <c r="U773" s="100">
        <v>2.7</v>
      </c>
    </row>
    <row r="774" spans="4:21">
      <c r="D774" s="97" t="s">
        <v>551</v>
      </c>
      <c r="E774" s="97" t="s">
        <v>536</v>
      </c>
      <c r="F774" s="94" t="s">
        <v>552</v>
      </c>
      <c r="G774" s="97">
        <v>9</v>
      </c>
      <c r="H774" s="98" t="s">
        <v>748</v>
      </c>
      <c r="I774" s="99" t="str">
        <f t="shared" si="11"/>
        <v>원주|9</v>
      </c>
      <c r="J774" s="100">
        <v>1</v>
      </c>
      <c r="K774" s="100">
        <v>2.4</v>
      </c>
      <c r="L774" s="100">
        <v>3.5</v>
      </c>
      <c r="M774" s="100">
        <v>5.4</v>
      </c>
      <c r="N774" s="100">
        <v>5.3</v>
      </c>
      <c r="O774" s="100">
        <v>5.6</v>
      </c>
      <c r="P774" s="100">
        <v>10.8</v>
      </c>
      <c r="Q774" s="100">
        <v>9.5</v>
      </c>
      <c r="R774" s="100">
        <v>5.0999999999999996</v>
      </c>
      <c r="S774" s="100">
        <v>3.9</v>
      </c>
      <c r="T774" s="100">
        <v>4.3</v>
      </c>
      <c r="U774" s="100">
        <v>1.8</v>
      </c>
    </row>
    <row r="775" spans="4:21">
      <c r="D775" s="97" t="s">
        <v>553</v>
      </c>
      <c r="E775" s="97" t="s">
        <v>536</v>
      </c>
      <c r="F775" s="94" t="s">
        <v>554</v>
      </c>
      <c r="G775" s="97">
        <v>9</v>
      </c>
      <c r="H775" s="98" t="s">
        <v>748</v>
      </c>
      <c r="I775" s="99" t="str">
        <f t="shared" ref="I775:I838" si="12">$D775&amp;"|"&amp;$G775</f>
        <v>인제|9</v>
      </c>
      <c r="J775" s="100">
        <v>0.9</v>
      </c>
      <c r="K775" s="100">
        <v>1.9</v>
      </c>
      <c r="L775" s="100">
        <v>2.7</v>
      </c>
      <c r="M775" s="100">
        <v>5.3</v>
      </c>
      <c r="N775" s="100">
        <v>5.8</v>
      </c>
      <c r="O775" s="100">
        <v>6</v>
      </c>
      <c r="P775" s="100">
        <v>10.199999999999999</v>
      </c>
      <c r="Q775" s="100">
        <v>9.8000000000000007</v>
      </c>
      <c r="R775" s="100">
        <v>5</v>
      </c>
      <c r="S775" s="100">
        <v>3.4</v>
      </c>
      <c r="T775" s="100">
        <v>3.8</v>
      </c>
      <c r="U775" s="100">
        <v>1.8</v>
      </c>
    </row>
    <row r="776" spans="4:21">
      <c r="D776" s="97" t="s">
        <v>555</v>
      </c>
      <c r="E776" s="97" t="s">
        <v>536</v>
      </c>
      <c r="F776" s="94" t="s">
        <v>556</v>
      </c>
      <c r="G776" s="97">
        <v>9</v>
      </c>
      <c r="H776" s="98" t="s">
        <v>748</v>
      </c>
      <c r="I776" s="99" t="str">
        <f t="shared" si="12"/>
        <v>정선군|9</v>
      </c>
      <c r="J776" s="100">
        <v>1.8</v>
      </c>
      <c r="K776" s="100">
        <v>2.6</v>
      </c>
      <c r="L776" s="100">
        <v>3.8</v>
      </c>
      <c r="M776" s="100">
        <v>5.2</v>
      </c>
      <c r="N776" s="100">
        <v>4.8</v>
      </c>
      <c r="O776" s="100">
        <v>6.1</v>
      </c>
      <c r="P776" s="100">
        <v>10.5</v>
      </c>
      <c r="Q776" s="100">
        <v>10</v>
      </c>
      <c r="R776" s="100">
        <v>5.8</v>
      </c>
      <c r="S776" s="100">
        <v>4</v>
      </c>
      <c r="T776" s="100">
        <v>3.7</v>
      </c>
      <c r="U776" s="100">
        <v>2.2999999999999998</v>
      </c>
    </row>
    <row r="777" spans="4:21">
      <c r="D777" s="97" t="s">
        <v>557</v>
      </c>
      <c r="E777" s="97" t="s">
        <v>536</v>
      </c>
      <c r="F777" s="94" t="s">
        <v>558</v>
      </c>
      <c r="G777" s="97">
        <v>9</v>
      </c>
      <c r="H777" s="98" t="s">
        <v>748</v>
      </c>
      <c r="I777" s="99" t="str">
        <f t="shared" si="12"/>
        <v>철원|9</v>
      </c>
      <c r="J777" s="100">
        <v>1.1000000000000001</v>
      </c>
      <c r="K777" s="100">
        <v>2</v>
      </c>
      <c r="L777" s="100">
        <v>2.6</v>
      </c>
      <c r="M777" s="100">
        <v>4.3</v>
      </c>
      <c r="N777" s="100">
        <v>5.5</v>
      </c>
      <c r="O777" s="100">
        <v>5.7</v>
      </c>
      <c r="P777" s="100">
        <v>10.4</v>
      </c>
      <c r="Q777" s="100">
        <v>8.4</v>
      </c>
      <c r="R777" s="100">
        <v>4.5</v>
      </c>
      <c r="S777" s="100">
        <v>3.6</v>
      </c>
      <c r="T777" s="100">
        <v>4.3</v>
      </c>
      <c r="U777" s="100">
        <v>1.7</v>
      </c>
    </row>
    <row r="778" spans="4:21">
      <c r="D778" s="97" t="s">
        <v>559</v>
      </c>
      <c r="E778" s="97" t="s">
        <v>536</v>
      </c>
      <c r="F778" s="94" t="s">
        <v>560</v>
      </c>
      <c r="G778" s="97">
        <v>9</v>
      </c>
      <c r="H778" s="98" t="s">
        <v>748</v>
      </c>
      <c r="I778" s="99" t="str">
        <f t="shared" si="12"/>
        <v>춘천|9</v>
      </c>
      <c r="J778" s="100">
        <v>1.3</v>
      </c>
      <c r="K778" s="100">
        <v>2.2000000000000002</v>
      </c>
      <c r="L778" s="100">
        <v>2.9</v>
      </c>
      <c r="M778" s="100">
        <v>5.0999999999999996</v>
      </c>
      <c r="N778" s="100">
        <v>5.2</v>
      </c>
      <c r="O778" s="100">
        <v>5.6</v>
      </c>
      <c r="P778" s="100">
        <v>11.1</v>
      </c>
      <c r="Q778" s="100">
        <v>8.1999999999999993</v>
      </c>
      <c r="R778" s="100">
        <v>4.8</v>
      </c>
      <c r="S778" s="100">
        <v>3.9</v>
      </c>
      <c r="T778" s="100">
        <v>3.9</v>
      </c>
      <c r="U778" s="100">
        <v>1.9</v>
      </c>
    </row>
    <row r="779" spans="4:21">
      <c r="D779" s="97" t="s">
        <v>561</v>
      </c>
      <c r="E779" s="97" t="s">
        <v>536</v>
      </c>
      <c r="F779" s="94" t="s">
        <v>562</v>
      </c>
      <c r="G779" s="97">
        <v>9</v>
      </c>
      <c r="H779" s="98" t="s">
        <v>748</v>
      </c>
      <c r="I779" s="99" t="str">
        <f t="shared" si="12"/>
        <v>태백|9</v>
      </c>
      <c r="J779" s="100">
        <v>1.2</v>
      </c>
      <c r="K779" s="100">
        <v>2</v>
      </c>
      <c r="L779" s="100">
        <v>3.6</v>
      </c>
      <c r="M779" s="100">
        <v>5.4</v>
      </c>
      <c r="N779" s="100">
        <v>5.0999999999999996</v>
      </c>
      <c r="O779" s="100">
        <v>5.7</v>
      </c>
      <c r="P779" s="100">
        <v>10.9</v>
      </c>
      <c r="Q779" s="100">
        <v>10.4</v>
      </c>
      <c r="R779" s="100">
        <v>7</v>
      </c>
      <c r="S779" s="100">
        <v>4.4000000000000004</v>
      </c>
      <c r="T779" s="100">
        <v>3.7</v>
      </c>
      <c r="U779" s="100">
        <v>1.6</v>
      </c>
    </row>
    <row r="780" spans="4:21">
      <c r="D780" s="97" t="s">
        <v>563</v>
      </c>
      <c r="E780" s="97" t="s">
        <v>536</v>
      </c>
      <c r="F780" s="94" t="s">
        <v>564</v>
      </c>
      <c r="G780" s="97">
        <v>9</v>
      </c>
      <c r="H780" s="98" t="s">
        <v>748</v>
      </c>
      <c r="I780" s="99" t="str">
        <f t="shared" si="12"/>
        <v>홍천|9</v>
      </c>
      <c r="J780" s="100">
        <v>0.8</v>
      </c>
      <c r="K780" s="100">
        <v>2</v>
      </c>
      <c r="L780" s="100">
        <v>2.6</v>
      </c>
      <c r="M780" s="100">
        <v>4.8</v>
      </c>
      <c r="N780" s="100">
        <v>5.3</v>
      </c>
      <c r="O780" s="100">
        <v>5.6</v>
      </c>
      <c r="P780" s="100">
        <v>10.8</v>
      </c>
      <c r="Q780" s="100">
        <v>8.6999999999999993</v>
      </c>
      <c r="R780" s="100">
        <v>5.3</v>
      </c>
      <c r="S780" s="100">
        <v>3.5</v>
      </c>
      <c r="T780" s="100">
        <v>3.9</v>
      </c>
      <c r="U780" s="100">
        <v>1.8</v>
      </c>
    </row>
    <row r="781" spans="4:21">
      <c r="D781" s="97" t="s">
        <v>565</v>
      </c>
      <c r="E781" s="97" t="s">
        <v>566</v>
      </c>
      <c r="F781" s="94" t="s">
        <v>567</v>
      </c>
      <c r="G781" s="97">
        <v>9</v>
      </c>
      <c r="H781" s="98" t="s">
        <v>748</v>
      </c>
      <c r="I781" s="99" t="str">
        <f t="shared" si="12"/>
        <v>동두천|9</v>
      </c>
      <c r="J781" s="100">
        <v>1.6</v>
      </c>
      <c r="K781" s="100">
        <v>2.5</v>
      </c>
      <c r="L781" s="100">
        <v>2.7</v>
      </c>
      <c r="M781" s="100">
        <v>4.4000000000000004</v>
      </c>
      <c r="N781" s="100">
        <v>5.5</v>
      </c>
      <c r="O781" s="100">
        <v>5.9</v>
      </c>
      <c r="P781" s="100">
        <v>9.6999999999999993</v>
      </c>
      <c r="Q781" s="100">
        <v>8.4</v>
      </c>
      <c r="R781" s="100">
        <v>4.0999999999999996</v>
      </c>
      <c r="S781" s="100">
        <v>3.6</v>
      </c>
      <c r="T781" s="100">
        <v>4.2</v>
      </c>
      <c r="U781" s="100">
        <v>1.9</v>
      </c>
    </row>
    <row r="782" spans="4:21">
      <c r="D782" s="97" t="s">
        <v>568</v>
      </c>
      <c r="E782" s="97" t="s">
        <v>566</v>
      </c>
      <c r="F782" s="94" t="s">
        <v>569</v>
      </c>
      <c r="G782" s="97">
        <v>9</v>
      </c>
      <c r="H782" s="98" t="s">
        <v>748</v>
      </c>
      <c r="I782" s="99" t="str">
        <f t="shared" si="12"/>
        <v>수원|9</v>
      </c>
      <c r="J782" s="100">
        <v>1.6</v>
      </c>
      <c r="K782" s="100">
        <v>2.5</v>
      </c>
      <c r="L782" s="100">
        <v>2.8</v>
      </c>
      <c r="M782" s="100">
        <v>4.5999999999999996</v>
      </c>
      <c r="N782" s="100">
        <v>5.7</v>
      </c>
      <c r="O782" s="100">
        <v>4.2</v>
      </c>
      <c r="P782" s="100">
        <v>9.3000000000000007</v>
      </c>
      <c r="Q782" s="100">
        <v>8</v>
      </c>
      <c r="R782" s="100">
        <v>4.9000000000000004</v>
      </c>
      <c r="S782" s="100">
        <v>4.3</v>
      </c>
      <c r="T782" s="100">
        <v>4.5999999999999996</v>
      </c>
      <c r="U782" s="100">
        <v>2.8</v>
      </c>
    </row>
    <row r="783" spans="4:21">
      <c r="D783" s="97" t="s">
        <v>570</v>
      </c>
      <c r="E783" s="97" t="s">
        <v>566</v>
      </c>
      <c r="F783" s="94" t="s">
        <v>571</v>
      </c>
      <c r="G783" s="97">
        <v>9</v>
      </c>
      <c r="H783" s="98" t="s">
        <v>748</v>
      </c>
      <c r="I783" s="99" t="str">
        <f t="shared" si="12"/>
        <v>양평|9</v>
      </c>
      <c r="J783" s="100">
        <v>1.5</v>
      </c>
      <c r="K783" s="100">
        <v>2</v>
      </c>
      <c r="L783" s="100">
        <v>2.9</v>
      </c>
      <c r="M783" s="100">
        <v>5.0999999999999996</v>
      </c>
      <c r="N783" s="100">
        <v>5.5</v>
      </c>
      <c r="O783" s="100">
        <v>5.2</v>
      </c>
      <c r="P783" s="100">
        <v>10.4</v>
      </c>
      <c r="Q783" s="100">
        <v>8.1999999999999993</v>
      </c>
      <c r="R783" s="100">
        <v>5</v>
      </c>
      <c r="S783" s="100">
        <v>4.3</v>
      </c>
      <c r="T783" s="100">
        <v>3.9</v>
      </c>
      <c r="U783" s="100">
        <v>2.2000000000000002</v>
      </c>
    </row>
    <row r="784" spans="4:21">
      <c r="D784" s="97" t="s">
        <v>572</v>
      </c>
      <c r="E784" s="97" t="s">
        <v>566</v>
      </c>
      <c r="F784" s="94" t="s">
        <v>573</v>
      </c>
      <c r="G784" s="97">
        <v>9</v>
      </c>
      <c r="H784" s="98" t="s">
        <v>748</v>
      </c>
      <c r="I784" s="99" t="str">
        <f t="shared" si="12"/>
        <v>이천|9</v>
      </c>
      <c r="J784" s="100">
        <v>1.9</v>
      </c>
      <c r="K784" s="100">
        <v>2.7</v>
      </c>
      <c r="L784" s="100">
        <v>3.2</v>
      </c>
      <c r="M784" s="100">
        <v>5.0999999999999996</v>
      </c>
      <c r="N784" s="100">
        <v>6</v>
      </c>
      <c r="O784" s="100">
        <v>4.8</v>
      </c>
      <c r="P784" s="100">
        <v>9.8000000000000007</v>
      </c>
      <c r="Q784" s="100">
        <v>8.6</v>
      </c>
      <c r="R784" s="100">
        <v>4.5999999999999996</v>
      </c>
      <c r="S784" s="100">
        <v>4.0999999999999996</v>
      </c>
      <c r="T784" s="100">
        <v>4</v>
      </c>
      <c r="U784" s="100">
        <v>2.1</v>
      </c>
    </row>
    <row r="785" spans="4:21">
      <c r="D785" s="97" t="s">
        <v>574</v>
      </c>
      <c r="E785" s="97" t="s">
        <v>566</v>
      </c>
      <c r="F785" s="94" t="s">
        <v>575</v>
      </c>
      <c r="G785" s="97">
        <v>9</v>
      </c>
      <c r="H785" s="98" t="s">
        <v>748</v>
      </c>
      <c r="I785" s="99" t="str">
        <f t="shared" si="12"/>
        <v>파주|9</v>
      </c>
      <c r="J785" s="100">
        <v>1.2</v>
      </c>
      <c r="K785" s="100">
        <v>2.1</v>
      </c>
      <c r="L785" s="100">
        <v>2.6</v>
      </c>
      <c r="M785" s="100">
        <v>4.0999999999999996</v>
      </c>
      <c r="N785" s="100">
        <v>5</v>
      </c>
      <c r="O785" s="100">
        <v>5.2</v>
      </c>
      <c r="P785" s="100">
        <v>9.6999999999999993</v>
      </c>
      <c r="Q785" s="100">
        <v>7.2</v>
      </c>
      <c r="R785" s="100">
        <v>3.7</v>
      </c>
      <c r="S785" s="100">
        <v>3.5</v>
      </c>
      <c r="T785" s="100">
        <v>3.9</v>
      </c>
      <c r="U785" s="100">
        <v>2</v>
      </c>
    </row>
    <row r="786" spans="4:21">
      <c r="D786" s="97" t="s">
        <v>576</v>
      </c>
      <c r="E786" s="97" t="s">
        <v>577</v>
      </c>
      <c r="F786" s="94" t="s">
        <v>578</v>
      </c>
      <c r="G786" s="97">
        <v>9</v>
      </c>
      <c r="H786" s="98" t="s">
        <v>748</v>
      </c>
      <c r="I786" s="99" t="str">
        <f t="shared" si="12"/>
        <v>거제|9</v>
      </c>
      <c r="J786" s="100">
        <v>2.9</v>
      </c>
      <c r="K786" s="100">
        <v>3.3</v>
      </c>
      <c r="L786" s="100">
        <v>6.2</v>
      </c>
      <c r="M786" s="100">
        <v>6.9</v>
      </c>
      <c r="N786" s="100">
        <v>5.2</v>
      </c>
      <c r="O786" s="100">
        <v>7</v>
      </c>
      <c r="P786" s="100">
        <v>9.5</v>
      </c>
      <c r="Q786" s="100">
        <v>7.2</v>
      </c>
      <c r="R786" s="100">
        <v>7.4</v>
      </c>
      <c r="S786" s="100">
        <v>3.5</v>
      </c>
      <c r="T786" s="100">
        <v>2.8</v>
      </c>
      <c r="U786" s="100">
        <v>2.2999999999999998</v>
      </c>
    </row>
    <row r="787" spans="4:21">
      <c r="D787" s="97" t="s">
        <v>579</v>
      </c>
      <c r="E787" s="97" t="s">
        <v>577</v>
      </c>
      <c r="F787" s="94" t="s">
        <v>580</v>
      </c>
      <c r="G787" s="97">
        <v>9</v>
      </c>
      <c r="H787" s="98" t="s">
        <v>748</v>
      </c>
      <c r="I787" s="99" t="str">
        <f t="shared" si="12"/>
        <v>거창|9</v>
      </c>
      <c r="J787" s="100">
        <v>2.1</v>
      </c>
      <c r="K787" s="100">
        <v>2.7</v>
      </c>
      <c r="L787" s="100">
        <v>4.0999999999999996</v>
      </c>
      <c r="M787" s="100">
        <v>5.2</v>
      </c>
      <c r="N787" s="100">
        <v>4.7</v>
      </c>
      <c r="O787" s="100">
        <v>5.5</v>
      </c>
      <c r="P787" s="100">
        <v>10</v>
      </c>
      <c r="Q787" s="100">
        <v>6.7</v>
      </c>
      <c r="R787" s="100">
        <v>6.9</v>
      </c>
      <c r="S787" s="100">
        <v>3.5</v>
      </c>
      <c r="T787" s="100">
        <v>2.8</v>
      </c>
      <c r="U787" s="100">
        <v>1.9</v>
      </c>
    </row>
    <row r="788" spans="4:21">
      <c r="D788" s="97" t="s">
        <v>581</v>
      </c>
      <c r="E788" s="97" t="s">
        <v>577</v>
      </c>
      <c r="F788" s="94" t="s">
        <v>582</v>
      </c>
      <c r="G788" s="97">
        <v>9</v>
      </c>
      <c r="H788" s="98" t="s">
        <v>748</v>
      </c>
      <c r="I788" s="99" t="str">
        <f t="shared" si="12"/>
        <v>김해시|9</v>
      </c>
      <c r="J788" s="100">
        <v>2.1</v>
      </c>
      <c r="K788" s="100">
        <v>2.7</v>
      </c>
      <c r="L788" s="100">
        <v>4.9000000000000004</v>
      </c>
      <c r="M788" s="100">
        <v>6.1</v>
      </c>
      <c r="N788" s="100">
        <v>4.9000000000000004</v>
      </c>
      <c r="O788" s="100">
        <v>6.2</v>
      </c>
      <c r="P788" s="100">
        <v>8.3000000000000007</v>
      </c>
      <c r="Q788" s="100">
        <v>7.2</v>
      </c>
      <c r="R788" s="100">
        <v>6.9</v>
      </c>
      <c r="S788" s="100">
        <v>3.1</v>
      </c>
      <c r="T788" s="100">
        <v>2.5</v>
      </c>
      <c r="U788" s="100">
        <v>1.9</v>
      </c>
    </row>
    <row r="789" spans="4:21">
      <c r="D789" s="97" t="s">
        <v>583</v>
      </c>
      <c r="E789" s="97" t="s">
        <v>577</v>
      </c>
      <c r="F789" s="94" t="s">
        <v>584</v>
      </c>
      <c r="G789" s="97">
        <v>9</v>
      </c>
      <c r="H789" s="98" t="s">
        <v>748</v>
      </c>
      <c r="I789" s="99" t="str">
        <f t="shared" si="12"/>
        <v>남해|9</v>
      </c>
      <c r="J789" s="100">
        <v>2.9</v>
      </c>
      <c r="K789" s="100">
        <v>3.4</v>
      </c>
      <c r="L789" s="100">
        <v>5.5</v>
      </c>
      <c r="M789" s="100">
        <v>6.3</v>
      </c>
      <c r="N789" s="100">
        <v>5.6</v>
      </c>
      <c r="O789" s="100">
        <v>6.8</v>
      </c>
      <c r="P789" s="100">
        <v>9.1999999999999993</v>
      </c>
      <c r="Q789" s="100">
        <v>6.8</v>
      </c>
      <c r="R789" s="100">
        <v>7.2</v>
      </c>
      <c r="S789" s="100">
        <v>3.7</v>
      </c>
      <c r="T789" s="100">
        <v>3.1</v>
      </c>
      <c r="U789" s="100">
        <v>2.1</v>
      </c>
    </row>
    <row r="790" spans="4:21">
      <c r="D790" s="97" t="s">
        <v>585</v>
      </c>
      <c r="E790" s="97" t="s">
        <v>577</v>
      </c>
      <c r="F790" s="94" t="s">
        <v>586</v>
      </c>
      <c r="G790" s="97">
        <v>9</v>
      </c>
      <c r="H790" s="98" t="s">
        <v>748</v>
      </c>
      <c r="I790" s="99" t="str">
        <f t="shared" si="12"/>
        <v>밀양|9</v>
      </c>
      <c r="J790" s="100">
        <v>1.9</v>
      </c>
      <c r="K790" s="100">
        <v>2</v>
      </c>
      <c r="L790" s="100">
        <v>4.3</v>
      </c>
      <c r="M790" s="100">
        <v>5.3</v>
      </c>
      <c r="N790" s="100">
        <v>4.4000000000000004</v>
      </c>
      <c r="O790" s="100">
        <v>6.2</v>
      </c>
      <c r="P790" s="100">
        <v>8.1999999999999993</v>
      </c>
      <c r="Q790" s="100">
        <v>7.8</v>
      </c>
      <c r="R790" s="100">
        <v>6.8</v>
      </c>
      <c r="S790" s="100">
        <v>3.3</v>
      </c>
      <c r="T790" s="100">
        <v>2.2000000000000002</v>
      </c>
      <c r="U790" s="100">
        <v>1.9</v>
      </c>
    </row>
    <row r="791" spans="4:21">
      <c r="D791" s="97" t="s">
        <v>587</v>
      </c>
      <c r="E791" s="97" t="s">
        <v>577</v>
      </c>
      <c r="F791" s="94" t="s">
        <v>588</v>
      </c>
      <c r="G791" s="97">
        <v>9</v>
      </c>
      <c r="H791" s="98" t="s">
        <v>748</v>
      </c>
      <c r="I791" s="99" t="str">
        <f t="shared" si="12"/>
        <v>북창원|9</v>
      </c>
      <c r="J791" s="100">
        <v>2.1</v>
      </c>
      <c r="K791" s="100">
        <v>3</v>
      </c>
      <c r="L791" s="100">
        <v>4.4000000000000004</v>
      </c>
      <c r="M791" s="100">
        <v>6.3</v>
      </c>
      <c r="N791" s="100">
        <v>4.5999999999999996</v>
      </c>
      <c r="O791" s="100">
        <v>6.4</v>
      </c>
      <c r="P791" s="100">
        <v>8.9</v>
      </c>
      <c r="Q791" s="100">
        <v>7.9</v>
      </c>
      <c r="R791" s="100">
        <v>6.5</v>
      </c>
      <c r="S791" s="100">
        <v>3.2</v>
      </c>
      <c r="T791" s="100">
        <v>2.9</v>
      </c>
      <c r="U791" s="100">
        <v>2</v>
      </c>
    </row>
    <row r="792" spans="4:21">
      <c r="D792" s="97" t="s">
        <v>589</v>
      </c>
      <c r="E792" s="97" t="s">
        <v>577</v>
      </c>
      <c r="F792" s="94" t="s">
        <v>590</v>
      </c>
      <c r="G792" s="97">
        <v>9</v>
      </c>
      <c r="H792" s="98" t="s">
        <v>748</v>
      </c>
      <c r="I792" s="99" t="str">
        <f t="shared" si="12"/>
        <v>산청|9</v>
      </c>
      <c r="J792" s="100">
        <v>2</v>
      </c>
      <c r="K792" s="100">
        <v>2.9</v>
      </c>
      <c r="L792" s="100">
        <v>4.0999999999999996</v>
      </c>
      <c r="M792" s="100">
        <v>5.6</v>
      </c>
      <c r="N792" s="100">
        <v>4.8</v>
      </c>
      <c r="O792" s="100">
        <v>6.8</v>
      </c>
      <c r="P792" s="100">
        <v>9.8000000000000007</v>
      </c>
      <c r="Q792" s="100">
        <v>7.7</v>
      </c>
      <c r="R792" s="100">
        <v>7</v>
      </c>
      <c r="S792" s="100">
        <v>3.1</v>
      </c>
      <c r="T792" s="100">
        <v>2.9</v>
      </c>
      <c r="U792" s="100">
        <v>1.9</v>
      </c>
    </row>
    <row r="793" spans="4:21">
      <c r="D793" s="97" t="s">
        <v>591</v>
      </c>
      <c r="E793" s="97" t="s">
        <v>577</v>
      </c>
      <c r="F793" s="94" t="s">
        <v>592</v>
      </c>
      <c r="G793" s="97">
        <v>9</v>
      </c>
      <c r="H793" s="98" t="s">
        <v>748</v>
      </c>
      <c r="I793" s="99" t="str">
        <f t="shared" si="12"/>
        <v>양산시|9</v>
      </c>
      <c r="J793" s="100">
        <v>2.1</v>
      </c>
      <c r="K793" s="100">
        <v>2.7</v>
      </c>
      <c r="L793" s="100">
        <v>4.7</v>
      </c>
      <c r="M793" s="100">
        <v>5.8</v>
      </c>
      <c r="N793" s="100">
        <v>5.4</v>
      </c>
      <c r="O793" s="100">
        <v>6.1</v>
      </c>
      <c r="P793" s="100">
        <v>8.3000000000000007</v>
      </c>
      <c r="Q793" s="100">
        <v>7.5</v>
      </c>
      <c r="R793" s="100">
        <v>6.9</v>
      </c>
      <c r="S793" s="100">
        <v>2.9</v>
      </c>
      <c r="T793" s="100">
        <v>2.7</v>
      </c>
      <c r="U793" s="100">
        <v>2.1</v>
      </c>
    </row>
    <row r="794" spans="4:21">
      <c r="D794" s="97" t="s">
        <v>593</v>
      </c>
      <c r="E794" s="97" t="s">
        <v>577</v>
      </c>
      <c r="F794" s="94" t="s">
        <v>594</v>
      </c>
      <c r="G794" s="97">
        <v>9</v>
      </c>
      <c r="H794" s="98" t="s">
        <v>748</v>
      </c>
      <c r="I794" s="99" t="str">
        <f t="shared" si="12"/>
        <v>의령군|9</v>
      </c>
      <c r="J794" s="100">
        <v>2.1</v>
      </c>
      <c r="K794" s="100">
        <v>2.8</v>
      </c>
      <c r="L794" s="100">
        <v>5</v>
      </c>
      <c r="M794" s="100">
        <v>5.8</v>
      </c>
      <c r="N794" s="100">
        <v>5</v>
      </c>
      <c r="O794" s="100">
        <v>6</v>
      </c>
      <c r="P794" s="100">
        <v>9.5</v>
      </c>
      <c r="Q794" s="100">
        <v>7.6</v>
      </c>
      <c r="R794" s="100">
        <v>7</v>
      </c>
      <c r="S794" s="100">
        <v>3.3</v>
      </c>
      <c r="T794" s="100">
        <v>2.8</v>
      </c>
      <c r="U794" s="100">
        <v>1.7</v>
      </c>
    </row>
    <row r="795" spans="4:21">
      <c r="D795" s="97" t="s">
        <v>595</v>
      </c>
      <c r="E795" s="97" t="s">
        <v>577</v>
      </c>
      <c r="F795" s="94" t="s">
        <v>596</v>
      </c>
      <c r="G795" s="97">
        <v>9</v>
      </c>
      <c r="H795" s="98" t="s">
        <v>748</v>
      </c>
      <c r="I795" s="99" t="str">
        <f t="shared" si="12"/>
        <v>진주|9</v>
      </c>
      <c r="J795" s="100">
        <v>2.2999999999999998</v>
      </c>
      <c r="K795" s="100">
        <v>2.9</v>
      </c>
      <c r="L795" s="100">
        <v>4.8</v>
      </c>
      <c r="M795" s="100">
        <v>5.9</v>
      </c>
      <c r="N795" s="100">
        <v>5</v>
      </c>
      <c r="O795" s="100">
        <v>6</v>
      </c>
      <c r="P795" s="100">
        <v>9.1999999999999993</v>
      </c>
      <c r="Q795" s="100">
        <v>7</v>
      </c>
      <c r="R795" s="100">
        <v>7.2</v>
      </c>
      <c r="S795" s="100">
        <v>3.3</v>
      </c>
      <c r="T795" s="100">
        <v>2.7</v>
      </c>
      <c r="U795" s="100">
        <v>1.8</v>
      </c>
    </row>
    <row r="796" spans="4:21">
      <c r="D796" s="97" t="s">
        <v>597</v>
      </c>
      <c r="E796" s="97" t="s">
        <v>577</v>
      </c>
      <c r="F796" s="94" t="s">
        <v>598</v>
      </c>
      <c r="G796" s="97">
        <v>9</v>
      </c>
      <c r="H796" s="98" t="s">
        <v>748</v>
      </c>
      <c r="I796" s="99" t="str">
        <f t="shared" si="12"/>
        <v>창원|9</v>
      </c>
      <c r="J796" s="100">
        <v>2.2999999999999998</v>
      </c>
      <c r="K796" s="100">
        <v>2.9</v>
      </c>
      <c r="L796" s="100">
        <v>4.5</v>
      </c>
      <c r="M796" s="100">
        <v>5.8</v>
      </c>
      <c r="N796" s="100">
        <v>4.8</v>
      </c>
      <c r="O796" s="100">
        <v>6.3</v>
      </c>
      <c r="P796" s="100">
        <v>9.1</v>
      </c>
      <c r="Q796" s="100">
        <v>7.5</v>
      </c>
      <c r="R796" s="100">
        <v>6.2</v>
      </c>
      <c r="S796" s="100">
        <v>3.3</v>
      </c>
      <c r="T796" s="100">
        <v>2.7</v>
      </c>
      <c r="U796" s="100">
        <v>1.7</v>
      </c>
    </row>
    <row r="797" spans="4:21">
      <c r="D797" s="97" t="s">
        <v>599</v>
      </c>
      <c r="E797" s="97" t="s">
        <v>577</v>
      </c>
      <c r="F797" s="94" t="s">
        <v>600</v>
      </c>
      <c r="G797" s="97">
        <v>9</v>
      </c>
      <c r="H797" s="98" t="s">
        <v>748</v>
      </c>
      <c r="I797" s="99" t="str">
        <f t="shared" si="12"/>
        <v>통영|9</v>
      </c>
      <c r="J797" s="100">
        <v>2.8</v>
      </c>
      <c r="K797" s="100">
        <v>3</v>
      </c>
      <c r="L797" s="100">
        <v>5.0999999999999996</v>
      </c>
      <c r="M797" s="100">
        <v>6.6</v>
      </c>
      <c r="N797" s="100">
        <v>5.0999999999999996</v>
      </c>
      <c r="O797" s="100">
        <v>6.6</v>
      </c>
      <c r="P797" s="100">
        <v>8.1</v>
      </c>
      <c r="Q797" s="100">
        <v>5.5</v>
      </c>
      <c r="R797" s="100">
        <v>7</v>
      </c>
      <c r="S797" s="100">
        <v>2.9</v>
      </c>
      <c r="T797" s="100">
        <v>2.7</v>
      </c>
      <c r="U797" s="100">
        <v>2.4</v>
      </c>
    </row>
    <row r="798" spans="4:21">
      <c r="D798" s="97" t="s">
        <v>601</v>
      </c>
      <c r="E798" s="97" t="s">
        <v>577</v>
      </c>
      <c r="F798" s="94" t="s">
        <v>602</v>
      </c>
      <c r="G798" s="97">
        <v>9</v>
      </c>
      <c r="H798" s="98" t="s">
        <v>748</v>
      </c>
      <c r="I798" s="99" t="str">
        <f t="shared" si="12"/>
        <v>함양군|9</v>
      </c>
      <c r="J798" s="100">
        <v>2.2999999999999998</v>
      </c>
      <c r="K798" s="100">
        <v>3</v>
      </c>
      <c r="L798" s="100">
        <v>4.0999999999999996</v>
      </c>
      <c r="M798" s="100">
        <v>5.5</v>
      </c>
      <c r="N798" s="100">
        <v>4.7</v>
      </c>
      <c r="O798" s="100">
        <v>6.2</v>
      </c>
      <c r="P798" s="100">
        <v>10.3</v>
      </c>
      <c r="Q798" s="100">
        <v>7.8</v>
      </c>
      <c r="R798" s="100">
        <v>6.6</v>
      </c>
      <c r="S798" s="100">
        <v>3.6</v>
      </c>
      <c r="T798" s="100">
        <v>3.1</v>
      </c>
      <c r="U798" s="100">
        <v>2</v>
      </c>
    </row>
    <row r="799" spans="4:21">
      <c r="D799" s="97" t="s">
        <v>603</v>
      </c>
      <c r="E799" s="97" t="s">
        <v>577</v>
      </c>
      <c r="F799" s="94" t="s">
        <v>604</v>
      </c>
      <c r="G799" s="97">
        <v>9</v>
      </c>
      <c r="H799" s="98" t="s">
        <v>748</v>
      </c>
      <c r="I799" s="99" t="str">
        <f t="shared" si="12"/>
        <v>합천|9</v>
      </c>
      <c r="J799" s="100">
        <v>1.8</v>
      </c>
      <c r="K799" s="100">
        <v>2.7</v>
      </c>
      <c r="L799" s="100">
        <v>4.8</v>
      </c>
      <c r="M799" s="100">
        <v>5.4</v>
      </c>
      <c r="N799" s="100">
        <v>4.5999999999999996</v>
      </c>
      <c r="O799" s="100">
        <v>5.6</v>
      </c>
      <c r="P799" s="100">
        <v>9.6999999999999993</v>
      </c>
      <c r="Q799" s="100">
        <v>8</v>
      </c>
      <c r="R799" s="100">
        <v>6.7</v>
      </c>
      <c r="S799" s="100">
        <v>3</v>
      </c>
      <c r="T799" s="100">
        <v>2.6</v>
      </c>
      <c r="U799" s="100">
        <v>1.7</v>
      </c>
    </row>
    <row r="800" spans="4:21">
      <c r="D800" s="97" t="s">
        <v>605</v>
      </c>
      <c r="E800" s="97" t="s">
        <v>606</v>
      </c>
      <c r="F800" s="94" t="s">
        <v>607</v>
      </c>
      <c r="G800" s="97">
        <v>9</v>
      </c>
      <c r="H800" s="98" t="s">
        <v>748</v>
      </c>
      <c r="I800" s="99" t="str">
        <f t="shared" si="12"/>
        <v>경주시|9</v>
      </c>
      <c r="J800" s="100">
        <v>2.1</v>
      </c>
      <c r="K800" s="100">
        <v>2.4</v>
      </c>
      <c r="L800" s="100">
        <v>4.0999999999999996</v>
      </c>
      <c r="M800" s="100">
        <v>5.3</v>
      </c>
      <c r="N800" s="100">
        <v>4.0999999999999996</v>
      </c>
      <c r="O800" s="100">
        <v>5.9</v>
      </c>
      <c r="P800" s="100">
        <v>7.5</v>
      </c>
      <c r="Q800" s="100">
        <v>6.6</v>
      </c>
      <c r="R800" s="100">
        <v>7.9</v>
      </c>
      <c r="S800" s="100">
        <v>3.4</v>
      </c>
      <c r="T800" s="100">
        <v>2</v>
      </c>
      <c r="U800" s="100">
        <v>1.7</v>
      </c>
    </row>
    <row r="801" spans="4:21">
      <c r="D801" s="97" t="s">
        <v>608</v>
      </c>
      <c r="E801" s="97" t="s">
        <v>606</v>
      </c>
      <c r="F801" s="94" t="s">
        <v>609</v>
      </c>
      <c r="G801" s="97">
        <v>9</v>
      </c>
      <c r="H801" s="98" t="s">
        <v>748</v>
      </c>
      <c r="I801" s="99" t="str">
        <f t="shared" si="12"/>
        <v>구미|9</v>
      </c>
      <c r="J801" s="100">
        <v>1.6</v>
      </c>
      <c r="K801" s="100">
        <v>2.2999999999999998</v>
      </c>
      <c r="L801" s="100">
        <v>3.5</v>
      </c>
      <c r="M801" s="100">
        <v>5.5</v>
      </c>
      <c r="N801" s="100">
        <v>4.9000000000000004</v>
      </c>
      <c r="O801" s="100">
        <v>5.0999999999999996</v>
      </c>
      <c r="P801" s="100">
        <v>9.3000000000000007</v>
      </c>
      <c r="Q801" s="100">
        <v>8.5</v>
      </c>
      <c r="R801" s="100">
        <v>5.7</v>
      </c>
      <c r="S801" s="100">
        <v>3.5</v>
      </c>
      <c r="T801" s="100">
        <v>2.5</v>
      </c>
      <c r="U801" s="100">
        <v>1.3</v>
      </c>
    </row>
    <row r="802" spans="4:21">
      <c r="D802" s="97" t="s">
        <v>610</v>
      </c>
      <c r="E802" s="97" t="s">
        <v>606</v>
      </c>
      <c r="F802" s="94" t="s">
        <v>611</v>
      </c>
      <c r="G802" s="97">
        <v>9</v>
      </c>
      <c r="H802" s="98" t="s">
        <v>748</v>
      </c>
      <c r="I802" s="99" t="str">
        <f t="shared" si="12"/>
        <v>문경|9</v>
      </c>
      <c r="J802" s="100">
        <v>1.4</v>
      </c>
      <c r="K802" s="100">
        <v>2.2999999999999998</v>
      </c>
      <c r="L802" s="100">
        <v>4.2</v>
      </c>
      <c r="M802" s="100">
        <v>5.5</v>
      </c>
      <c r="N802" s="100">
        <v>4.4000000000000004</v>
      </c>
      <c r="O802" s="100">
        <v>5.3</v>
      </c>
      <c r="P802" s="100">
        <v>11.2</v>
      </c>
      <c r="Q802" s="100">
        <v>8.6999999999999993</v>
      </c>
      <c r="R802" s="100">
        <v>5.7</v>
      </c>
      <c r="S802" s="100">
        <v>3.6</v>
      </c>
      <c r="T802" s="100">
        <v>3.2</v>
      </c>
      <c r="U802" s="100">
        <v>2.1</v>
      </c>
    </row>
    <row r="803" spans="4:21">
      <c r="D803" s="97" t="s">
        <v>612</v>
      </c>
      <c r="E803" s="97" t="s">
        <v>606</v>
      </c>
      <c r="F803" s="94" t="s">
        <v>613</v>
      </c>
      <c r="G803" s="97">
        <v>9</v>
      </c>
      <c r="H803" s="98" t="s">
        <v>748</v>
      </c>
      <c r="I803" s="99" t="str">
        <f t="shared" si="12"/>
        <v>봉화|9</v>
      </c>
      <c r="J803" s="100">
        <v>1</v>
      </c>
      <c r="K803" s="100">
        <v>2.1</v>
      </c>
      <c r="L803" s="100">
        <v>3.4</v>
      </c>
      <c r="M803" s="100">
        <v>5.3</v>
      </c>
      <c r="N803" s="100">
        <v>4.8</v>
      </c>
      <c r="O803" s="100">
        <v>6</v>
      </c>
      <c r="P803" s="100">
        <v>11.3</v>
      </c>
      <c r="Q803" s="100">
        <v>9.1999999999999993</v>
      </c>
      <c r="R803" s="100">
        <v>4.8</v>
      </c>
      <c r="S803" s="100">
        <v>3.7</v>
      </c>
      <c r="T803" s="100">
        <v>3.3</v>
      </c>
      <c r="U803" s="100">
        <v>2</v>
      </c>
    </row>
    <row r="804" spans="4:21">
      <c r="D804" s="97" t="s">
        <v>614</v>
      </c>
      <c r="E804" s="97" t="s">
        <v>606</v>
      </c>
      <c r="F804" s="94" t="s">
        <v>615</v>
      </c>
      <c r="G804" s="97">
        <v>9</v>
      </c>
      <c r="H804" s="98" t="s">
        <v>748</v>
      </c>
      <c r="I804" s="99" t="str">
        <f t="shared" si="12"/>
        <v>상주|9</v>
      </c>
      <c r="J804" s="100">
        <v>1.9</v>
      </c>
      <c r="K804" s="100">
        <v>2</v>
      </c>
      <c r="L804" s="100">
        <v>3.6</v>
      </c>
      <c r="M804" s="100">
        <v>5.7</v>
      </c>
      <c r="N804" s="100">
        <v>4.7</v>
      </c>
      <c r="O804" s="100">
        <v>5.2</v>
      </c>
      <c r="P804" s="100">
        <v>10.5</v>
      </c>
      <c r="Q804" s="100">
        <v>8.8000000000000007</v>
      </c>
      <c r="R804" s="100">
        <v>5</v>
      </c>
      <c r="S804" s="100">
        <v>3.4</v>
      </c>
      <c r="T804" s="100">
        <v>3</v>
      </c>
      <c r="U804" s="100">
        <v>2.2000000000000002</v>
      </c>
    </row>
    <row r="805" spans="4:21">
      <c r="D805" s="97" t="s">
        <v>616</v>
      </c>
      <c r="E805" s="97" t="s">
        <v>606</v>
      </c>
      <c r="F805" s="94" t="s">
        <v>617</v>
      </c>
      <c r="G805" s="97">
        <v>9</v>
      </c>
      <c r="H805" s="98" t="s">
        <v>748</v>
      </c>
      <c r="I805" s="99" t="str">
        <f t="shared" si="12"/>
        <v>안동|9</v>
      </c>
      <c r="J805" s="100">
        <v>1.6</v>
      </c>
      <c r="K805" s="100">
        <v>2.1</v>
      </c>
      <c r="L805" s="100">
        <v>3.9</v>
      </c>
      <c r="M805" s="100">
        <v>4.9000000000000004</v>
      </c>
      <c r="N805" s="100">
        <v>4.5999999999999996</v>
      </c>
      <c r="O805" s="100">
        <v>5.2</v>
      </c>
      <c r="P805" s="100">
        <v>9.5</v>
      </c>
      <c r="Q805" s="100">
        <v>8.3000000000000007</v>
      </c>
      <c r="R805" s="100">
        <v>4.8</v>
      </c>
      <c r="S805" s="100">
        <v>3.2</v>
      </c>
      <c r="T805" s="100">
        <v>2.8</v>
      </c>
      <c r="U805" s="100">
        <v>1.7</v>
      </c>
    </row>
    <row r="806" spans="4:21">
      <c r="D806" s="97" t="s">
        <v>618</v>
      </c>
      <c r="E806" s="97" t="s">
        <v>606</v>
      </c>
      <c r="F806" s="94" t="s">
        <v>619</v>
      </c>
      <c r="G806" s="97">
        <v>9</v>
      </c>
      <c r="H806" s="98" t="s">
        <v>748</v>
      </c>
      <c r="I806" s="99" t="str">
        <f t="shared" si="12"/>
        <v>영덕|9</v>
      </c>
      <c r="J806" s="100">
        <v>2</v>
      </c>
      <c r="K806" s="100">
        <v>2.7</v>
      </c>
      <c r="L806" s="100">
        <v>3.1</v>
      </c>
      <c r="M806" s="100">
        <v>4.7</v>
      </c>
      <c r="N806" s="100">
        <v>3.6</v>
      </c>
      <c r="O806" s="100">
        <v>5</v>
      </c>
      <c r="P806" s="100">
        <v>8</v>
      </c>
      <c r="Q806" s="100">
        <v>7.4</v>
      </c>
      <c r="R806" s="100">
        <v>7.1</v>
      </c>
      <c r="S806" s="100">
        <v>4.3</v>
      </c>
      <c r="T806" s="100">
        <v>3.7</v>
      </c>
      <c r="U806" s="100">
        <v>1.9</v>
      </c>
    </row>
    <row r="807" spans="4:21">
      <c r="D807" s="97" t="s">
        <v>620</v>
      </c>
      <c r="E807" s="97" t="s">
        <v>606</v>
      </c>
      <c r="F807" s="94" t="s">
        <v>621</v>
      </c>
      <c r="G807" s="97">
        <v>9</v>
      </c>
      <c r="H807" s="98" t="s">
        <v>748</v>
      </c>
      <c r="I807" s="99" t="str">
        <f t="shared" si="12"/>
        <v>영주|9</v>
      </c>
      <c r="J807" s="100">
        <v>1.2</v>
      </c>
      <c r="K807" s="100">
        <v>2.4</v>
      </c>
      <c r="L807" s="100">
        <v>4.0999999999999996</v>
      </c>
      <c r="M807" s="100">
        <v>5.5</v>
      </c>
      <c r="N807" s="100">
        <v>4.3</v>
      </c>
      <c r="O807" s="100">
        <v>5.7</v>
      </c>
      <c r="P807" s="100">
        <v>10.8</v>
      </c>
      <c r="Q807" s="100">
        <v>9.3000000000000007</v>
      </c>
      <c r="R807" s="100">
        <v>5.6</v>
      </c>
      <c r="S807" s="100">
        <v>3.8</v>
      </c>
      <c r="T807" s="100">
        <v>3.2</v>
      </c>
      <c r="U807" s="100">
        <v>1.8</v>
      </c>
    </row>
    <row r="808" spans="4:21">
      <c r="D808" s="97" t="s">
        <v>622</v>
      </c>
      <c r="E808" s="97" t="s">
        <v>606</v>
      </c>
      <c r="F808" s="94" t="s">
        <v>623</v>
      </c>
      <c r="G808" s="97">
        <v>9</v>
      </c>
      <c r="H808" s="98" t="s">
        <v>748</v>
      </c>
      <c r="I808" s="99" t="str">
        <f t="shared" si="12"/>
        <v>영천|9</v>
      </c>
      <c r="J808" s="100">
        <v>2</v>
      </c>
      <c r="K808" s="100">
        <v>2.1</v>
      </c>
      <c r="L808" s="100">
        <v>4</v>
      </c>
      <c r="M808" s="100">
        <v>5.0999999999999996</v>
      </c>
      <c r="N808" s="100">
        <v>4.5999999999999996</v>
      </c>
      <c r="O808" s="100">
        <v>5.2</v>
      </c>
      <c r="P808" s="100">
        <v>8.1</v>
      </c>
      <c r="Q808" s="100">
        <v>7.8</v>
      </c>
      <c r="R808" s="100">
        <v>6.4</v>
      </c>
      <c r="S808" s="100">
        <v>3.5</v>
      </c>
      <c r="T808" s="100">
        <v>2.2999999999999998</v>
      </c>
      <c r="U808" s="100">
        <v>1.5</v>
      </c>
    </row>
    <row r="809" spans="4:21">
      <c r="D809" s="97" t="s">
        <v>624</v>
      </c>
      <c r="E809" s="97" t="s">
        <v>606</v>
      </c>
      <c r="F809" s="94" t="s">
        <v>625</v>
      </c>
      <c r="G809" s="97">
        <v>9</v>
      </c>
      <c r="H809" s="98" t="s">
        <v>748</v>
      </c>
      <c r="I809" s="99" t="str">
        <f t="shared" si="12"/>
        <v>울릉도|9</v>
      </c>
      <c r="J809" s="100">
        <v>9.9</v>
      </c>
      <c r="K809" s="100">
        <v>8.1999999999999993</v>
      </c>
      <c r="L809" s="100">
        <v>4.5999999999999996</v>
      </c>
      <c r="M809" s="100">
        <v>6.6</v>
      </c>
      <c r="N809" s="100">
        <v>4.5</v>
      </c>
      <c r="O809" s="100">
        <v>4.0999999999999996</v>
      </c>
      <c r="P809" s="100">
        <v>6.9</v>
      </c>
      <c r="Q809" s="100">
        <v>5.7</v>
      </c>
      <c r="R809" s="100">
        <v>7.1</v>
      </c>
      <c r="S809" s="100">
        <v>7.3</v>
      </c>
      <c r="T809" s="100">
        <v>8.3000000000000007</v>
      </c>
      <c r="U809" s="100">
        <v>10.1</v>
      </c>
    </row>
    <row r="810" spans="4:21">
      <c r="D810" s="97" t="s">
        <v>626</v>
      </c>
      <c r="E810" s="97" t="s">
        <v>606</v>
      </c>
      <c r="F810" s="94" t="s">
        <v>627</v>
      </c>
      <c r="G810" s="97">
        <v>9</v>
      </c>
      <c r="H810" s="98" t="s">
        <v>748</v>
      </c>
      <c r="I810" s="99" t="str">
        <f t="shared" si="12"/>
        <v>울진|9</v>
      </c>
      <c r="J810" s="100">
        <v>2.6</v>
      </c>
      <c r="K810" s="100">
        <v>3.1</v>
      </c>
      <c r="L810" s="100">
        <v>4.5</v>
      </c>
      <c r="M810" s="100">
        <v>5.2</v>
      </c>
      <c r="N810" s="100">
        <v>3.2</v>
      </c>
      <c r="O810" s="100">
        <v>4.5</v>
      </c>
      <c r="P810" s="100">
        <v>8.1999999999999993</v>
      </c>
      <c r="Q810" s="100">
        <v>8.1</v>
      </c>
      <c r="R810" s="100">
        <v>6.6</v>
      </c>
      <c r="S810" s="100">
        <v>5.2</v>
      </c>
      <c r="T810" s="100">
        <v>3.6</v>
      </c>
      <c r="U810" s="100">
        <v>2.1</v>
      </c>
    </row>
    <row r="811" spans="4:21">
      <c r="D811" s="97" t="s">
        <v>628</v>
      </c>
      <c r="E811" s="97" t="s">
        <v>606</v>
      </c>
      <c r="F811" s="94" t="s">
        <v>629</v>
      </c>
      <c r="G811" s="97">
        <v>9</v>
      </c>
      <c r="H811" s="98" t="s">
        <v>748</v>
      </c>
      <c r="I811" s="99" t="str">
        <f t="shared" si="12"/>
        <v>의성|9</v>
      </c>
      <c r="J811" s="100">
        <v>1.3</v>
      </c>
      <c r="K811" s="100">
        <v>2</v>
      </c>
      <c r="L811" s="100">
        <v>3.4</v>
      </c>
      <c r="M811" s="100">
        <v>5.0999999999999996</v>
      </c>
      <c r="N811" s="100">
        <v>4.8</v>
      </c>
      <c r="O811" s="100">
        <v>4.9000000000000004</v>
      </c>
      <c r="P811" s="100">
        <v>8.6999999999999993</v>
      </c>
      <c r="Q811" s="100">
        <v>8.1999999999999993</v>
      </c>
      <c r="R811" s="100">
        <v>5.4</v>
      </c>
      <c r="S811" s="100">
        <v>3.6</v>
      </c>
      <c r="T811" s="100">
        <v>2.2999999999999998</v>
      </c>
      <c r="U811" s="100">
        <v>1.4</v>
      </c>
    </row>
    <row r="812" spans="4:21">
      <c r="D812" s="97" t="s">
        <v>630</v>
      </c>
      <c r="E812" s="97" t="s">
        <v>606</v>
      </c>
      <c r="F812" s="94" t="s">
        <v>631</v>
      </c>
      <c r="G812" s="97">
        <v>9</v>
      </c>
      <c r="H812" s="98" t="s">
        <v>748</v>
      </c>
      <c r="I812" s="99" t="str">
        <f t="shared" si="12"/>
        <v>청송군|9</v>
      </c>
      <c r="J812" s="100">
        <v>1.4</v>
      </c>
      <c r="K812" s="100">
        <v>2.2000000000000002</v>
      </c>
      <c r="L812" s="100">
        <v>3.7</v>
      </c>
      <c r="M812" s="100">
        <v>5.7</v>
      </c>
      <c r="N812" s="100">
        <v>4.7</v>
      </c>
      <c r="O812" s="100">
        <v>5.8</v>
      </c>
      <c r="P812" s="100">
        <v>9</v>
      </c>
      <c r="Q812" s="100">
        <v>8.1</v>
      </c>
      <c r="R812" s="100">
        <v>5.9</v>
      </c>
      <c r="S812" s="100">
        <v>3.8</v>
      </c>
      <c r="T812" s="100">
        <v>2.9</v>
      </c>
      <c r="U812" s="100">
        <v>1.5</v>
      </c>
    </row>
    <row r="813" spans="4:21">
      <c r="D813" s="97" t="s">
        <v>632</v>
      </c>
      <c r="E813" s="97" t="s">
        <v>606</v>
      </c>
      <c r="F813" s="94" t="s">
        <v>633</v>
      </c>
      <c r="G813" s="97">
        <v>9</v>
      </c>
      <c r="H813" s="98" t="s">
        <v>748</v>
      </c>
      <c r="I813" s="99" t="str">
        <f t="shared" si="12"/>
        <v>포항|9</v>
      </c>
      <c r="J813" s="100">
        <v>2.2999999999999998</v>
      </c>
      <c r="K813" s="100">
        <v>2.8</v>
      </c>
      <c r="L813" s="100">
        <v>4</v>
      </c>
      <c r="M813" s="100">
        <v>5.0999999999999996</v>
      </c>
      <c r="N813" s="100">
        <v>4.0999999999999996</v>
      </c>
      <c r="O813" s="100">
        <v>4.7</v>
      </c>
      <c r="P813" s="100">
        <v>7.2</v>
      </c>
      <c r="Q813" s="100">
        <v>6.5</v>
      </c>
      <c r="R813" s="100">
        <v>7.5</v>
      </c>
      <c r="S813" s="100">
        <v>4.4000000000000004</v>
      </c>
      <c r="T813" s="100">
        <v>2.8</v>
      </c>
      <c r="U813" s="100">
        <v>1.7</v>
      </c>
    </row>
    <row r="814" spans="4:21">
      <c r="D814" s="97" t="s">
        <v>634</v>
      </c>
      <c r="E814" s="97" t="s">
        <v>635</v>
      </c>
      <c r="F814" s="94" t="s">
        <v>636</v>
      </c>
      <c r="G814" s="97">
        <v>9</v>
      </c>
      <c r="H814" s="98" t="s">
        <v>748</v>
      </c>
      <c r="I814" s="99" t="str">
        <f t="shared" si="12"/>
        <v>광주|9</v>
      </c>
      <c r="J814" s="100">
        <v>3.2</v>
      </c>
      <c r="K814" s="100">
        <v>3.4</v>
      </c>
      <c r="L814" s="100">
        <v>4.5</v>
      </c>
      <c r="M814" s="100">
        <v>5.3</v>
      </c>
      <c r="N814" s="100">
        <v>4.8</v>
      </c>
      <c r="O814" s="100">
        <v>6.5</v>
      </c>
      <c r="P814" s="100">
        <v>10.7</v>
      </c>
      <c r="Q814" s="100">
        <v>9.1</v>
      </c>
      <c r="R814" s="100">
        <v>5.9</v>
      </c>
      <c r="S814" s="100">
        <v>3.7</v>
      </c>
      <c r="T814" s="100">
        <v>4.2</v>
      </c>
      <c r="U814" s="100">
        <v>2.7</v>
      </c>
    </row>
    <row r="815" spans="4:21">
      <c r="D815" s="97" t="s">
        <v>637</v>
      </c>
      <c r="E815" s="97" t="s">
        <v>638</v>
      </c>
      <c r="F815" s="94" t="s">
        <v>639</v>
      </c>
      <c r="G815" s="97">
        <v>9</v>
      </c>
      <c r="H815" s="98" t="s">
        <v>748</v>
      </c>
      <c r="I815" s="99" t="str">
        <f t="shared" si="12"/>
        <v>대구|9</v>
      </c>
      <c r="J815" s="100">
        <v>1.7</v>
      </c>
      <c r="K815" s="100">
        <v>2.2000000000000002</v>
      </c>
      <c r="L815" s="100">
        <v>4.3</v>
      </c>
      <c r="M815" s="100">
        <v>5.2</v>
      </c>
      <c r="N815" s="100">
        <v>4.5999999999999996</v>
      </c>
      <c r="O815" s="100">
        <v>5.5</v>
      </c>
      <c r="P815" s="100">
        <v>8.4</v>
      </c>
      <c r="Q815" s="100">
        <v>8.3000000000000007</v>
      </c>
      <c r="R815" s="100">
        <v>6.4</v>
      </c>
      <c r="S815" s="100">
        <v>3.5</v>
      </c>
      <c r="T815" s="100">
        <v>2.2999999999999998</v>
      </c>
      <c r="U815" s="100">
        <v>1.3</v>
      </c>
    </row>
    <row r="816" spans="4:21">
      <c r="D816" s="97" t="s">
        <v>640</v>
      </c>
      <c r="E816" s="97" t="s">
        <v>641</v>
      </c>
      <c r="F816" s="94" t="s">
        <v>642</v>
      </c>
      <c r="G816" s="97">
        <v>9</v>
      </c>
      <c r="H816" s="98" t="s">
        <v>748</v>
      </c>
      <c r="I816" s="99" t="str">
        <f t="shared" si="12"/>
        <v>대전|9</v>
      </c>
      <c r="J816" s="100">
        <v>2.2999999999999998</v>
      </c>
      <c r="K816" s="100">
        <v>2.6</v>
      </c>
      <c r="L816" s="100">
        <v>3.7</v>
      </c>
      <c r="M816" s="100">
        <v>5.0999999999999996</v>
      </c>
      <c r="N816" s="100">
        <v>5.2</v>
      </c>
      <c r="O816" s="100">
        <v>5.3</v>
      </c>
      <c r="P816" s="100">
        <v>11</v>
      </c>
      <c r="Q816" s="100">
        <v>8.9</v>
      </c>
      <c r="R816" s="100">
        <v>5.2</v>
      </c>
      <c r="S816" s="100">
        <v>3.6</v>
      </c>
      <c r="T816" s="100">
        <v>3.8</v>
      </c>
      <c r="U816" s="100">
        <v>2.1</v>
      </c>
    </row>
    <row r="817" spans="4:21">
      <c r="D817" s="97" t="s">
        <v>643</v>
      </c>
      <c r="E817" s="97" t="s">
        <v>644</v>
      </c>
      <c r="F817" s="94" t="s">
        <v>645</v>
      </c>
      <c r="G817" s="97">
        <v>9</v>
      </c>
      <c r="H817" s="98" t="s">
        <v>748</v>
      </c>
      <c r="I817" s="99" t="str">
        <f t="shared" si="12"/>
        <v>부산|9</v>
      </c>
      <c r="J817" s="100">
        <v>2.6</v>
      </c>
      <c r="K817" s="100">
        <v>3.2</v>
      </c>
      <c r="L817" s="100">
        <v>5.6</v>
      </c>
      <c r="M817" s="100">
        <v>6.2</v>
      </c>
      <c r="N817" s="100">
        <v>4.9000000000000004</v>
      </c>
      <c r="O817" s="100">
        <v>6.6</v>
      </c>
      <c r="P817" s="100">
        <v>7.9</v>
      </c>
      <c r="Q817" s="100">
        <v>6.2</v>
      </c>
      <c r="R817" s="100">
        <v>7.2</v>
      </c>
      <c r="S817" s="100">
        <v>3</v>
      </c>
      <c r="T817" s="100">
        <v>2.4</v>
      </c>
      <c r="U817" s="100">
        <v>2.2999999999999998</v>
      </c>
    </row>
    <row r="818" spans="4:21">
      <c r="D818" s="97" t="s">
        <v>64</v>
      </c>
      <c r="E818" s="97" t="s">
        <v>646</v>
      </c>
      <c r="F818" s="94" t="s">
        <v>647</v>
      </c>
      <c r="G818" s="97">
        <v>9</v>
      </c>
      <c r="H818" s="98" t="s">
        <v>748</v>
      </c>
      <c r="I818" s="99" t="str">
        <f t="shared" si="12"/>
        <v>서울|9</v>
      </c>
      <c r="J818" s="100">
        <v>1.5</v>
      </c>
      <c r="K818" s="100">
        <v>2.4</v>
      </c>
      <c r="L818" s="100">
        <v>2.5</v>
      </c>
      <c r="M818" s="100">
        <v>4.8</v>
      </c>
      <c r="N818" s="100">
        <v>5.0999999999999996</v>
      </c>
      <c r="O818" s="100">
        <v>6.2</v>
      </c>
      <c r="P818" s="100">
        <v>9.1999999999999993</v>
      </c>
      <c r="Q818" s="100">
        <v>8.9</v>
      </c>
      <c r="R818" s="100">
        <v>4.8</v>
      </c>
      <c r="S818" s="100">
        <v>3.7</v>
      </c>
      <c r="T818" s="100">
        <v>4.5</v>
      </c>
      <c r="U818" s="100">
        <v>2.2000000000000002</v>
      </c>
    </row>
    <row r="819" spans="4:21">
      <c r="D819" s="97" t="s">
        <v>648</v>
      </c>
      <c r="E819" s="97" t="s">
        <v>649</v>
      </c>
      <c r="F819" s="94" t="s">
        <v>650</v>
      </c>
      <c r="G819" s="97">
        <v>9</v>
      </c>
      <c r="H819" s="98" t="s">
        <v>748</v>
      </c>
      <c r="I819" s="99" t="str">
        <f t="shared" si="12"/>
        <v>세종|9</v>
      </c>
      <c r="J819" s="100">
        <v>1.7</v>
      </c>
      <c r="K819" s="100">
        <v>1.8</v>
      </c>
      <c r="L819" s="100">
        <v>3.2</v>
      </c>
      <c r="M819" s="100">
        <v>3</v>
      </c>
      <c r="N819" s="100">
        <v>4.8</v>
      </c>
      <c r="O819" s="100">
        <v>5.8</v>
      </c>
      <c r="P819" s="100">
        <v>12.2</v>
      </c>
      <c r="Q819" s="100">
        <v>10.199999999999999</v>
      </c>
      <c r="R819" s="100">
        <v>6.3</v>
      </c>
      <c r="S819" s="100">
        <v>3.3</v>
      </c>
      <c r="T819" s="100">
        <v>4.3</v>
      </c>
      <c r="U819" s="100">
        <v>1.5</v>
      </c>
    </row>
    <row r="820" spans="4:21">
      <c r="D820" s="97" t="s">
        <v>651</v>
      </c>
      <c r="E820" s="97" t="s">
        <v>652</v>
      </c>
      <c r="F820" s="94" t="s">
        <v>653</v>
      </c>
      <c r="G820" s="97">
        <v>9</v>
      </c>
      <c r="H820" s="98" t="s">
        <v>748</v>
      </c>
      <c r="I820" s="99" t="str">
        <f t="shared" si="12"/>
        <v>울산|9</v>
      </c>
      <c r="J820" s="100">
        <v>2.4</v>
      </c>
      <c r="K820" s="100">
        <v>2.5</v>
      </c>
      <c r="L820" s="100">
        <v>4.2</v>
      </c>
      <c r="M820" s="100">
        <v>5.8</v>
      </c>
      <c r="N820" s="100">
        <v>4.5999999999999996</v>
      </c>
      <c r="O820" s="100">
        <v>6.1</v>
      </c>
      <c r="P820" s="100">
        <v>7.4</v>
      </c>
      <c r="Q820" s="100">
        <v>6.7</v>
      </c>
      <c r="R820" s="100">
        <v>8</v>
      </c>
      <c r="S820" s="100">
        <v>3.2</v>
      </c>
      <c r="T820" s="100">
        <v>2.8</v>
      </c>
      <c r="U820" s="100">
        <v>1.9</v>
      </c>
    </row>
    <row r="821" spans="4:21">
      <c r="D821" s="97" t="s">
        <v>654</v>
      </c>
      <c r="E821" s="97" t="s">
        <v>655</v>
      </c>
      <c r="F821" s="94" t="s">
        <v>656</v>
      </c>
      <c r="G821" s="97">
        <v>9</v>
      </c>
      <c r="H821" s="98" t="s">
        <v>748</v>
      </c>
      <c r="I821" s="99" t="str">
        <f t="shared" si="12"/>
        <v>강화|9</v>
      </c>
      <c r="J821" s="100">
        <v>1.3</v>
      </c>
      <c r="K821" s="100">
        <v>2.1</v>
      </c>
      <c r="L821" s="100">
        <v>2.2999999999999998</v>
      </c>
      <c r="M821" s="100">
        <v>4</v>
      </c>
      <c r="N821" s="100">
        <v>4.9000000000000004</v>
      </c>
      <c r="O821" s="100">
        <v>4.8</v>
      </c>
      <c r="P821" s="100">
        <v>8</v>
      </c>
      <c r="Q821" s="100">
        <v>7.3</v>
      </c>
      <c r="R821" s="100">
        <v>4.2</v>
      </c>
      <c r="S821" s="100">
        <v>3.6</v>
      </c>
      <c r="T821" s="100">
        <v>3.6</v>
      </c>
      <c r="U821" s="100">
        <v>2.2999999999999998</v>
      </c>
    </row>
    <row r="822" spans="4:21">
      <c r="D822" s="97" t="s">
        <v>657</v>
      </c>
      <c r="E822" s="97" t="s">
        <v>655</v>
      </c>
      <c r="F822" s="94" t="s">
        <v>658</v>
      </c>
      <c r="G822" s="97">
        <v>9</v>
      </c>
      <c r="H822" s="98" t="s">
        <v>748</v>
      </c>
      <c r="I822" s="99" t="str">
        <f t="shared" si="12"/>
        <v>백령도|9</v>
      </c>
      <c r="J822" s="100">
        <v>2.2000000000000002</v>
      </c>
      <c r="K822" s="100">
        <v>1.9</v>
      </c>
      <c r="L822" s="100">
        <v>1.7</v>
      </c>
      <c r="M822" s="100">
        <v>2.4</v>
      </c>
      <c r="N822" s="100">
        <v>3.9</v>
      </c>
      <c r="O822" s="100">
        <v>4.5</v>
      </c>
      <c r="P822" s="100">
        <v>6.1</v>
      </c>
      <c r="Q822" s="100">
        <v>6.6</v>
      </c>
      <c r="R822" s="100">
        <v>3.5</v>
      </c>
      <c r="S822" s="100">
        <v>2.8</v>
      </c>
      <c r="T822" s="100">
        <v>3.4</v>
      </c>
      <c r="U822" s="100">
        <v>2.5</v>
      </c>
    </row>
    <row r="823" spans="4:21">
      <c r="D823" s="97" t="s">
        <v>659</v>
      </c>
      <c r="E823" s="97" t="s">
        <v>655</v>
      </c>
      <c r="F823" s="94" t="s">
        <v>660</v>
      </c>
      <c r="G823" s="97">
        <v>9</v>
      </c>
      <c r="H823" s="98" t="s">
        <v>748</v>
      </c>
      <c r="I823" s="99" t="str">
        <f t="shared" si="12"/>
        <v>인천|9</v>
      </c>
      <c r="J823" s="100">
        <v>1.3</v>
      </c>
      <c r="K823" s="100">
        <v>2.5</v>
      </c>
      <c r="L823" s="100">
        <v>2.7</v>
      </c>
      <c r="M823" s="100">
        <v>3.7</v>
      </c>
      <c r="N823" s="100">
        <v>4.7</v>
      </c>
      <c r="O823" s="100">
        <v>4.5999999999999996</v>
      </c>
      <c r="P823" s="100">
        <v>7.8</v>
      </c>
      <c r="Q823" s="100">
        <v>7.4</v>
      </c>
      <c r="R823" s="100">
        <v>4.8</v>
      </c>
      <c r="S823" s="100">
        <v>3.2</v>
      </c>
      <c r="T823" s="100">
        <v>4</v>
      </c>
      <c r="U823" s="100">
        <v>2.2999999999999998</v>
      </c>
    </row>
    <row r="824" spans="4:21">
      <c r="D824" s="97" t="s">
        <v>661</v>
      </c>
      <c r="E824" s="97" t="s">
        <v>662</v>
      </c>
      <c r="F824" s="94" t="s">
        <v>663</v>
      </c>
      <c r="G824" s="97">
        <v>9</v>
      </c>
      <c r="H824" s="98" t="s">
        <v>748</v>
      </c>
      <c r="I824" s="99" t="str">
        <f t="shared" si="12"/>
        <v>강진군|9</v>
      </c>
      <c r="J824" s="100">
        <v>2.8</v>
      </c>
      <c r="K824" s="100">
        <v>3.4</v>
      </c>
      <c r="L824" s="100">
        <v>4.5999999999999996</v>
      </c>
      <c r="M824" s="100">
        <v>5.9</v>
      </c>
      <c r="N824" s="100">
        <v>4.7</v>
      </c>
      <c r="O824" s="100">
        <v>6.3</v>
      </c>
      <c r="P824" s="100">
        <v>8.6999999999999993</v>
      </c>
      <c r="Q824" s="100">
        <v>6.5</v>
      </c>
      <c r="R824" s="100">
        <v>7.5</v>
      </c>
      <c r="S824" s="100">
        <v>3.1</v>
      </c>
      <c r="T824" s="100">
        <v>4.0999999999999996</v>
      </c>
      <c r="U824" s="100">
        <v>2.2999999999999998</v>
      </c>
    </row>
    <row r="825" spans="4:21">
      <c r="D825" s="97" t="s">
        <v>664</v>
      </c>
      <c r="E825" s="97" t="s">
        <v>662</v>
      </c>
      <c r="F825" s="94" t="s">
        <v>665</v>
      </c>
      <c r="G825" s="97">
        <v>9</v>
      </c>
      <c r="H825" s="98" t="s">
        <v>748</v>
      </c>
      <c r="I825" s="99" t="str">
        <f t="shared" si="12"/>
        <v>고흥|9</v>
      </c>
      <c r="J825" s="100">
        <v>2.5</v>
      </c>
      <c r="K825" s="100">
        <v>3.2</v>
      </c>
      <c r="L825" s="100">
        <v>4.8</v>
      </c>
      <c r="M825" s="100">
        <v>6.1</v>
      </c>
      <c r="N825" s="100">
        <v>4.7</v>
      </c>
      <c r="O825" s="100">
        <v>6.3</v>
      </c>
      <c r="P825" s="100">
        <v>8</v>
      </c>
      <c r="Q825" s="100">
        <v>5</v>
      </c>
      <c r="R825" s="100">
        <v>6.9</v>
      </c>
      <c r="S825" s="100">
        <v>2.7</v>
      </c>
      <c r="T825" s="100">
        <v>3.1</v>
      </c>
      <c r="U825" s="100">
        <v>1.7</v>
      </c>
    </row>
    <row r="826" spans="4:21">
      <c r="D826" s="97" t="s">
        <v>666</v>
      </c>
      <c r="E826" s="97" t="s">
        <v>662</v>
      </c>
      <c r="F826" s="94" t="s">
        <v>667</v>
      </c>
      <c r="G826" s="97">
        <v>9</v>
      </c>
      <c r="H826" s="98" t="s">
        <v>748</v>
      </c>
      <c r="I826" s="99" t="str">
        <f t="shared" si="12"/>
        <v>광양시|9</v>
      </c>
      <c r="J826" s="100">
        <v>2.5</v>
      </c>
      <c r="K826" s="100">
        <v>2.9</v>
      </c>
      <c r="L826" s="100">
        <v>4.9000000000000004</v>
      </c>
      <c r="M826" s="100">
        <v>5.8</v>
      </c>
      <c r="N826" s="100">
        <v>5.5</v>
      </c>
      <c r="O826" s="100">
        <v>6</v>
      </c>
      <c r="P826" s="100">
        <v>8.9</v>
      </c>
      <c r="Q826" s="100">
        <v>7.1</v>
      </c>
      <c r="R826" s="100">
        <v>6.9</v>
      </c>
      <c r="S826" s="100">
        <v>2.8</v>
      </c>
      <c r="T826" s="100">
        <v>3.1</v>
      </c>
      <c r="U826" s="100">
        <v>1.8</v>
      </c>
    </row>
    <row r="827" spans="4:21">
      <c r="D827" s="97" t="s">
        <v>668</v>
      </c>
      <c r="E827" s="97" t="s">
        <v>662</v>
      </c>
      <c r="F827" s="94" t="s">
        <v>669</v>
      </c>
      <c r="G827" s="97">
        <v>9</v>
      </c>
      <c r="H827" s="98" t="s">
        <v>748</v>
      </c>
      <c r="I827" s="99" t="str">
        <f t="shared" si="12"/>
        <v>목포|9</v>
      </c>
      <c r="J827" s="100">
        <v>2.9</v>
      </c>
      <c r="K827" s="100">
        <v>3.3</v>
      </c>
      <c r="L827" s="100">
        <v>4</v>
      </c>
      <c r="M827" s="100">
        <v>5.0999999999999996</v>
      </c>
      <c r="N827" s="100">
        <v>4.7</v>
      </c>
      <c r="O827" s="100">
        <v>4.9000000000000004</v>
      </c>
      <c r="P827" s="100">
        <v>8.1</v>
      </c>
      <c r="Q827" s="100">
        <v>5.6</v>
      </c>
      <c r="R827" s="100">
        <v>6.5</v>
      </c>
      <c r="S827" s="100">
        <v>3.4</v>
      </c>
      <c r="T827" s="100">
        <v>4.5</v>
      </c>
      <c r="U827" s="100">
        <v>3.6</v>
      </c>
    </row>
    <row r="828" spans="4:21">
      <c r="D828" s="97" t="s">
        <v>670</v>
      </c>
      <c r="E828" s="97" t="s">
        <v>662</v>
      </c>
      <c r="F828" s="94" t="s">
        <v>671</v>
      </c>
      <c r="G828" s="97">
        <v>9</v>
      </c>
      <c r="H828" s="98" t="s">
        <v>748</v>
      </c>
      <c r="I828" s="99" t="str">
        <f t="shared" si="12"/>
        <v>보성군|9</v>
      </c>
      <c r="J828" s="100">
        <v>2.6</v>
      </c>
      <c r="K828" s="100">
        <v>2.9</v>
      </c>
      <c r="L828" s="100">
        <v>4.9000000000000004</v>
      </c>
      <c r="M828" s="100">
        <v>6.1</v>
      </c>
      <c r="N828" s="100">
        <v>5.5</v>
      </c>
      <c r="O828" s="100">
        <v>6.3</v>
      </c>
      <c r="P828" s="100">
        <v>9.1</v>
      </c>
      <c r="Q828" s="100">
        <v>5.6</v>
      </c>
      <c r="R828" s="100">
        <v>6.6</v>
      </c>
      <c r="S828" s="100">
        <v>3.3</v>
      </c>
      <c r="T828" s="100">
        <v>3.4</v>
      </c>
      <c r="U828" s="100">
        <v>2</v>
      </c>
    </row>
    <row r="829" spans="4:21">
      <c r="D829" s="97" t="s">
        <v>672</v>
      </c>
      <c r="E829" s="97" t="s">
        <v>662</v>
      </c>
      <c r="F829" s="94" t="s">
        <v>673</v>
      </c>
      <c r="G829" s="97">
        <v>9</v>
      </c>
      <c r="H829" s="98" t="s">
        <v>748</v>
      </c>
      <c r="I829" s="99" t="str">
        <f t="shared" si="12"/>
        <v>순천|9</v>
      </c>
      <c r="J829" s="100">
        <v>2.7</v>
      </c>
      <c r="K829" s="100">
        <v>3.4</v>
      </c>
      <c r="L829" s="100">
        <v>4.8</v>
      </c>
      <c r="M829" s="100">
        <v>6.1</v>
      </c>
      <c r="N829" s="100">
        <v>5.3</v>
      </c>
      <c r="O829" s="100">
        <v>6.2</v>
      </c>
      <c r="P829" s="100">
        <v>9.3000000000000007</v>
      </c>
      <c r="Q829" s="100">
        <v>7.3</v>
      </c>
      <c r="R829" s="100">
        <v>6.9</v>
      </c>
      <c r="S829" s="100">
        <v>3.6</v>
      </c>
      <c r="T829" s="100">
        <v>4</v>
      </c>
      <c r="U829" s="100">
        <v>1.9</v>
      </c>
    </row>
    <row r="830" spans="4:21">
      <c r="D830" s="97" t="s">
        <v>674</v>
      </c>
      <c r="E830" s="97" t="s">
        <v>662</v>
      </c>
      <c r="F830" s="94" t="s">
        <v>675</v>
      </c>
      <c r="G830" s="97">
        <v>9</v>
      </c>
      <c r="H830" s="98" t="s">
        <v>748</v>
      </c>
      <c r="I830" s="99" t="str">
        <f t="shared" si="12"/>
        <v>여수|9</v>
      </c>
      <c r="J830" s="100">
        <v>2.4</v>
      </c>
      <c r="K830" s="100">
        <v>3</v>
      </c>
      <c r="L830" s="100">
        <v>4.8</v>
      </c>
      <c r="M830" s="100">
        <v>5.8</v>
      </c>
      <c r="N830" s="100">
        <v>5.2</v>
      </c>
      <c r="O830" s="100">
        <v>6.1</v>
      </c>
      <c r="P830" s="100">
        <v>8.5</v>
      </c>
      <c r="Q830" s="100">
        <v>5.9</v>
      </c>
      <c r="R830" s="100">
        <v>6.4</v>
      </c>
      <c r="S830" s="100">
        <v>3</v>
      </c>
      <c r="T830" s="100">
        <v>2.9</v>
      </c>
      <c r="U830" s="100">
        <v>1.8</v>
      </c>
    </row>
    <row r="831" spans="4:21">
      <c r="D831" s="97" t="s">
        <v>676</v>
      </c>
      <c r="E831" s="97" t="s">
        <v>662</v>
      </c>
      <c r="F831" s="94" t="s">
        <v>677</v>
      </c>
      <c r="G831" s="97">
        <v>9</v>
      </c>
      <c r="H831" s="98" t="s">
        <v>748</v>
      </c>
      <c r="I831" s="99" t="str">
        <f t="shared" si="12"/>
        <v>영광군|9</v>
      </c>
      <c r="J831" s="100">
        <v>3.6</v>
      </c>
      <c r="K831" s="100">
        <v>2.9</v>
      </c>
      <c r="L831" s="100">
        <v>3.7</v>
      </c>
      <c r="M831" s="100">
        <v>5.4</v>
      </c>
      <c r="N831" s="100">
        <v>4.5999999999999996</v>
      </c>
      <c r="O831" s="100">
        <v>5</v>
      </c>
      <c r="P831" s="100">
        <v>9.8000000000000007</v>
      </c>
      <c r="Q831" s="100">
        <v>6.9</v>
      </c>
      <c r="R831" s="100">
        <v>5.7</v>
      </c>
      <c r="S831" s="100">
        <v>4.5</v>
      </c>
      <c r="T831" s="100">
        <v>5</v>
      </c>
      <c r="U831" s="100">
        <v>3.7</v>
      </c>
    </row>
    <row r="832" spans="4:21">
      <c r="D832" s="97" t="s">
        <v>678</v>
      </c>
      <c r="E832" s="97" t="s">
        <v>662</v>
      </c>
      <c r="F832" s="94" t="s">
        <v>679</v>
      </c>
      <c r="G832" s="97">
        <v>9</v>
      </c>
      <c r="H832" s="98" t="s">
        <v>748</v>
      </c>
      <c r="I832" s="99" t="str">
        <f t="shared" si="12"/>
        <v>완도|9</v>
      </c>
      <c r="J832" s="100">
        <v>3.1</v>
      </c>
      <c r="K832" s="100">
        <v>3.6</v>
      </c>
      <c r="L832" s="100">
        <v>5.2</v>
      </c>
      <c r="M832" s="100">
        <v>6</v>
      </c>
      <c r="N832" s="100">
        <v>5.6</v>
      </c>
      <c r="O832" s="100">
        <v>6.2</v>
      </c>
      <c r="P832" s="100">
        <v>7.9</v>
      </c>
      <c r="Q832" s="100">
        <v>5.4</v>
      </c>
      <c r="R832" s="100">
        <v>7.7</v>
      </c>
      <c r="S832" s="100">
        <v>3.1</v>
      </c>
      <c r="T832" s="100">
        <v>4</v>
      </c>
      <c r="U832" s="100">
        <v>2.7</v>
      </c>
    </row>
    <row r="833" spans="4:21">
      <c r="D833" s="97" t="s">
        <v>680</v>
      </c>
      <c r="E833" s="97" t="s">
        <v>662</v>
      </c>
      <c r="F833" s="94" t="s">
        <v>681</v>
      </c>
      <c r="G833" s="97">
        <v>9</v>
      </c>
      <c r="H833" s="98" t="s">
        <v>748</v>
      </c>
      <c r="I833" s="99" t="str">
        <f t="shared" si="12"/>
        <v>장흥|9</v>
      </c>
      <c r="J833" s="100">
        <v>2.7</v>
      </c>
      <c r="K833" s="100">
        <v>3</v>
      </c>
      <c r="L833" s="100">
        <v>4.7</v>
      </c>
      <c r="M833" s="100">
        <v>5.7</v>
      </c>
      <c r="N833" s="100">
        <v>5</v>
      </c>
      <c r="O833" s="100">
        <v>5.9</v>
      </c>
      <c r="P833" s="100">
        <v>8.6999999999999993</v>
      </c>
      <c r="Q833" s="100">
        <v>6.5</v>
      </c>
      <c r="R833" s="100">
        <v>7.3</v>
      </c>
      <c r="S833" s="100">
        <v>3.3</v>
      </c>
      <c r="T833" s="100">
        <v>4</v>
      </c>
      <c r="U833" s="100">
        <v>2.2999999999999998</v>
      </c>
    </row>
    <row r="834" spans="4:21">
      <c r="D834" s="97" t="s">
        <v>682</v>
      </c>
      <c r="E834" s="97" t="s">
        <v>662</v>
      </c>
      <c r="F834" s="94" t="s">
        <v>683</v>
      </c>
      <c r="G834" s="97">
        <v>9</v>
      </c>
      <c r="H834" s="98" t="s">
        <v>748</v>
      </c>
      <c r="I834" s="99" t="str">
        <f t="shared" si="12"/>
        <v>진도군|9</v>
      </c>
      <c r="J834" s="100">
        <v>3.1</v>
      </c>
      <c r="K834" s="100">
        <v>3.5</v>
      </c>
      <c r="L834" s="100">
        <v>4.5999999999999996</v>
      </c>
      <c r="M834" s="100">
        <v>5.8</v>
      </c>
      <c r="N834" s="100">
        <v>5.0999999999999996</v>
      </c>
      <c r="O834" s="100">
        <v>5.2</v>
      </c>
      <c r="P834" s="100">
        <v>8.3000000000000007</v>
      </c>
      <c r="Q834" s="100">
        <v>4.5999999999999996</v>
      </c>
      <c r="R834" s="100">
        <v>6.9</v>
      </c>
      <c r="S834" s="100">
        <v>3.5</v>
      </c>
      <c r="T834" s="100">
        <v>4.3</v>
      </c>
      <c r="U834" s="100">
        <v>4</v>
      </c>
    </row>
    <row r="835" spans="4:21">
      <c r="D835" s="97" t="s">
        <v>684</v>
      </c>
      <c r="E835" s="97" t="s">
        <v>662</v>
      </c>
      <c r="F835" s="94" t="s">
        <v>685</v>
      </c>
      <c r="G835" s="97">
        <v>9</v>
      </c>
      <c r="H835" s="98" t="s">
        <v>748</v>
      </c>
      <c r="I835" s="99" t="str">
        <f t="shared" si="12"/>
        <v>해남|9</v>
      </c>
      <c r="J835" s="100">
        <v>2.6</v>
      </c>
      <c r="K835" s="100">
        <v>3.1</v>
      </c>
      <c r="L835" s="100">
        <v>4.5</v>
      </c>
      <c r="M835" s="100">
        <v>5.8</v>
      </c>
      <c r="N835" s="100">
        <v>4.9000000000000004</v>
      </c>
      <c r="O835" s="100">
        <v>4.5999999999999996</v>
      </c>
      <c r="P835" s="100">
        <v>7.7</v>
      </c>
      <c r="Q835" s="100">
        <v>5.7</v>
      </c>
      <c r="R835" s="100">
        <v>6.6</v>
      </c>
      <c r="S835" s="100">
        <v>3.4</v>
      </c>
      <c r="T835" s="100">
        <v>3.6</v>
      </c>
      <c r="U835" s="100">
        <v>2.9</v>
      </c>
    </row>
    <row r="836" spans="4:21">
      <c r="D836" s="97" t="s">
        <v>686</v>
      </c>
      <c r="E836" s="97" t="s">
        <v>662</v>
      </c>
      <c r="F836" s="94" t="s">
        <v>687</v>
      </c>
      <c r="G836" s="97">
        <v>9</v>
      </c>
      <c r="H836" s="98" t="s">
        <v>748</v>
      </c>
      <c r="I836" s="99" t="str">
        <f t="shared" si="12"/>
        <v>흑산도|9</v>
      </c>
      <c r="J836" s="100">
        <v>2.8</v>
      </c>
      <c r="K836" s="100">
        <v>2.7</v>
      </c>
      <c r="L836" s="100">
        <v>3.8</v>
      </c>
      <c r="M836" s="100">
        <v>4.9000000000000004</v>
      </c>
      <c r="N836" s="100">
        <v>4.9000000000000004</v>
      </c>
      <c r="O836" s="100">
        <v>4.4000000000000004</v>
      </c>
      <c r="P836" s="100">
        <v>8</v>
      </c>
      <c r="Q836" s="100">
        <v>5.2</v>
      </c>
      <c r="R836" s="100">
        <v>6.6</v>
      </c>
      <c r="S836" s="100">
        <v>3.7</v>
      </c>
      <c r="T836" s="100">
        <v>4.3</v>
      </c>
      <c r="U836" s="100">
        <v>2.9</v>
      </c>
    </row>
    <row r="837" spans="4:21">
      <c r="D837" s="97" t="s">
        <v>688</v>
      </c>
      <c r="E837" s="97" t="s">
        <v>689</v>
      </c>
      <c r="F837" s="94" t="s">
        <v>690</v>
      </c>
      <c r="G837" s="97">
        <v>9</v>
      </c>
      <c r="H837" s="98" t="s">
        <v>748</v>
      </c>
      <c r="I837" s="99" t="str">
        <f t="shared" si="12"/>
        <v>고창|9</v>
      </c>
      <c r="J837" s="100">
        <v>3.8</v>
      </c>
      <c r="K837" s="100">
        <v>3</v>
      </c>
      <c r="L837" s="100">
        <v>3.7</v>
      </c>
      <c r="M837" s="100">
        <v>5</v>
      </c>
      <c r="N837" s="100">
        <v>4.5</v>
      </c>
      <c r="O837" s="100">
        <v>4.5</v>
      </c>
      <c r="P837" s="100">
        <v>9.3000000000000007</v>
      </c>
      <c r="Q837" s="100">
        <v>7.5</v>
      </c>
      <c r="R837" s="100">
        <v>5.3</v>
      </c>
      <c r="S837" s="100">
        <v>4.0999999999999996</v>
      </c>
      <c r="T837" s="100">
        <v>4.8</v>
      </c>
      <c r="U837" s="100">
        <v>4.0999999999999996</v>
      </c>
    </row>
    <row r="838" spans="4:21">
      <c r="D838" s="97" t="s">
        <v>691</v>
      </c>
      <c r="E838" s="97" t="s">
        <v>689</v>
      </c>
      <c r="F838" s="94" t="s">
        <v>692</v>
      </c>
      <c r="G838" s="97">
        <v>9</v>
      </c>
      <c r="H838" s="98" t="s">
        <v>748</v>
      </c>
      <c r="I838" s="99" t="str">
        <f t="shared" si="12"/>
        <v>고창군|9</v>
      </c>
      <c r="J838" s="100">
        <v>3.7</v>
      </c>
      <c r="K838" s="100">
        <v>2.8</v>
      </c>
      <c r="L838" s="100">
        <v>3.7</v>
      </c>
      <c r="M838" s="100">
        <v>5.4</v>
      </c>
      <c r="N838" s="100">
        <v>4.9000000000000004</v>
      </c>
      <c r="O838" s="100">
        <v>5</v>
      </c>
      <c r="P838" s="100">
        <v>10.5</v>
      </c>
      <c r="Q838" s="100">
        <v>8.1999999999999993</v>
      </c>
      <c r="R838" s="100">
        <v>5.4</v>
      </c>
      <c r="S838" s="100">
        <v>4.5</v>
      </c>
      <c r="T838" s="100">
        <v>4.7</v>
      </c>
      <c r="U838" s="100">
        <v>3.2</v>
      </c>
    </row>
    <row r="839" spans="4:21">
      <c r="D839" s="97" t="s">
        <v>693</v>
      </c>
      <c r="E839" s="97" t="s">
        <v>689</v>
      </c>
      <c r="F839" s="94" t="s">
        <v>694</v>
      </c>
      <c r="G839" s="97">
        <v>9</v>
      </c>
      <c r="H839" s="98" t="s">
        <v>748</v>
      </c>
      <c r="I839" s="99" t="str">
        <f t="shared" ref="I839:I902" si="13">$D839&amp;"|"&amp;$G839</f>
        <v>군산|9</v>
      </c>
      <c r="J839" s="100">
        <v>3</v>
      </c>
      <c r="K839" s="100">
        <v>2.8</v>
      </c>
      <c r="L839" s="100">
        <v>3.4</v>
      </c>
      <c r="M839" s="100">
        <v>5.0999999999999996</v>
      </c>
      <c r="N839" s="100">
        <v>4.5</v>
      </c>
      <c r="O839" s="100">
        <v>4.8</v>
      </c>
      <c r="P839" s="100">
        <v>9.6</v>
      </c>
      <c r="Q839" s="100">
        <v>7.3</v>
      </c>
      <c r="R839" s="100">
        <v>5.2</v>
      </c>
      <c r="S839" s="100">
        <v>3.8</v>
      </c>
      <c r="T839" s="100">
        <v>4.4000000000000004</v>
      </c>
      <c r="U839" s="100">
        <v>2.9</v>
      </c>
    </row>
    <row r="840" spans="4:21">
      <c r="D840" s="97" t="s">
        <v>695</v>
      </c>
      <c r="E840" s="97" t="s">
        <v>689</v>
      </c>
      <c r="F840" s="94" t="s">
        <v>696</v>
      </c>
      <c r="G840" s="97">
        <v>9</v>
      </c>
      <c r="H840" s="98" t="s">
        <v>748</v>
      </c>
      <c r="I840" s="99" t="str">
        <f t="shared" si="13"/>
        <v>남원|9</v>
      </c>
      <c r="J840" s="100">
        <v>3.3</v>
      </c>
      <c r="K840" s="100">
        <v>3.4</v>
      </c>
      <c r="L840" s="100">
        <v>4</v>
      </c>
      <c r="M840" s="100">
        <v>5.4</v>
      </c>
      <c r="N840" s="100">
        <v>4.4000000000000004</v>
      </c>
      <c r="O840" s="100">
        <v>6.3</v>
      </c>
      <c r="P840" s="100">
        <v>10.3</v>
      </c>
      <c r="Q840" s="100">
        <v>8.1999999999999993</v>
      </c>
      <c r="R840" s="100">
        <v>5.9</v>
      </c>
      <c r="S840" s="100">
        <v>4.4000000000000004</v>
      </c>
      <c r="T840" s="100">
        <v>3.9</v>
      </c>
      <c r="U840" s="100">
        <v>2.8</v>
      </c>
    </row>
    <row r="841" spans="4:21">
      <c r="D841" s="97" t="s">
        <v>697</v>
      </c>
      <c r="E841" s="97" t="s">
        <v>689</v>
      </c>
      <c r="F841" s="94" t="s">
        <v>698</v>
      </c>
      <c r="G841" s="97">
        <v>9</v>
      </c>
      <c r="H841" s="98" t="s">
        <v>748</v>
      </c>
      <c r="I841" s="99" t="str">
        <f t="shared" si="13"/>
        <v>부안|9</v>
      </c>
      <c r="J841" s="100">
        <v>3.6</v>
      </c>
      <c r="K841" s="100">
        <v>3.1</v>
      </c>
      <c r="L841" s="100">
        <v>3.7</v>
      </c>
      <c r="M841" s="100">
        <v>5.0999999999999996</v>
      </c>
      <c r="N841" s="100">
        <v>4.8</v>
      </c>
      <c r="O841" s="100">
        <v>5</v>
      </c>
      <c r="P841" s="100">
        <v>9.9</v>
      </c>
      <c r="Q841" s="100">
        <v>7.4</v>
      </c>
      <c r="R841" s="100">
        <v>4.4000000000000004</v>
      </c>
      <c r="S841" s="100">
        <v>4.2</v>
      </c>
      <c r="T841" s="100">
        <v>4.8</v>
      </c>
      <c r="U841" s="100">
        <v>4</v>
      </c>
    </row>
    <row r="842" spans="4:21">
      <c r="D842" s="97" t="s">
        <v>699</v>
      </c>
      <c r="E842" s="97" t="s">
        <v>689</v>
      </c>
      <c r="F842" s="94" t="s">
        <v>700</v>
      </c>
      <c r="G842" s="97">
        <v>9</v>
      </c>
      <c r="H842" s="98" t="s">
        <v>748</v>
      </c>
      <c r="I842" s="99" t="str">
        <f t="shared" si="13"/>
        <v>순창군|9</v>
      </c>
      <c r="J842" s="100">
        <v>3.5</v>
      </c>
      <c r="K842" s="100">
        <v>3.3</v>
      </c>
      <c r="L842" s="100">
        <v>4.2</v>
      </c>
      <c r="M842" s="100">
        <v>5.7</v>
      </c>
      <c r="N842" s="100">
        <v>4.8</v>
      </c>
      <c r="O842" s="100">
        <v>6.4</v>
      </c>
      <c r="P842" s="100">
        <v>11.1</v>
      </c>
      <c r="Q842" s="100">
        <v>8.4</v>
      </c>
      <c r="R842" s="100">
        <v>6.1</v>
      </c>
      <c r="S842" s="100">
        <v>3.5</v>
      </c>
      <c r="T842" s="100">
        <v>4.5</v>
      </c>
      <c r="U842" s="100">
        <v>3.5</v>
      </c>
    </row>
    <row r="843" spans="4:21">
      <c r="D843" s="97" t="s">
        <v>701</v>
      </c>
      <c r="E843" s="97" t="s">
        <v>689</v>
      </c>
      <c r="F843" s="94" t="s">
        <v>702</v>
      </c>
      <c r="G843" s="97">
        <v>9</v>
      </c>
      <c r="H843" s="98" t="s">
        <v>748</v>
      </c>
      <c r="I843" s="99" t="str">
        <f t="shared" si="13"/>
        <v>임실|9</v>
      </c>
      <c r="J843" s="100">
        <v>3.2</v>
      </c>
      <c r="K843" s="100">
        <v>3.3</v>
      </c>
      <c r="L843" s="100">
        <v>4.8</v>
      </c>
      <c r="M843" s="100">
        <v>5.6</v>
      </c>
      <c r="N843" s="100">
        <v>5.2</v>
      </c>
      <c r="O843" s="100">
        <v>6.3</v>
      </c>
      <c r="P843" s="100">
        <v>11.4</v>
      </c>
      <c r="Q843" s="100">
        <v>8.9</v>
      </c>
      <c r="R843" s="100">
        <v>5.6</v>
      </c>
      <c r="S843" s="100">
        <v>4.4000000000000004</v>
      </c>
      <c r="T843" s="100">
        <v>4.5</v>
      </c>
      <c r="U843" s="100">
        <v>3.8</v>
      </c>
    </row>
    <row r="844" spans="4:21">
      <c r="D844" s="97" t="s">
        <v>703</v>
      </c>
      <c r="E844" s="97" t="s">
        <v>689</v>
      </c>
      <c r="F844" s="94" t="s">
        <v>704</v>
      </c>
      <c r="G844" s="97">
        <v>9</v>
      </c>
      <c r="H844" s="98" t="s">
        <v>748</v>
      </c>
      <c r="I844" s="99" t="str">
        <f t="shared" si="13"/>
        <v>장수|9</v>
      </c>
      <c r="J844" s="100">
        <v>3.8</v>
      </c>
      <c r="K844" s="100">
        <v>3.4</v>
      </c>
      <c r="L844" s="100">
        <v>5.0999999999999996</v>
      </c>
      <c r="M844" s="100">
        <v>6.1</v>
      </c>
      <c r="N844" s="100">
        <v>5</v>
      </c>
      <c r="O844" s="100">
        <v>6.7</v>
      </c>
      <c r="P844" s="100">
        <v>10.5</v>
      </c>
      <c r="Q844" s="100">
        <v>9.6999999999999993</v>
      </c>
      <c r="R844" s="100">
        <v>6.6</v>
      </c>
      <c r="S844" s="100">
        <v>4.5999999999999996</v>
      </c>
      <c r="T844" s="100">
        <v>3.9</v>
      </c>
      <c r="U844" s="100">
        <v>3.6</v>
      </c>
    </row>
    <row r="845" spans="4:21">
      <c r="D845" s="97" t="s">
        <v>705</v>
      </c>
      <c r="E845" s="97" t="s">
        <v>689</v>
      </c>
      <c r="F845" s="94" t="s">
        <v>706</v>
      </c>
      <c r="G845" s="97">
        <v>9</v>
      </c>
      <c r="H845" s="98" t="s">
        <v>748</v>
      </c>
      <c r="I845" s="99" t="str">
        <f t="shared" si="13"/>
        <v>전주|9</v>
      </c>
      <c r="J845" s="100">
        <v>3.2</v>
      </c>
      <c r="K845" s="100">
        <v>2.9</v>
      </c>
      <c r="L845" s="100">
        <v>4.0999999999999996</v>
      </c>
      <c r="M845" s="100">
        <v>5.2</v>
      </c>
      <c r="N845" s="100">
        <v>5.3</v>
      </c>
      <c r="O845" s="100">
        <v>5.6</v>
      </c>
      <c r="P845" s="100">
        <v>10.9</v>
      </c>
      <c r="Q845" s="100">
        <v>8.1999999999999993</v>
      </c>
      <c r="R845" s="100">
        <v>5.0999999999999996</v>
      </c>
      <c r="S845" s="100">
        <v>4.3</v>
      </c>
      <c r="T845" s="100">
        <v>4.3</v>
      </c>
      <c r="U845" s="100">
        <v>3.2</v>
      </c>
    </row>
    <row r="846" spans="4:21">
      <c r="D846" s="97" t="s">
        <v>707</v>
      </c>
      <c r="E846" s="97" t="s">
        <v>689</v>
      </c>
      <c r="F846" s="94" t="s">
        <v>708</v>
      </c>
      <c r="G846" s="97">
        <v>9</v>
      </c>
      <c r="H846" s="98" t="s">
        <v>748</v>
      </c>
      <c r="I846" s="99" t="str">
        <f t="shared" si="13"/>
        <v>정읍|9</v>
      </c>
      <c r="J846" s="100">
        <v>4</v>
      </c>
      <c r="K846" s="100">
        <v>3.8</v>
      </c>
      <c r="L846" s="100">
        <v>3.9</v>
      </c>
      <c r="M846" s="100">
        <v>5.3</v>
      </c>
      <c r="N846" s="100">
        <v>5</v>
      </c>
      <c r="O846" s="100">
        <v>5</v>
      </c>
      <c r="P846" s="100">
        <v>10.4</v>
      </c>
      <c r="Q846" s="100">
        <v>7.7</v>
      </c>
      <c r="R846" s="100">
        <v>5.2</v>
      </c>
      <c r="S846" s="100">
        <v>4.4000000000000004</v>
      </c>
      <c r="T846" s="100">
        <v>5.2</v>
      </c>
      <c r="U846" s="100">
        <v>4</v>
      </c>
    </row>
    <row r="847" spans="4:21">
      <c r="D847" s="97" t="s">
        <v>709</v>
      </c>
      <c r="E847" s="97" t="s">
        <v>710</v>
      </c>
      <c r="F847" s="94" t="s">
        <v>711</v>
      </c>
      <c r="G847" s="97">
        <v>9</v>
      </c>
      <c r="H847" s="98" t="s">
        <v>748</v>
      </c>
      <c r="I847" s="99" t="str">
        <f t="shared" si="13"/>
        <v>고산|9</v>
      </c>
      <c r="J847" s="100">
        <v>3.6</v>
      </c>
      <c r="K847" s="100">
        <v>3.4</v>
      </c>
      <c r="L847" s="100">
        <v>5.5</v>
      </c>
      <c r="M847" s="100">
        <v>5.3</v>
      </c>
      <c r="N847" s="100">
        <v>5.5</v>
      </c>
      <c r="O847" s="100">
        <v>6.6</v>
      </c>
      <c r="P847" s="100">
        <v>6.1</v>
      </c>
      <c r="Q847" s="100">
        <v>6.2</v>
      </c>
      <c r="R847" s="100">
        <v>7.3</v>
      </c>
      <c r="S847" s="100">
        <v>3.6</v>
      </c>
      <c r="T847" s="100">
        <v>4</v>
      </c>
      <c r="U847" s="100">
        <v>3.4</v>
      </c>
    </row>
    <row r="848" spans="4:21">
      <c r="D848" s="97" t="s">
        <v>712</v>
      </c>
      <c r="E848" s="97" t="s">
        <v>710</v>
      </c>
      <c r="F848" s="94" t="s">
        <v>713</v>
      </c>
      <c r="G848" s="97">
        <v>9</v>
      </c>
      <c r="H848" s="98" t="s">
        <v>748</v>
      </c>
      <c r="I848" s="99" t="str">
        <f t="shared" si="13"/>
        <v>서귀포|9</v>
      </c>
      <c r="J848" s="100">
        <v>4.4000000000000004</v>
      </c>
      <c r="K848" s="100">
        <v>4.4000000000000004</v>
      </c>
      <c r="L848" s="100">
        <v>6.1</v>
      </c>
      <c r="M848" s="100">
        <v>6.6</v>
      </c>
      <c r="N848" s="100">
        <v>7.5</v>
      </c>
      <c r="O848" s="100">
        <v>7.3</v>
      </c>
      <c r="P848" s="100">
        <v>7.9</v>
      </c>
      <c r="Q848" s="100">
        <v>7.2</v>
      </c>
      <c r="R848" s="100">
        <v>9</v>
      </c>
      <c r="S848" s="100">
        <v>4</v>
      </c>
      <c r="T848" s="100">
        <v>4.4000000000000004</v>
      </c>
      <c r="U848" s="100">
        <v>3.5</v>
      </c>
    </row>
    <row r="849" spans="4:21">
      <c r="D849" s="97" t="s">
        <v>714</v>
      </c>
      <c r="E849" s="97" t="s">
        <v>710</v>
      </c>
      <c r="F849" s="94" t="s">
        <v>715</v>
      </c>
      <c r="G849" s="97">
        <v>9</v>
      </c>
      <c r="H849" s="98" t="s">
        <v>748</v>
      </c>
      <c r="I849" s="99" t="str">
        <f t="shared" si="13"/>
        <v>성산|9</v>
      </c>
      <c r="J849" s="100">
        <v>5.6</v>
      </c>
      <c r="K849" s="100">
        <v>6.2</v>
      </c>
      <c r="L849" s="100">
        <v>6.2</v>
      </c>
      <c r="M849" s="100">
        <v>6.8</v>
      </c>
      <c r="N849" s="100">
        <v>6.2</v>
      </c>
      <c r="O849" s="100">
        <v>6.8</v>
      </c>
      <c r="P849" s="100">
        <v>8.5</v>
      </c>
      <c r="Q849" s="100">
        <v>7.7</v>
      </c>
      <c r="R849" s="100">
        <v>8.5</v>
      </c>
      <c r="S849" s="100">
        <v>4.7</v>
      </c>
      <c r="T849" s="100">
        <v>5.4</v>
      </c>
      <c r="U849" s="100">
        <v>4.5</v>
      </c>
    </row>
    <row r="850" spans="4:21">
      <c r="D850" s="97" t="s">
        <v>716</v>
      </c>
      <c r="E850" s="97" t="s">
        <v>710</v>
      </c>
      <c r="F850" s="94" t="s">
        <v>717</v>
      </c>
      <c r="G850" s="97">
        <v>9</v>
      </c>
      <c r="H850" s="98" t="s">
        <v>748</v>
      </c>
      <c r="I850" s="99" t="str">
        <f t="shared" si="13"/>
        <v>제주|9</v>
      </c>
      <c r="J850" s="100">
        <v>5.2</v>
      </c>
      <c r="K850" s="100">
        <v>4.7</v>
      </c>
      <c r="L850" s="100">
        <v>5.9</v>
      </c>
      <c r="M850" s="100">
        <v>6</v>
      </c>
      <c r="N850" s="100">
        <v>5.3</v>
      </c>
      <c r="O850" s="100">
        <v>6.2</v>
      </c>
      <c r="P850" s="100">
        <v>6.2</v>
      </c>
      <c r="Q850" s="100">
        <v>6</v>
      </c>
      <c r="R850" s="100">
        <v>8.1</v>
      </c>
      <c r="S850" s="100">
        <v>4.5999999999999996</v>
      </c>
      <c r="T850" s="100">
        <v>5.2</v>
      </c>
      <c r="U850" s="100">
        <v>4.2</v>
      </c>
    </row>
    <row r="851" spans="4:21">
      <c r="D851" s="97" t="s">
        <v>718</v>
      </c>
      <c r="E851" s="97" t="s">
        <v>719</v>
      </c>
      <c r="F851" s="94" t="s">
        <v>720</v>
      </c>
      <c r="G851" s="97">
        <v>9</v>
      </c>
      <c r="H851" s="98" t="s">
        <v>748</v>
      </c>
      <c r="I851" s="99" t="str">
        <f t="shared" si="13"/>
        <v>금산|9</v>
      </c>
      <c r="J851" s="100">
        <v>2.6</v>
      </c>
      <c r="K851" s="100">
        <v>3</v>
      </c>
      <c r="L851" s="100">
        <v>4.0999999999999996</v>
      </c>
      <c r="M851" s="100">
        <v>5.5</v>
      </c>
      <c r="N851" s="100">
        <v>5.3</v>
      </c>
      <c r="O851" s="100">
        <v>5.9</v>
      </c>
      <c r="P851" s="100">
        <v>11.3</v>
      </c>
      <c r="Q851" s="100">
        <v>8.3000000000000007</v>
      </c>
      <c r="R851" s="100">
        <v>4.9000000000000004</v>
      </c>
      <c r="S851" s="100">
        <v>3.8</v>
      </c>
      <c r="T851" s="100">
        <v>4.0999999999999996</v>
      </c>
      <c r="U851" s="100">
        <v>2.8</v>
      </c>
    </row>
    <row r="852" spans="4:21">
      <c r="D852" s="97" t="s">
        <v>721</v>
      </c>
      <c r="E852" s="97" t="s">
        <v>719</v>
      </c>
      <c r="F852" s="94" t="s">
        <v>722</v>
      </c>
      <c r="G852" s="97">
        <v>9</v>
      </c>
      <c r="H852" s="98" t="s">
        <v>748</v>
      </c>
      <c r="I852" s="99" t="str">
        <f t="shared" si="13"/>
        <v>보령|9</v>
      </c>
      <c r="J852" s="100">
        <v>1.8</v>
      </c>
      <c r="K852" s="100">
        <v>2.9</v>
      </c>
      <c r="L852" s="100">
        <v>2.9</v>
      </c>
      <c r="M852" s="100">
        <v>4.9000000000000004</v>
      </c>
      <c r="N852" s="100">
        <v>5.2</v>
      </c>
      <c r="O852" s="100">
        <v>4.2</v>
      </c>
      <c r="P852" s="100">
        <v>8.6999999999999993</v>
      </c>
      <c r="Q852" s="100">
        <v>6.9</v>
      </c>
      <c r="R852" s="100">
        <v>4.7</v>
      </c>
      <c r="S852" s="100">
        <v>3.8</v>
      </c>
      <c r="T852" s="100">
        <v>3.9</v>
      </c>
      <c r="U852" s="100">
        <v>3.3</v>
      </c>
    </row>
    <row r="853" spans="4:21">
      <c r="D853" s="97" t="s">
        <v>723</v>
      </c>
      <c r="E853" s="97" t="s">
        <v>719</v>
      </c>
      <c r="F853" s="94" t="s">
        <v>724</v>
      </c>
      <c r="G853" s="97">
        <v>9</v>
      </c>
      <c r="H853" s="98" t="s">
        <v>748</v>
      </c>
      <c r="I853" s="99" t="str">
        <f t="shared" si="13"/>
        <v>부여|9</v>
      </c>
      <c r="J853" s="100">
        <v>2.2999999999999998</v>
      </c>
      <c r="K853" s="100">
        <v>2.5</v>
      </c>
      <c r="L853" s="100">
        <v>3.2</v>
      </c>
      <c r="M853" s="100">
        <v>4.9000000000000004</v>
      </c>
      <c r="N853" s="100">
        <v>5</v>
      </c>
      <c r="O853" s="100">
        <v>4.8</v>
      </c>
      <c r="P853" s="100">
        <v>10.6</v>
      </c>
      <c r="Q853" s="100">
        <v>8.1</v>
      </c>
      <c r="R853" s="100">
        <v>5</v>
      </c>
      <c r="S853" s="100">
        <v>3.4</v>
      </c>
      <c r="T853" s="100">
        <v>4</v>
      </c>
      <c r="U853" s="100">
        <v>2.8</v>
      </c>
    </row>
    <row r="854" spans="4:21">
      <c r="D854" s="97" t="s">
        <v>91</v>
      </c>
      <c r="E854" s="97" t="s">
        <v>719</v>
      </c>
      <c r="F854" s="94" t="s">
        <v>725</v>
      </c>
      <c r="G854" s="97">
        <v>9</v>
      </c>
      <c r="H854" s="98" t="s">
        <v>748</v>
      </c>
      <c r="I854" s="99" t="str">
        <f t="shared" si="13"/>
        <v>서산|9</v>
      </c>
      <c r="J854" s="100">
        <v>2.2999999999999998</v>
      </c>
      <c r="K854" s="100">
        <v>2.7</v>
      </c>
      <c r="L854" s="100">
        <v>2.6</v>
      </c>
      <c r="M854" s="100">
        <v>4.0999999999999996</v>
      </c>
      <c r="N854" s="100">
        <v>4.9000000000000004</v>
      </c>
      <c r="O854" s="100">
        <v>4.3</v>
      </c>
      <c r="P854" s="100">
        <v>8.3000000000000007</v>
      </c>
      <c r="Q854" s="100">
        <v>8.4</v>
      </c>
      <c r="R854" s="100">
        <v>5</v>
      </c>
      <c r="S854" s="100">
        <v>4</v>
      </c>
      <c r="T854" s="100">
        <v>5.4</v>
      </c>
      <c r="U854" s="100">
        <v>3.6</v>
      </c>
    </row>
    <row r="855" spans="4:21">
      <c r="D855" s="97" t="s">
        <v>726</v>
      </c>
      <c r="E855" s="97" t="s">
        <v>719</v>
      </c>
      <c r="F855" s="94" t="s">
        <v>727</v>
      </c>
      <c r="G855" s="97">
        <v>9</v>
      </c>
      <c r="H855" s="98" t="s">
        <v>748</v>
      </c>
      <c r="I855" s="99" t="str">
        <f t="shared" si="13"/>
        <v>천안|9</v>
      </c>
      <c r="J855" s="100">
        <v>1.9</v>
      </c>
      <c r="K855" s="100">
        <v>2.4</v>
      </c>
      <c r="L855" s="100">
        <v>3</v>
      </c>
      <c r="M855" s="100">
        <v>4.4000000000000004</v>
      </c>
      <c r="N855" s="100">
        <v>5.0999999999999996</v>
      </c>
      <c r="O855" s="100">
        <v>3.6</v>
      </c>
      <c r="P855" s="100">
        <v>9.4</v>
      </c>
      <c r="Q855" s="100">
        <v>8.9</v>
      </c>
      <c r="R855" s="100">
        <v>5.5</v>
      </c>
      <c r="S855" s="100">
        <v>4.0999999999999996</v>
      </c>
      <c r="T855" s="100">
        <v>4.4000000000000004</v>
      </c>
      <c r="U855" s="100">
        <v>2.2000000000000002</v>
      </c>
    </row>
    <row r="856" spans="4:21">
      <c r="D856" s="97" t="s">
        <v>728</v>
      </c>
      <c r="E856" s="97" t="s">
        <v>719</v>
      </c>
      <c r="F856" s="94" t="s">
        <v>729</v>
      </c>
      <c r="G856" s="97">
        <v>9</v>
      </c>
      <c r="H856" s="98" t="s">
        <v>748</v>
      </c>
      <c r="I856" s="99" t="str">
        <f t="shared" si="13"/>
        <v>홍성|9</v>
      </c>
      <c r="J856" s="100">
        <v>1.3</v>
      </c>
      <c r="K856" s="100">
        <v>2.8</v>
      </c>
      <c r="L856" s="100">
        <v>2.9</v>
      </c>
      <c r="M856" s="100">
        <v>3.6</v>
      </c>
      <c r="N856" s="100">
        <v>5.0999999999999996</v>
      </c>
      <c r="O856" s="100">
        <v>4</v>
      </c>
      <c r="P856" s="100">
        <v>9</v>
      </c>
      <c r="Q856" s="100">
        <v>8.8000000000000007</v>
      </c>
      <c r="R856" s="100">
        <v>5.2</v>
      </c>
      <c r="S856" s="100">
        <v>3.9</v>
      </c>
      <c r="T856" s="100">
        <v>4.8</v>
      </c>
      <c r="U856" s="100">
        <v>3.8</v>
      </c>
    </row>
    <row r="857" spans="4:21">
      <c r="D857" s="97" t="s">
        <v>730</v>
      </c>
      <c r="E857" s="97" t="s">
        <v>731</v>
      </c>
      <c r="F857" s="94" t="s">
        <v>732</v>
      </c>
      <c r="G857" s="97">
        <v>9</v>
      </c>
      <c r="H857" s="98" t="s">
        <v>748</v>
      </c>
      <c r="I857" s="99" t="str">
        <f t="shared" si="13"/>
        <v>보은|9</v>
      </c>
      <c r="J857" s="100">
        <v>2.1</v>
      </c>
      <c r="K857" s="100">
        <v>2.7</v>
      </c>
      <c r="L857" s="100">
        <v>3.9</v>
      </c>
      <c r="M857" s="100">
        <v>5.7</v>
      </c>
      <c r="N857" s="100">
        <v>5.4</v>
      </c>
      <c r="O857" s="100">
        <v>5.0999999999999996</v>
      </c>
      <c r="P857" s="100">
        <v>11.4</v>
      </c>
      <c r="Q857" s="100">
        <v>9.1999999999999993</v>
      </c>
      <c r="R857" s="100">
        <v>5</v>
      </c>
      <c r="S857" s="100">
        <v>3.6</v>
      </c>
      <c r="T857" s="100">
        <v>4</v>
      </c>
      <c r="U857" s="100">
        <v>2.4</v>
      </c>
    </row>
    <row r="858" spans="4:21">
      <c r="D858" s="97" t="s">
        <v>733</v>
      </c>
      <c r="E858" s="97" t="s">
        <v>731</v>
      </c>
      <c r="F858" s="94" t="s">
        <v>734</v>
      </c>
      <c r="G858" s="97">
        <v>9</v>
      </c>
      <c r="H858" s="98" t="s">
        <v>748</v>
      </c>
      <c r="I858" s="99" t="str">
        <f t="shared" si="13"/>
        <v>제천|9</v>
      </c>
      <c r="J858" s="100">
        <v>1.7</v>
      </c>
      <c r="K858" s="100">
        <v>2.7</v>
      </c>
      <c r="L858" s="100">
        <v>3.7</v>
      </c>
      <c r="M858" s="100">
        <v>5.5</v>
      </c>
      <c r="N858" s="100">
        <v>5.5</v>
      </c>
      <c r="O858" s="100">
        <v>6.2</v>
      </c>
      <c r="P858" s="100">
        <v>10.7</v>
      </c>
      <c r="Q858" s="100">
        <v>8.6999999999999993</v>
      </c>
      <c r="R858" s="100">
        <v>5.7</v>
      </c>
      <c r="S858" s="100">
        <v>3.6</v>
      </c>
      <c r="T858" s="100">
        <v>3.9</v>
      </c>
      <c r="U858" s="100">
        <v>2.5</v>
      </c>
    </row>
    <row r="859" spans="4:21">
      <c r="D859" s="97" t="s">
        <v>735</v>
      </c>
      <c r="E859" s="97" t="s">
        <v>731</v>
      </c>
      <c r="F859" s="94" t="s">
        <v>736</v>
      </c>
      <c r="G859" s="97">
        <v>9</v>
      </c>
      <c r="H859" s="98" t="s">
        <v>748</v>
      </c>
      <c r="I859" s="99" t="str">
        <f t="shared" si="13"/>
        <v>청주|9</v>
      </c>
      <c r="J859" s="100">
        <v>1.7</v>
      </c>
      <c r="K859" s="100">
        <v>2.2999999999999998</v>
      </c>
      <c r="L859" s="100">
        <v>3.3</v>
      </c>
      <c r="M859" s="100">
        <v>4.9000000000000004</v>
      </c>
      <c r="N859" s="100">
        <v>4.5999999999999996</v>
      </c>
      <c r="O859" s="100">
        <v>4.2</v>
      </c>
      <c r="P859" s="100">
        <v>10.9</v>
      </c>
      <c r="Q859" s="100">
        <v>8.4</v>
      </c>
      <c r="R859" s="100">
        <v>5</v>
      </c>
      <c r="S859" s="100">
        <v>3.9</v>
      </c>
      <c r="T859" s="100">
        <v>4.2</v>
      </c>
      <c r="U859" s="100">
        <v>2</v>
      </c>
    </row>
    <row r="860" spans="4:21">
      <c r="D860" s="97" t="s">
        <v>737</v>
      </c>
      <c r="E860" s="97" t="s">
        <v>731</v>
      </c>
      <c r="F860" s="94" t="s">
        <v>738</v>
      </c>
      <c r="G860" s="97">
        <v>9</v>
      </c>
      <c r="H860" s="98" t="s">
        <v>748</v>
      </c>
      <c r="I860" s="99" t="str">
        <f t="shared" si="13"/>
        <v>추풍령|9</v>
      </c>
      <c r="J860" s="100">
        <v>2.6</v>
      </c>
      <c r="K860" s="100">
        <v>2.4</v>
      </c>
      <c r="L860" s="100">
        <v>3.7</v>
      </c>
      <c r="M860" s="100">
        <v>5.7</v>
      </c>
      <c r="N860" s="100">
        <v>5.0999999999999996</v>
      </c>
      <c r="O860" s="100">
        <v>5</v>
      </c>
      <c r="P860" s="100">
        <v>9.9</v>
      </c>
      <c r="Q860" s="100">
        <v>7.8</v>
      </c>
      <c r="R860" s="100">
        <v>5.6</v>
      </c>
      <c r="S860" s="100">
        <v>3.9</v>
      </c>
      <c r="T860" s="100">
        <v>3.9</v>
      </c>
      <c r="U860" s="100">
        <v>2.2999999999999998</v>
      </c>
    </row>
    <row r="861" spans="4:21">
      <c r="D861" s="97" t="s">
        <v>739</v>
      </c>
      <c r="E861" s="97" t="s">
        <v>731</v>
      </c>
      <c r="F861" s="94" t="s">
        <v>740</v>
      </c>
      <c r="G861" s="97">
        <v>9</v>
      </c>
      <c r="H861" s="98" t="s">
        <v>748</v>
      </c>
      <c r="I861" s="99" t="str">
        <f t="shared" si="13"/>
        <v>충주|9</v>
      </c>
      <c r="J861" s="100">
        <v>1.7</v>
      </c>
      <c r="K861" s="100">
        <v>2.5</v>
      </c>
      <c r="L861" s="100">
        <v>3.2</v>
      </c>
      <c r="M861" s="100">
        <v>5.3</v>
      </c>
      <c r="N861" s="100">
        <v>5.4</v>
      </c>
      <c r="O861" s="100">
        <v>4.3</v>
      </c>
      <c r="P861" s="100">
        <v>11.2</v>
      </c>
      <c r="Q861" s="100">
        <v>9.3000000000000007</v>
      </c>
      <c r="R861" s="100">
        <v>5.6</v>
      </c>
      <c r="S861" s="100">
        <v>3.7</v>
      </c>
      <c r="T861" s="100">
        <v>3.7</v>
      </c>
      <c r="U861" s="100">
        <v>2.2000000000000002</v>
      </c>
    </row>
    <row r="862" spans="4:21">
      <c r="D862" s="97" t="s">
        <v>535</v>
      </c>
      <c r="E862" s="97" t="s">
        <v>536</v>
      </c>
      <c r="F862" s="94" t="s">
        <v>537</v>
      </c>
      <c r="G862" s="97">
        <v>10</v>
      </c>
      <c r="H862" s="98" t="s">
        <v>749</v>
      </c>
      <c r="I862" s="99" t="str">
        <f t="shared" si="13"/>
        <v>강릉|10</v>
      </c>
      <c r="J862" s="100">
        <v>1.8</v>
      </c>
      <c r="K862" s="100">
        <v>1.9</v>
      </c>
      <c r="L862" s="100">
        <v>3.7</v>
      </c>
      <c r="M862" s="100">
        <v>3.9</v>
      </c>
      <c r="N862" s="100">
        <v>2.8</v>
      </c>
      <c r="O862" s="100">
        <v>3.8</v>
      </c>
      <c r="P862" s="100">
        <v>7.4</v>
      </c>
      <c r="Q862" s="100">
        <v>7.6</v>
      </c>
      <c r="R862" s="100">
        <v>6.7</v>
      </c>
      <c r="S862" s="100">
        <v>4.3</v>
      </c>
      <c r="T862" s="100">
        <v>3.1</v>
      </c>
      <c r="U862" s="100">
        <v>2</v>
      </c>
    </row>
    <row r="863" spans="4:21">
      <c r="D863" s="97" t="s">
        <v>539</v>
      </c>
      <c r="E863" s="97" t="s">
        <v>536</v>
      </c>
      <c r="F863" s="94" t="s">
        <v>540</v>
      </c>
      <c r="G863" s="97">
        <v>10</v>
      </c>
      <c r="H863" s="98" t="s">
        <v>749</v>
      </c>
      <c r="I863" s="99" t="str">
        <f t="shared" si="13"/>
        <v>대관령|10</v>
      </c>
      <c r="J863" s="100">
        <v>1.1000000000000001</v>
      </c>
      <c r="K863" s="100">
        <v>1.5</v>
      </c>
      <c r="L863" s="100">
        <v>3.1</v>
      </c>
      <c r="M863" s="100">
        <v>4.9000000000000004</v>
      </c>
      <c r="N863" s="100">
        <v>3.3</v>
      </c>
      <c r="O863" s="100">
        <v>5.2</v>
      </c>
      <c r="P863" s="100">
        <v>8.9</v>
      </c>
      <c r="Q863" s="100">
        <v>8.6</v>
      </c>
      <c r="R863" s="100">
        <v>6.7</v>
      </c>
      <c r="S863" s="100">
        <v>3.3</v>
      </c>
      <c r="T863" s="100">
        <v>3.1</v>
      </c>
      <c r="U863" s="100">
        <v>1.2</v>
      </c>
    </row>
    <row r="864" spans="4:21">
      <c r="D864" s="97" t="s">
        <v>541</v>
      </c>
      <c r="E864" s="97" t="s">
        <v>536</v>
      </c>
      <c r="F864" s="94" t="s">
        <v>542</v>
      </c>
      <c r="G864" s="97">
        <v>10</v>
      </c>
      <c r="H864" s="98" t="s">
        <v>749</v>
      </c>
      <c r="I864" s="99" t="str">
        <f t="shared" si="13"/>
        <v>동해|10</v>
      </c>
      <c r="J864" s="100">
        <v>1.5</v>
      </c>
      <c r="K864" s="100">
        <v>2.2999999999999998</v>
      </c>
      <c r="L864" s="100">
        <v>3.4</v>
      </c>
      <c r="M864" s="100">
        <v>3.3</v>
      </c>
      <c r="N864" s="100">
        <v>2.1</v>
      </c>
      <c r="O864" s="100">
        <v>3</v>
      </c>
      <c r="P864" s="100">
        <v>6.1</v>
      </c>
      <c r="Q864" s="100">
        <v>6.9</v>
      </c>
      <c r="R864" s="100">
        <v>6</v>
      </c>
      <c r="S864" s="100">
        <v>4.7</v>
      </c>
      <c r="T864" s="100">
        <v>2.7</v>
      </c>
      <c r="U864" s="100">
        <v>1.5</v>
      </c>
    </row>
    <row r="865" spans="4:21">
      <c r="D865" s="97" t="s">
        <v>543</v>
      </c>
      <c r="E865" s="97" t="s">
        <v>536</v>
      </c>
      <c r="F865" s="94" t="s">
        <v>544</v>
      </c>
      <c r="G865" s="97">
        <v>10</v>
      </c>
      <c r="H865" s="98" t="s">
        <v>749</v>
      </c>
      <c r="I865" s="99" t="str">
        <f t="shared" si="13"/>
        <v>북강릉|10</v>
      </c>
      <c r="J865" s="100">
        <v>1.9</v>
      </c>
      <c r="K865" s="100">
        <v>2.1</v>
      </c>
      <c r="L865" s="100">
        <v>3.5</v>
      </c>
      <c r="M865" s="100">
        <v>3.9</v>
      </c>
      <c r="N865" s="100">
        <v>3</v>
      </c>
      <c r="O865" s="100">
        <v>3.8</v>
      </c>
      <c r="P865" s="100">
        <v>7.6</v>
      </c>
      <c r="Q865" s="100">
        <v>7.8</v>
      </c>
      <c r="R865" s="100">
        <v>6.5</v>
      </c>
      <c r="S865" s="100">
        <v>4.2</v>
      </c>
      <c r="T865" s="100">
        <v>2.9</v>
      </c>
      <c r="U865" s="100">
        <v>1.8</v>
      </c>
    </row>
    <row r="866" spans="4:21">
      <c r="D866" s="97" t="s">
        <v>545</v>
      </c>
      <c r="E866" s="97" t="s">
        <v>536</v>
      </c>
      <c r="F866" s="94" t="s">
        <v>546</v>
      </c>
      <c r="G866" s="97">
        <v>10</v>
      </c>
      <c r="H866" s="98" t="s">
        <v>749</v>
      </c>
      <c r="I866" s="99" t="str">
        <f t="shared" si="13"/>
        <v>북춘천|10</v>
      </c>
      <c r="J866" s="100">
        <v>0.8</v>
      </c>
      <c r="K866" s="100">
        <v>1</v>
      </c>
      <c r="L866" s="100">
        <v>2.2999999999999998</v>
      </c>
      <c r="M866" s="100">
        <v>3.6</v>
      </c>
      <c r="N866" s="100">
        <v>4.4000000000000004</v>
      </c>
      <c r="O866" s="100">
        <v>4.9000000000000004</v>
      </c>
      <c r="P866" s="100">
        <v>9.3000000000000007</v>
      </c>
      <c r="Q866" s="100">
        <v>7.8</v>
      </c>
      <c r="R866" s="100">
        <v>5.0999999999999996</v>
      </c>
      <c r="S866" s="100">
        <v>3</v>
      </c>
      <c r="T866" s="100">
        <v>2.2999999999999998</v>
      </c>
      <c r="U866" s="100">
        <v>1.3</v>
      </c>
    </row>
    <row r="867" spans="4:21">
      <c r="D867" s="97" t="s">
        <v>547</v>
      </c>
      <c r="E867" s="97" t="s">
        <v>536</v>
      </c>
      <c r="F867" s="94" t="s">
        <v>548</v>
      </c>
      <c r="G867" s="97">
        <v>10</v>
      </c>
      <c r="H867" s="98" t="s">
        <v>749</v>
      </c>
      <c r="I867" s="99" t="str">
        <f t="shared" si="13"/>
        <v>속초|10</v>
      </c>
      <c r="J867" s="100">
        <v>1.7</v>
      </c>
      <c r="K867" s="100">
        <v>2.1</v>
      </c>
      <c r="L867" s="100">
        <v>3.1</v>
      </c>
      <c r="M867" s="100">
        <v>4</v>
      </c>
      <c r="N867" s="100">
        <v>2.9</v>
      </c>
      <c r="O867" s="100">
        <v>4.5999999999999996</v>
      </c>
      <c r="P867" s="100">
        <v>7.2</v>
      </c>
      <c r="Q867" s="100">
        <v>8.6999999999999993</v>
      </c>
      <c r="R867" s="100">
        <v>5.6</v>
      </c>
      <c r="S867" s="100">
        <v>4.5999999999999996</v>
      </c>
      <c r="T867" s="100">
        <v>4</v>
      </c>
      <c r="U867" s="100">
        <v>1.7</v>
      </c>
    </row>
    <row r="868" spans="4:21">
      <c r="D868" s="97" t="s">
        <v>549</v>
      </c>
      <c r="E868" s="97" t="s">
        <v>536</v>
      </c>
      <c r="F868" s="94" t="s">
        <v>550</v>
      </c>
      <c r="G868" s="97">
        <v>10</v>
      </c>
      <c r="H868" s="98" t="s">
        <v>749</v>
      </c>
      <c r="I868" s="99" t="str">
        <f t="shared" si="13"/>
        <v>영월|10</v>
      </c>
      <c r="J868" s="100">
        <v>0.6</v>
      </c>
      <c r="K868" s="100">
        <v>1.9</v>
      </c>
      <c r="L868" s="100">
        <v>2.7</v>
      </c>
      <c r="M868" s="100">
        <v>3.9</v>
      </c>
      <c r="N868" s="100">
        <v>4.0999999999999996</v>
      </c>
      <c r="O868" s="100">
        <v>4.4000000000000004</v>
      </c>
      <c r="P868" s="100">
        <v>8.6999999999999993</v>
      </c>
      <c r="Q868" s="100">
        <v>7.8</v>
      </c>
      <c r="R868" s="100">
        <v>3.9</v>
      </c>
      <c r="S868" s="100">
        <v>2.9</v>
      </c>
      <c r="T868" s="100">
        <v>2.7</v>
      </c>
      <c r="U868" s="100">
        <v>1.5</v>
      </c>
    </row>
    <row r="869" spans="4:21">
      <c r="D869" s="97" t="s">
        <v>551</v>
      </c>
      <c r="E869" s="97" t="s">
        <v>536</v>
      </c>
      <c r="F869" s="94" t="s">
        <v>552</v>
      </c>
      <c r="G869" s="97">
        <v>10</v>
      </c>
      <c r="H869" s="98" t="s">
        <v>749</v>
      </c>
      <c r="I869" s="99" t="str">
        <f t="shared" si="13"/>
        <v>원주|10</v>
      </c>
      <c r="J869" s="100">
        <v>0.6</v>
      </c>
      <c r="K869" s="100">
        <v>1.8</v>
      </c>
      <c r="L869" s="100">
        <v>2.5</v>
      </c>
      <c r="M869" s="100">
        <v>4.4000000000000004</v>
      </c>
      <c r="N869" s="100">
        <v>4.5999999999999996</v>
      </c>
      <c r="O869" s="100">
        <v>4.7</v>
      </c>
      <c r="P869" s="100">
        <v>9.1</v>
      </c>
      <c r="Q869" s="100">
        <v>8.3000000000000007</v>
      </c>
      <c r="R869" s="100">
        <v>4.7</v>
      </c>
      <c r="S869" s="100">
        <v>3.2</v>
      </c>
      <c r="T869" s="100">
        <v>3</v>
      </c>
      <c r="U869" s="100">
        <v>1.3</v>
      </c>
    </row>
    <row r="870" spans="4:21">
      <c r="D870" s="97" t="s">
        <v>553</v>
      </c>
      <c r="E870" s="97" t="s">
        <v>536</v>
      </c>
      <c r="F870" s="94" t="s">
        <v>554</v>
      </c>
      <c r="G870" s="97">
        <v>10</v>
      </c>
      <c r="H870" s="98" t="s">
        <v>749</v>
      </c>
      <c r="I870" s="99" t="str">
        <f t="shared" si="13"/>
        <v>인제|10</v>
      </c>
      <c r="J870" s="100">
        <v>0.5</v>
      </c>
      <c r="K870" s="100">
        <v>1.4</v>
      </c>
      <c r="L870" s="100">
        <v>2</v>
      </c>
      <c r="M870" s="100">
        <v>4.3</v>
      </c>
      <c r="N870" s="100">
        <v>4.3</v>
      </c>
      <c r="O870" s="100">
        <v>4.9000000000000004</v>
      </c>
      <c r="P870" s="100">
        <v>9.3000000000000007</v>
      </c>
      <c r="Q870" s="100">
        <v>8.5</v>
      </c>
      <c r="R870" s="100">
        <v>4.5</v>
      </c>
      <c r="S870" s="100">
        <v>2.5</v>
      </c>
      <c r="T870" s="100">
        <v>3.1</v>
      </c>
      <c r="U870" s="100">
        <v>1.3</v>
      </c>
    </row>
    <row r="871" spans="4:21">
      <c r="D871" s="97" t="s">
        <v>555</v>
      </c>
      <c r="E871" s="97" t="s">
        <v>536</v>
      </c>
      <c r="F871" s="94" t="s">
        <v>556</v>
      </c>
      <c r="G871" s="97">
        <v>10</v>
      </c>
      <c r="H871" s="98" t="s">
        <v>749</v>
      </c>
      <c r="I871" s="99" t="str">
        <f t="shared" si="13"/>
        <v>정선군|10</v>
      </c>
      <c r="J871" s="100">
        <v>0.8</v>
      </c>
      <c r="K871" s="100">
        <v>1.9</v>
      </c>
      <c r="L871" s="100">
        <v>3.1</v>
      </c>
      <c r="M871" s="100">
        <v>4.5</v>
      </c>
      <c r="N871" s="100">
        <v>4.0999999999999996</v>
      </c>
      <c r="O871" s="100">
        <v>4.8</v>
      </c>
      <c r="P871" s="100">
        <v>9.4</v>
      </c>
      <c r="Q871" s="100">
        <v>8.5</v>
      </c>
      <c r="R871" s="100">
        <v>4.8</v>
      </c>
      <c r="S871" s="100">
        <v>3.1</v>
      </c>
      <c r="T871" s="100">
        <v>2.8</v>
      </c>
      <c r="U871" s="100">
        <v>1.5</v>
      </c>
    </row>
    <row r="872" spans="4:21">
      <c r="D872" s="97" t="s">
        <v>557</v>
      </c>
      <c r="E872" s="97" t="s">
        <v>536</v>
      </c>
      <c r="F872" s="94" t="s">
        <v>558</v>
      </c>
      <c r="G872" s="97">
        <v>10</v>
      </c>
      <c r="H872" s="98" t="s">
        <v>749</v>
      </c>
      <c r="I872" s="99" t="str">
        <f t="shared" si="13"/>
        <v>철원|10</v>
      </c>
      <c r="J872" s="100">
        <v>0.6</v>
      </c>
      <c r="K872" s="100">
        <v>1.3</v>
      </c>
      <c r="L872" s="100">
        <v>2</v>
      </c>
      <c r="M872" s="100">
        <v>3.5</v>
      </c>
      <c r="N872" s="100">
        <v>4.9000000000000004</v>
      </c>
      <c r="O872" s="100">
        <v>4.7</v>
      </c>
      <c r="P872" s="100">
        <v>9.1</v>
      </c>
      <c r="Q872" s="100">
        <v>7.6</v>
      </c>
      <c r="R872" s="100">
        <v>4.0999999999999996</v>
      </c>
      <c r="S872" s="100">
        <v>2.9</v>
      </c>
      <c r="T872" s="100">
        <v>3.1</v>
      </c>
      <c r="U872" s="100">
        <v>1</v>
      </c>
    </row>
    <row r="873" spans="4:21">
      <c r="D873" s="97" t="s">
        <v>559</v>
      </c>
      <c r="E873" s="97" t="s">
        <v>536</v>
      </c>
      <c r="F873" s="94" t="s">
        <v>560</v>
      </c>
      <c r="G873" s="97">
        <v>10</v>
      </c>
      <c r="H873" s="98" t="s">
        <v>749</v>
      </c>
      <c r="I873" s="99" t="str">
        <f t="shared" si="13"/>
        <v>춘천|10</v>
      </c>
      <c r="J873" s="100">
        <v>0.8</v>
      </c>
      <c r="K873" s="100">
        <v>1.5</v>
      </c>
      <c r="L873" s="100">
        <v>2</v>
      </c>
      <c r="M873" s="100">
        <v>4.2</v>
      </c>
      <c r="N873" s="100">
        <v>4.5</v>
      </c>
      <c r="O873" s="100">
        <v>4.9000000000000004</v>
      </c>
      <c r="P873" s="100">
        <v>9.5</v>
      </c>
      <c r="Q873" s="100">
        <v>7.4</v>
      </c>
      <c r="R873" s="100">
        <v>4.0999999999999996</v>
      </c>
      <c r="S873" s="100">
        <v>2.6</v>
      </c>
      <c r="T873" s="100">
        <v>3</v>
      </c>
      <c r="U873" s="100">
        <v>1.3</v>
      </c>
    </row>
    <row r="874" spans="4:21">
      <c r="D874" s="97" t="s">
        <v>561</v>
      </c>
      <c r="E874" s="97" t="s">
        <v>536</v>
      </c>
      <c r="F874" s="94" t="s">
        <v>562</v>
      </c>
      <c r="G874" s="97">
        <v>10</v>
      </c>
      <c r="H874" s="98" t="s">
        <v>749</v>
      </c>
      <c r="I874" s="99" t="str">
        <f t="shared" si="13"/>
        <v>태백|10</v>
      </c>
      <c r="J874" s="100">
        <v>1</v>
      </c>
      <c r="K874" s="100">
        <v>1.3</v>
      </c>
      <c r="L874" s="100">
        <v>2.8</v>
      </c>
      <c r="M874" s="100">
        <v>4.5</v>
      </c>
      <c r="N874" s="100">
        <v>3.7</v>
      </c>
      <c r="O874" s="100">
        <v>4.5999999999999996</v>
      </c>
      <c r="P874" s="100">
        <v>9.1</v>
      </c>
      <c r="Q874" s="100">
        <v>9.1999999999999993</v>
      </c>
      <c r="R874" s="100">
        <v>6</v>
      </c>
      <c r="S874" s="100">
        <v>3.6</v>
      </c>
      <c r="T874" s="100">
        <v>2.8</v>
      </c>
      <c r="U874" s="100">
        <v>0.9</v>
      </c>
    </row>
    <row r="875" spans="4:21">
      <c r="D875" s="97" t="s">
        <v>563</v>
      </c>
      <c r="E875" s="97" t="s">
        <v>536</v>
      </c>
      <c r="F875" s="94" t="s">
        <v>564</v>
      </c>
      <c r="G875" s="97">
        <v>10</v>
      </c>
      <c r="H875" s="98" t="s">
        <v>749</v>
      </c>
      <c r="I875" s="99" t="str">
        <f t="shared" si="13"/>
        <v>홍천|10</v>
      </c>
      <c r="J875" s="100">
        <v>0.5</v>
      </c>
      <c r="K875" s="100">
        <v>1.2</v>
      </c>
      <c r="L875" s="100">
        <v>2.2000000000000002</v>
      </c>
      <c r="M875" s="100">
        <v>3.7</v>
      </c>
      <c r="N875" s="100">
        <v>4.3</v>
      </c>
      <c r="O875" s="100">
        <v>5.0999999999999996</v>
      </c>
      <c r="P875" s="100">
        <v>9.6999999999999993</v>
      </c>
      <c r="Q875" s="100">
        <v>7.8</v>
      </c>
      <c r="R875" s="100">
        <v>4.7</v>
      </c>
      <c r="S875" s="100">
        <v>3</v>
      </c>
      <c r="T875" s="100">
        <v>2.8</v>
      </c>
      <c r="U875" s="100">
        <v>1.1000000000000001</v>
      </c>
    </row>
    <row r="876" spans="4:21">
      <c r="D876" s="97" t="s">
        <v>565</v>
      </c>
      <c r="E876" s="97" t="s">
        <v>566</v>
      </c>
      <c r="F876" s="94" t="s">
        <v>567</v>
      </c>
      <c r="G876" s="97">
        <v>10</v>
      </c>
      <c r="H876" s="98" t="s">
        <v>749</v>
      </c>
      <c r="I876" s="99" t="str">
        <f t="shared" si="13"/>
        <v>동두천|10</v>
      </c>
      <c r="J876" s="100">
        <v>0.9</v>
      </c>
      <c r="K876" s="100">
        <v>1.5</v>
      </c>
      <c r="L876" s="100">
        <v>2.1</v>
      </c>
      <c r="M876" s="100">
        <v>3.3</v>
      </c>
      <c r="N876" s="100">
        <v>4.8</v>
      </c>
      <c r="O876" s="100">
        <v>4.7</v>
      </c>
      <c r="P876" s="100">
        <v>8.9</v>
      </c>
      <c r="Q876" s="100">
        <v>7.3</v>
      </c>
      <c r="R876" s="100">
        <v>3.5</v>
      </c>
      <c r="S876" s="100">
        <v>2.8</v>
      </c>
      <c r="T876" s="100">
        <v>3.2</v>
      </c>
      <c r="U876" s="100">
        <v>1.5</v>
      </c>
    </row>
    <row r="877" spans="4:21">
      <c r="D877" s="97" t="s">
        <v>568</v>
      </c>
      <c r="E877" s="97" t="s">
        <v>566</v>
      </c>
      <c r="F877" s="94" t="s">
        <v>569</v>
      </c>
      <c r="G877" s="97">
        <v>10</v>
      </c>
      <c r="H877" s="98" t="s">
        <v>749</v>
      </c>
      <c r="I877" s="99" t="str">
        <f t="shared" si="13"/>
        <v>수원|10</v>
      </c>
      <c r="J877" s="100">
        <v>0.8</v>
      </c>
      <c r="K877" s="100">
        <v>1.9</v>
      </c>
      <c r="L877" s="100">
        <v>2</v>
      </c>
      <c r="M877" s="100">
        <v>3.7</v>
      </c>
      <c r="N877" s="100">
        <v>4.5999999999999996</v>
      </c>
      <c r="O877" s="100">
        <v>3.3</v>
      </c>
      <c r="P877" s="100">
        <v>8.3000000000000007</v>
      </c>
      <c r="Q877" s="100">
        <v>6.9</v>
      </c>
      <c r="R877" s="100">
        <v>4.5</v>
      </c>
      <c r="S877" s="100">
        <v>3.4</v>
      </c>
      <c r="T877" s="100">
        <v>3.2</v>
      </c>
      <c r="U877" s="100">
        <v>1.5</v>
      </c>
    </row>
    <row r="878" spans="4:21">
      <c r="D878" s="97" t="s">
        <v>570</v>
      </c>
      <c r="E878" s="97" t="s">
        <v>566</v>
      </c>
      <c r="F878" s="94" t="s">
        <v>571</v>
      </c>
      <c r="G878" s="97">
        <v>10</v>
      </c>
      <c r="H878" s="98" t="s">
        <v>749</v>
      </c>
      <c r="I878" s="99" t="str">
        <f t="shared" si="13"/>
        <v>양평|10</v>
      </c>
      <c r="J878" s="100">
        <v>0.7</v>
      </c>
      <c r="K878" s="100">
        <v>1.5</v>
      </c>
      <c r="L878" s="100">
        <v>1.9</v>
      </c>
      <c r="M878" s="100">
        <v>4.3</v>
      </c>
      <c r="N878" s="100">
        <v>4.5999999999999996</v>
      </c>
      <c r="O878" s="100">
        <v>4.3</v>
      </c>
      <c r="P878" s="100">
        <v>9.1999999999999993</v>
      </c>
      <c r="Q878" s="100">
        <v>7.3</v>
      </c>
      <c r="R878" s="100">
        <v>4.4000000000000004</v>
      </c>
      <c r="S878" s="100">
        <v>3</v>
      </c>
      <c r="T878" s="100">
        <v>2.9</v>
      </c>
      <c r="U878" s="100">
        <v>1.5</v>
      </c>
    </row>
    <row r="879" spans="4:21">
      <c r="D879" s="97" t="s">
        <v>572</v>
      </c>
      <c r="E879" s="97" t="s">
        <v>566</v>
      </c>
      <c r="F879" s="94" t="s">
        <v>573</v>
      </c>
      <c r="G879" s="97">
        <v>10</v>
      </c>
      <c r="H879" s="98" t="s">
        <v>749</v>
      </c>
      <c r="I879" s="99" t="str">
        <f t="shared" si="13"/>
        <v>이천|10</v>
      </c>
      <c r="J879" s="100">
        <v>0.7</v>
      </c>
      <c r="K879" s="100">
        <v>1.8</v>
      </c>
      <c r="L879" s="100">
        <v>2.2000000000000002</v>
      </c>
      <c r="M879" s="100">
        <v>3.9</v>
      </c>
      <c r="N879" s="100">
        <v>4.7</v>
      </c>
      <c r="O879" s="100">
        <v>4.0999999999999996</v>
      </c>
      <c r="P879" s="100">
        <v>9.1</v>
      </c>
      <c r="Q879" s="100">
        <v>7.8</v>
      </c>
      <c r="R879" s="100">
        <v>4.5</v>
      </c>
      <c r="S879" s="100">
        <v>3.2</v>
      </c>
      <c r="T879" s="100">
        <v>2.9</v>
      </c>
      <c r="U879" s="100">
        <v>1.3</v>
      </c>
    </row>
    <row r="880" spans="4:21">
      <c r="D880" s="97" t="s">
        <v>574</v>
      </c>
      <c r="E880" s="97" t="s">
        <v>566</v>
      </c>
      <c r="F880" s="94" t="s">
        <v>575</v>
      </c>
      <c r="G880" s="97">
        <v>10</v>
      </c>
      <c r="H880" s="98" t="s">
        <v>749</v>
      </c>
      <c r="I880" s="99" t="str">
        <f t="shared" si="13"/>
        <v>파주|10</v>
      </c>
      <c r="J880" s="100">
        <v>0.7</v>
      </c>
      <c r="K880" s="100">
        <v>1.5</v>
      </c>
      <c r="L880" s="100">
        <v>1.7</v>
      </c>
      <c r="M880" s="100">
        <v>3.5</v>
      </c>
      <c r="N880" s="100">
        <v>4.5</v>
      </c>
      <c r="O880" s="100">
        <v>4.4000000000000004</v>
      </c>
      <c r="P880" s="100">
        <v>8.3000000000000007</v>
      </c>
      <c r="Q880" s="100">
        <v>6.2</v>
      </c>
      <c r="R880" s="100">
        <v>2.7</v>
      </c>
      <c r="S880" s="100">
        <v>2.7</v>
      </c>
      <c r="T880" s="100">
        <v>3</v>
      </c>
      <c r="U880" s="100">
        <v>1.4</v>
      </c>
    </row>
    <row r="881" spans="4:21">
      <c r="D881" s="97" t="s">
        <v>576</v>
      </c>
      <c r="E881" s="97" t="s">
        <v>577</v>
      </c>
      <c r="F881" s="94" t="s">
        <v>578</v>
      </c>
      <c r="G881" s="97">
        <v>10</v>
      </c>
      <c r="H881" s="98" t="s">
        <v>749</v>
      </c>
      <c r="I881" s="99" t="str">
        <f t="shared" si="13"/>
        <v>거제|10</v>
      </c>
      <c r="J881" s="100">
        <v>2.2999999999999998</v>
      </c>
      <c r="K881" s="100">
        <v>2.7</v>
      </c>
      <c r="L881" s="100">
        <v>4.7</v>
      </c>
      <c r="M881" s="100">
        <v>5.9</v>
      </c>
      <c r="N881" s="100">
        <v>5</v>
      </c>
      <c r="O881" s="100">
        <v>6.3</v>
      </c>
      <c r="P881" s="100">
        <v>8.4</v>
      </c>
      <c r="Q881" s="100">
        <v>6.2</v>
      </c>
      <c r="R881" s="100">
        <v>6.9</v>
      </c>
      <c r="S881" s="100">
        <v>2.7</v>
      </c>
      <c r="T881" s="100">
        <v>2.2999999999999998</v>
      </c>
      <c r="U881" s="100">
        <v>1.7</v>
      </c>
    </row>
    <row r="882" spans="4:21">
      <c r="D882" s="97" t="s">
        <v>579</v>
      </c>
      <c r="E882" s="97" t="s">
        <v>577</v>
      </c>
      <c r="F882" s="94" t="s">
        <v>580</v>
      </c>
      <c r="G882" s="97">
        <v>10</v>
      </c>
      <c r="H882" s="98" t="s">
        <v>749</v>
      </c>
      <c r="I882" s="99" t="str">
        <f t="shared" si="13"/>
        <v>거창|10</v>
      </c>
      <c r="J882" s="100">
        <v>1.3</v>
      </c>
      <c r="K882" s="100">
        <v>2.1</v>
      </c>
      <c r="L882" s="100">
        <v>3.4</v>
      </c>
      <c r="M882" s="100">
        <v>4.4000000000000004</v>
      </c>
      <c r="N882" s="100">
        <v>4</v>
      </c>
      <c r="O882" s="100">
        <v>5</v>
      </c>
      <c r="P882" s="100">
        <v>8.6999999999999993</v>
      </c>
      <c r="Q882" s="100">
        <v>5.9</v>
      </c>
      <c r="R882" s="100">
        <v>5.7</v>
      </c>
      <c r="S882" s="100">
        <v>2.9</v>
      </c>
      <c r="T882" s="100">
        <v>2.5</v>
      </c>
      <c r="U882" s="100">
        <v>1.5</v>
      </c>
    </row>
    <row r="883" spans="4:21">
      <c r="D883" s="97" t="s">
        <v>581</v>
      </c>
      <c r="E883" s="97" t="s">
        <v>577</v>
      </c>
      <c r="F883" s="94" t="s">
        <v>582</v>
      </c>
      <c r="G883" s="97">
        <v>10</v>
      </c>
      <c r="H883" s="98" t="s">
        <v>749</v>
      </c>
      <c r="I883" s="99" t="str">
        <f t="shared" si="13"/>
        <v>김해시|10</v>
      </c>
      <c r="J883" s="100">
        <v>1.6</v>
      </c>
      <c r="K883" s="100">
        <v>1.7</v>
      </c>
      <c r="L883" s="100">
        <v>3.7</v>
      </c>
      <c r="M883" s="100">
        <v>4.8</v>
      </c>
      <c r="N883" s="100">
        <v>4.0999999999999996</v>
      </c>
      <c r="O883" s="100">
        <v>5.6</v>
      </c>
      <c r="P883" s="100">
        <v>7.2</v>
      </c>
      <c r="Q883" s="100">
        <v>5.8</v>
      </c>
      <c r="R883" s="100">
        <v>6.3</v>
      </c>
      <c r="S883" s="100">
        <v>2.5</v>
      </c>
      <c r="T883" s="100">
        <v>1.9</v>
      </c>
      <c r="U883" s="100">
        <v>1.5</v>
      </c>
    </row>
    <row r="884" spans="4:21">
      <c r="D884" s="97" t="s">
        <v>583</v>
      </c>
      <c r="E884" s="97" t="s">
        <v>577</v>
      </c>
      <c r="F884" s="94" t="s">
        <v>584</v>
      </c>
      <c r="G884" s="97">
        <v>10</v>
      </c>
      <c r="H884" s="98" t="s">
        <v>749</v>
      </c>
      <c r="I884" s="99" t="str">
        <f t="shared" si="13"/>
        <v>남해|10</v>
      </c>
      <c r="J884" s="100">
        <v>2.2999999999999998</v>
      </c>
      <c r="K884" s="100">
        <v>2.8</v>
      </c>
      <c r="L884" s="100">
        <v>4.4000000000000004</v>
      </c>
      <c r="M884" s="100">
        <v>5.8</v>
      </c>
      <c r="N884" s="100">
        <v>4.9000000000000004</v>
      </c>
      <c r="O884" s="100">
        <v>6.4</v>
      </c>
      <c r="P884" s="100">
        <v>7.7</v>
      </c>
      <c r="Q884" s="100">
        <v>5.7</v>
      </c>
      <c r="R884" s="100">
        <v>6.2</v>
      </c>
      <c r="S884" s="100">
        <v>2.9</v>
      </c>
      <c r="T884" s="100">
        <v>2.7</v>
      </c>
      <c r="U884" s="100">
        <v>1.9</v>
      </c>
    </row>
    <row r="885" spans="4:21">
      <c r="D885" s="97" t="s">
        <v>585</v>
      </c>
      <c r="E885" s="97" t="s">
        <v>577</v>
      </c>
      <c r="F885" s="94" t="s">
        <v>586</v>
      </c>
      <c r="G885" s="97">
        <v>10</v>
      </c>
      <c r="H885" s="98" t="s">
        <v>749</v>
      </c>
      <c r="I885" s="99" t="str">
        <f t="shared" si="13"/>
        <v>밀양|10</v>
      </c>
      <c r="J885" s="100">
        <v>1.4</v>
      </c>
      <c r="K885" s="100">
        <v>1.6</v>
      </c>
      <c r="L885" s="100">
        <v>3.4</v>
      </c>
      <c r="M885" s="100">
        <v>4.2</v>
      </c>
      <c r="N885" s="100">
        <v>3.7</v>
      </c>
      <c r="O885" s="100">
        <v>5.3</v>
      </c>
      <c r="P885" s="100">
        <v>7.2</v>
      </c>
      <c r="Q885" s="100">
        <v>6.7</v>
      </c>
      <c r="R885" s="100">
        <v>5.6</v>
      </c>
      <c r="S885" s="100">
        <v>2.5</v>
      </c>
      <c r="T885" s="100">
        <v>1.9</v>
      </c>
      <c r="U885" s="100">
        <v>1.4</v>
      </c>
    </row>
    <row r="886" spans="4:21">
      <c r="D886" s="97" t="s">
        <v>587</v>
      </c>
      <c r="E886" s="97" t="s">
        <v>577</v>
      </c>
      <c r="F886" s="94" t="s">
        <v>588</v>
      </c>
      <c r="G886" s="97">
        <v>10</v>
      </c>
      <c r="H886" s="98" t="s">
        <v>749</v>
      </c>
      <c r="I886" s="99" t="str">
        <f t="shared" si="13"/>
        <v>북창원|10</v>
      </c>
      <c r="J886" s="100">
        <v>1.6</v>
      </c>
      <c r="K886" s="100">
        <v>2</v>
      </c>
      <c r="L886" s="100">
        <v>3.5</v>
      </c>
      <c r="M886" s="100">
        <v>5.5</v>
      </c>
      <c r="N886" s="100">
        <v>3.9</v>
      </c>
      <c r="O886" s="100">
        <v>5.9</v>
      </c>
      <c r="P886" s="100">
        <v>7.9</v>
      </c>
      <c r="Q886" s="100">
        <v>6.8</v>
      </c>
      <c r="R886" s="100">
        <v>6</v>
      </c>
      <c r="S886" s="100">
        <v>2.5</v>
      </c>
      <c r="T886" s="100">
        <v>2</v>
      </c>
      <c r="U886" s="100">
        <v>1.6</v>
      </c>
    </row>
    <row r="887" spans="4:21">
      <c r="D887" s="97" t="s">
        <v>589</v>
      </c>
      <c r="E887" s="97" t="s">
        <v>577</v>
      </c>
      <c r="F887" s="94" t="s">
        <v>590</v>
      </c>
      <c r="G887" s="97">
        <v>10</v>
      </c>
      <c r="H887" s="98" t="s">
        <v>749</v>
      </c>
      <c r="I887" s="99" t="str">
        <f t="shared" si="13"/>
        <v>산청|10</v>
      </c>
      <c r="J887" s="100">
        <v>1.4</v>
      </c>
      <c r="K887" s="100">
        <v>2.2999999999999998</v>
      </c>
      <c r="L887" s="100">
        <v>3.3</v>
      </c>
      <c r="M887" s="100">
        <v>4.9000000000000004</v>
      </c>
      <c r="N887" s="100">
        <v>4.3</v>
      </c>
      <c r="O887" s="100">
        <v>6.1</v>
      </c>
      <c r="P887" s="100">
        <v>8.1</v>
      </c>
      <c r="Q887" s="100">
        <v>6.8</v>
      </c>
      <c r="R887" s="100">
        <v>6</v>
      </c>
      <c r="S887" s="100">
        <v>2.6</v>
      </c>
      <c r="T887" s="100">
        <v>2.4</v>
      </c>
      <c r="U887" s="100">
        <v>1.4</v>
      </c>
    </row>
    <row r="888" spans="4:21">
      <c r="D888" s="97" t="s">
        <v>591</v>
      </c>
      <c r="E888" s="97" t="s">
        <v>577</v>
      </c>
      <c r="F888" s="94" t="s">
        <v>592</v>
      </c>
      <c r="G888" s="97">
        <v>10</v>
      </c>
      <c r="H888" s="98" t="s">
        <v>749</v>
      </c>
      <c r="I888" s="99" t="str">
        <f t="shared" si="13"/>
        <v>양산시|10</v>
      </c>
      <c r="J888" s="100">
        <v>1.5</v>
      </c>
      <c r="K888" s="100">
        <v>2</v>
      </c>
      <c r="L888" s="100">
        <v>3.9</v>
      </c>
      <c r="M888" s="100">
        <v>4.9000000000000004</v>
      </c>
      <c r="N888" s="100">
        <v>4.3</v>
      </c>
      <c r="O888" s="100">
        <v>5.6</v>
      </c>
      <c r="P888" s="100">
        <v>7</v>
      </c>
      <c r="Q888" s="100">
        <v>7</v>
      </c>
      <c r="R888" s="100">
        <v>6.2</v>
      </c>
      <c r="S888" s="100">
        <v>2.4</v>
      </c>
      <c r="T888" s="100">
        <v>2.2000000000000002</v>
      </c>
      <c r="U888" s="100">
        <v>1.5</v>
      </c>
    </row>
    <row r="889" spans="4:21">
      <c r="D889" s="97" t="s">
        <v>593</v>
      </c>
      <c r="E889" s="97" t="s">
        <v>577</v>
      </c>
      <c r="F889" s="94" t="s">
        <v>594</v>
      </c>
      <c r="G889" s="97">
        <v>10</v>
      </c>
      <c r="H889" s="98" t="s">
        <v>749</v>
      </c>
      <c r="I889" s="99" t="str">
        <f t="shared" si="13"/>
        <v>의령군|10</v>
      </c>
      <c r="J889" s="100">
        <v>1.3</v>
      </c>
      <c r="K889" s="100">
        <v>2.2000000000000002</v>
      </c>
      <c r="L889" s="100">
        <v>3.9</v>
      </c>
      <c r="M889" s="100">
        <v>4.9000000000000004</v>
      </c>
      <c r="N889" s="100">
        <v>4.4000000000000004</v>
      </c>
      <c r="O889" s="100">
        <v>5.2</v>
      </c>
      <c r="P889" s="100">
        <v>8.1</v>
      </c>
      <c r="Q889" s="100">
        <v>6</v>
      </c>
      <c r="R889" s="100">
        <v>6</v>
      </c>
      <c r="S889" s="100">
        <v>3</v>
      </c>
      <c r="T889" s="100">
        <v>2.2000000000000002</v>
      </c>
      <c r="U889" s="100">
        <v>1.6</v>
      </c>
    </row>
    <row r="890" spans="4:21">
      <c r="D890" s="97" t="s">
        <v>595</v>
      </c>
      <c r="E890" s="97" t="s">
        <v>577</v>
      </c>
      <c r="F890" s="94" t="s">
        <v>596</v>
      </c>
      <c r="G890" s="97">
        <v>10</v>
      </c>
      <c r="H890" s="98" t="s">
        <v>749</v>
      </c>
      <c r="I890" s="99" t="str">
        <f t="shared" si="13"/>
        <v>진주|10</v>
      </c>
      <c r="J890" s="100">
        <v>1.8</v>
      </c>
      <c r="K890" s="100">
        <v>2.2000000000000002</v>
      </c>
      <c r="L890" s="100">
        <v>4.2</v>
      </c>
      <c r="M890" s="100">
        <v>4.9000000000000004</v>
      </c>
      <c r="N890" s="100">
        <v>3.8</v>
      </c>
      <c r="O890" s="100">
        <v>5.5</v>
      </c>
      <c r="P890" s="100">
        <v>8.4</v>
      </c>
      <c r="Q890" s="100">
        <v>6.3</v>
      </c>
      <c r="R890" s="100">
        <v>5.8</v>
      </c>
      <c r="S890" s="100">
        <v>2.8</v>
      </c>
      <c r="T890" s="100">
        <v>2.2000000000000002</v>
      </c>
      <c r="U890" s="100">
        <v>1.6</v>
      </c>
    </row>
    <row r="891" spans="4:21">
      <c r="D891" s="97" t="s">
        <v>597</v>
      </c>
      <c r="E891" s="97" t="s">
        <v>577</v>
      </c>
      <c r="F891" s="94" t="s">
        <v>598</v>
      </c>
      <c r="G891" s="97">
        <v>10</v>
      </c>
      <c r="H891" s="98" t="s">
        <v>749</v>
      </c>
      <c r="I891" s="99" t="str">
        <f t="shared" si="13"/>
        <v>창원|10</v>
      </c>
      <c r="J891" s="100">
        <v>1.5</v>
      </c>
      <c r="K891" s="100">
        <v>2</v>
      </c>
      <c r="L891" s="100">
        <v>3.8</v>
      </c>
      <c r="M891" s="100">
        <v>5.3</v>
      </c>
      <c r="N891" s="100">
        <v>4.4000000000000004</v>
      </c>
      <c r="O891" s="100">
        <v>5.8</v>
      </c>
      <c r="P891" s="100">
        <v>7.7</v>
      </c>
      <c r="Q891" s="100">
        <v>6.6</v>
      </c>
      <c r="R891" s="100">
        <v>5.7</v>
      </c>
      <c r="S891" s="100">
        <v>2.5</v>
      </c>
      <c r="T891" s="100">
        <v>2.2000000000000002</v>
      </c>
      <c r="U891" s="100">
        <v>1.5</v>
      </c>
    </row>
    <row r="892" spans="4:21">
      <c r="D892" s="97" t="s">
        <v>599</v>
      </c>
      <c r="E892" s="97" t="s">
        <v>577</v>
      </c>
      <c r="F892" s="94" t="s">
        <v>600</v>
      </c>
      <c r="G892" s="97">
        <v>10</v>
      </c>
      <c r="H892" s="98" t="s">
        <v>749</v>
      </c>
      <c r="I892" s="99" t="str">
        <f t="shared" si="13"/>
        <v>통영|10</v>
      </c>
      <c r="J892" s="100">
        <v>1.9</v>
      </c>
      <c r="K892" s="100">
        <v>2.4</v>
      </c>
      <c r="L892" s="100">
        <v>4.4000000000000004</v>
      </c>
      <c r="M892" s="100">
        <v>5.7</v>
      </c>
      <c r="N892" s="100">
        <v>4.7</v>
      </c>
      <c r="O892" s="100">
        <v>5.6</v>
      </c>
      <c r="P892" s="100">
        <v>7.3</v>
      </c>
      <c r="Q892" s="100">
        <v>5</v>
      </c>
      <c r="R892" s="100">
        <v>6.7</v>
      </c>
      <c r="S892" s="100">
        <v>2.6</v>
      </c>
      <c r="T892" s="100">
        <v>2.5</v>
      </c>
      <c r="U892" s="100">
        <v>1.8</v>
      </c>
    </row>
    <row r="893" spans="4:21">
      <c r="D893" s="97" t="s">
        <v>601</v>
      </c>
      <c r="E893" s="97" t="s">
        <v>577</v>
      </c>
      <c r="F893" s="94" t="s">
        <v>602</v>
      </c>
      <c r="G893" s="97">
        <v>10</v>
      </c>
      <c r="H893" s="98" t="s">
        <v>749</v>
      </c>
      <c r="I893" s="99" t="str">
        <f t="shared" si="13"/>
        <v>함양군|10</v>
      </c>
      <c r="J893" s="100">
        <v>1.4</v>
      </c>
      <c r="K893" s="100">
        <v>2.5</v>
      </c>
      <c r="L893" s="100">
        <v>3.9</v>
      </c>
      <c r="M893" s="100">
        <v>4.8</v>
      </c>
      <c r="N893" s="100">
        <v>4</v>
      </c>
      <c r="O893" s="100">
        <v>4.9000000000000004</v>
      </c>
      <c r="P893" s="100">
        <v>9.1</v>
      </c>
      <c r="Q893" s="100">
        <v>6.6</v>
      </c>
      <c r="R893" s="100">
        <v>5.5</v>
      </c>
      <c r="S893" s="100">
        <v>2.7</v>
      </c>
      <c r="T893" s="100">
        <v>2</v>
      </c>
      <c r="U893" s="100">
        <v>1.4</v>
      </c>
    </row>
    <row r="894" spans="4:21">
      <c r="D894" s="97" t="s">
        <v>603</v>
      </c>
      <c r="E894" s="97" t="s">
        <v>577</v>
      </c>
      <c r="F894" s="94" t="s">
        <v>604</v>
      </c>
      <c r="G894" s="97">
        <v>10</v>
      </c>
      <c r="H894" s="98" t="s">
        <v>749</v>
      </c>
      <c r="I894" s="99" t="str">
        <f t="shared" si="13"/>
        <v>합천|10</v>
      </c>
      <c r="J894" s="100">
        <v>1.5</v>
      </c>
      <c r="K894" s="100">
        <v>2</v>
      </c>
      <c r="L894" s="100">
        <v>3.2</v>
      </c>
      <c r="M894" s="100">
        <v>5</v>
      </c>
      <c r="N894" s="100">
        <v>3.8</v>
      </c>
      <c r="O894" s="100">
        <v>4.8</v>
      </c>
      <c r="P894" s="100">
        <v>8.5</v>
      </c>
      <c r="Q894" s="100">
        <v>6.9</v>
      </c>
      <c r="R894" s="100">
        <v>5.4</v>
      </c>
      <c r="S894" s="100">
        <v>2.6</v>
      </c>
      <c r="T894" s="100">
        <v>2.2999999999999998</v>
      </c>
      <c r="U894" s="100">
        <v>1.2</v>
      </c>
    </row>
    <row r="895" spans="4:21">
      <c r="D895" s="97" t="s">
        <v>605</v>
      </c>
      <c r="E895" s="97" t="s">
        <v>606</v>
      </c>
      <c r="F895" s="94" t="s">
        <v>607</v>
      </c>
      <c r="G895" s="97">
        <v>10</v>
      </c>
      <c r="H895" s="98" t="s">
        <v>749</v>
      </c>
      <c r="I895" s="99" t="str">
        <f t="shared" si="13"/>
        <v>경주시|10</v>
      </c>
      <c r="J895" s="100">
        <v>2</v>
      </c>
      <c r="K895" s="100">
        <v>1.3</v>
      </c>
      <c r="L895" s="100">
        <v>3</v>
      </c>
      <c r="M895" s="100">
        <v>4.5999999999999996</v>
      </c>
      <c r="N895" s="100">
        <v>3.2</v>
      </c>
      <c r="O895" s="100">
        <v>5.0999999999999996</v>
      </c>
      <c r="P895" s="100">
        <v>6.3</v>
      </c>
      <c r="Q895" s="100">
        <v>5.7</v>
      </c>
      <c r="R895" s="100">
        <v>6.5</v>
      </c>
      <c r="S895" s="100">
        <v>2.8</v>
      </c>
      <c r="T895" s="100">
        <v>1.8</v>
      </c>
      <c r="U895" s="100">
        <v>1.2</v>
      </c>
    </row>
    <row r="896" spans="4:21">
      <c r="D896" s="97" t="s">
        <v>608</v>
      </c>
      <c r="E896" s="97" t="s">
        <v>606</v>
      </c>
      <c r="F896" s="94" t="s">
        <v>609</v>
      </c>
      <c r="G896" s="97">
        <v>10</v>
      </c>
      <c r="H896" s="98" t="s">
        <v>749</v>
      </c>
      <c r="I896" s="99" t="str">
        <f t="shared" si="13"/>
        <v>구미|10</v>
      </c>
      <c r="J896" s="100">
        <v>1</v>
      </c>
      <c r="K896" s="100">
        <v>1.8</v>
      </c>
      <c r="L896" s="100">
        <v>2.6</v>
      </c>
      <c r="M896" s="100">
        <v>4.5</v>
      </c>
      <c r="N896" s="100">
        <v>3.5</v>
      </c>
      <c r="O896" s="100">
        <v>4.4000000000000004</v>
      </c>
      <c r="P896" s="100">
        <v>8.4</v>
      </c>
      <c r="Q896" s="100">
        <v>6.7</v>
      </c>
      <c r="R896" s="100">
        <v>5.0999999999999996</v>
      </c>
      <c r="S896" s="100">
        <v>2.8</v>
      </c>
      <c r="T896" s="100">
        <v>2.1</v>
      </c>
      <c r="U896" s="100">
        <v>1</v>
      </c>
    </row>
    <row r="897" spans="4:21">
      <c r="D897" s="97" t="s">
        <v>610</v>
      </c>
      <c r="E897" s="97" t="s">
        <v>606</v>
      </c>
      <c r="F897" s="94" t="s">
        <v>611</v>
      </c>
      <c r="G897" s="97">
        <v>10</v>
      </c>
      <c r="H897" s="98" t="s">
        <v>749</v>
      </c>
      <c r="I897" s="99" t="str">
        <f t="shared" si="13"/>
        <v>문경|10</v>
      </c>
      <c r="J897" s="100">
        <v>0.7</v>
      </c>
      <c r="K897" s="100">
        <v>2.2000000000000002</v>
      </c>
      <c r="L897" s="100">
        <v>3.2</v>
      </c>
      <c r="M897" s="100">
        <v>4.7</v>
      </c>
      <c r="N897" s="100">
        <v>3.6</v>
      </c>
      <c r="O897" s="100">
        <v>4.2</v>
      </c>
      <c r="P897" s="100">
        <v>10.1</v>
      </c>
      <c r="Q897" s="100">
        <v>7.3</v>
      </c>
      <c r="R897" s="100">
        <v>4.5</v>
      </c>
      <c r="S897" s="100">
        <v>3.1</v>
      </c>
      <c r="T897" s="100">
        <v>2.5</v>
      </c>
      <c r="U897" s="100">
        <v>1.6</v>
      </c>
    </row>
    <row r="898" spans="4:21">
      <c r="D898" s="97" t="s">
        <v>612</v>
      </c>
      <c r="E898" s="97" t="s">
        <v>606</v>
      </c>
      <c r="F898" s="94" t="s">
        <v>613</v>
      </c>
      <c r="G898" s="97">
        <v>10</v>
      </c>
      <c r="H898" s="98" t="s">
        <v>749</v>
      </c>
      <c r="I898" s="99" t="str">
        <f t="shared" si="13"/>
        <v>봉화|10</v>
      </c>
      <c r="J898" s="100">
        <v>0.6</v>
      </c>
      <c r="K898" s="100">
        <v>1.7</v>
      </c>
      <c r="L898" s="100">
        <v>2.8</v>
      </c>
      <c r="M898" s="100">
        <v>4.3</v>
      </c>
      <c r="N898" s="100">
        <v>3.9</v>
      </c>
      <c r="O898" s="100">
        <v>4.4000000000000004</v>
      </c>
      <c r="P898" s="100">
        <v>9.3000000000000007</v>
      </c>
      <c r="Q898" s="100">
        <v>8.1999999999999993</v>
      </c>
      <c r="R898" s="100">
        <v>4.0999999999999996</v>
      </c>
      <c r="S898" s="100">
        <v>3</v>
      </c>
      <c r="T898" s="100">
        <v>2.1</v>
      </c>
      <c r="U898" s="100">
        <v>1.2</v>
      </c>
    </row>
    <row r="899" spans="4:21">
      <c r="D899" s="97" t="s">
        <v>614</v>
      </c>
      <c r="E899" s="97" t="s">
        <v>606</v>
      </c>
      <c r="F899" s="94" t="s">
        <v>615</v>
      </c>
      <c r="G899" s="97">
        <v>10</v>
      </c>
      <c r="H899" s="98" t="s">
        <v>749</v>
      </c>
      <c r="I899" s="99" t="str">
        <f t="shared" si="13"/>
        <v>상주|10</v>
      </c>
      <c r="J899" s="100">
        <v>0.8</v>
      </c>
      <c r="K899" s="100">
        <v>1.9</v>
      </c>
      <c r="L899" s="100">
        <v>2.9</v>
      </c>
      <c r="M899" s="100">
        <v>4.5</v>
      </c>
      <c r="N899" s="100">
        <v>3.7</v>
      </c>
      <c r="O899" s="100">
        <v>4.7</v>
      </c>
      <c r="P899" s="100">
        <v>9.6</v>
      </c>
      <c r="Q899" s="100">
        <v>7.6</v>
      </c>
      <c r="R899" s="100">
        <v>4.3</v>
      </c>
      <c r="S899" s="100">
        <v>2.9</v>
      </c>
      <c r="T899" s="100">
        <v>2.6</v>
      </c>
      <c r="U899" s="100">
        <v>1.6</v>
      </c>
    </row>
    <row r="900" spans="4:21">
      <c r="D900" s="97" t="s">
        <v>616</v>
      </c>
      <c r="E900" s="97" t="s">
        <v>606</v>
      </c>
      <c r="F900" s="94" t="s">
        <v>617</v>
      </c>
      <c r="G900" s="97">
        <v>10</v>
      </c>
      <c r="H900" s="98" t="s">
        <v>749</v>
      </c>
      <c r="I900" s="99" t="str">
        <f t="shared" si="13"/>
        <v>안동|10</v>
      </c>
      <c r="J900" s="100">
        <v>0.5</v>
      </c>
      <c r="K900" s="100">
        <v>1.5</v>
      </c>
      <c r="L900" s="100">
        <v>2.6</v>
      </c>
      <c r="M900" s="100">
        <v>4.2</v>
      </c>
      <c r="N900" s="100">
        <v>3.9</v>
      </c>
      <c r="O900" s="100">
        <v>4.3</v>
      </c>
      <c r="P900" s="100">
        <v>8.3000000000000007</v>
      </c>
      <c r="Q900" s="100">
        <v>7.1</v>
      </c>
      <c r="R900" s="100">
        <v>4.2</v>
      </c>
      <c r="S900" s="100">
        <v>2.7</v>
      </c>
      <c r="T900" s="100">
        <v>1.9</v>
      </c>
      <c r="U900" s="100">
        <v>1.1000000000000001</v>
      </c>
    </row>
    <row r="901" spans="4:21">
      <c r="D901" s="97" t="s">
        <v>618</v>
      </c>
      <c r="E901" s="97" t="s">
        <v>606</v>
      </c>
      <c r="F901" s="94" t="s">
        <v>619</v>
      </c>
      <c r="G901" s="97">
        <v>10</v>
      </c>
      <c r="H901" s="98" t="s">
        <v>749</v>
      </c>
      <c r="I901" s="99" t="str">
        <f t="shared" si="13"/>
        <v>영덕|10</v>
      </c>
      <c r="J901" s="100">
        <v>1.2</v>
      </c>
      <c r="K901" s="100">
        <v>2.2999999999999998</v>
      </c>
      <c r="L901" s="100">
        <v>2.2999999999999998</v>
      </c>
      <c r="M901" s="100">
        <v>3.9</v>
      </c>
      <c r="N901" s="100">
        <v>2.7</v>
      </c>
      <c r="O901" s="100">
        <v>4.3</v>
      </c>
      <c r="P901" s="100">
        <v>6.9</v>
      </c>
      <c r="Q901" s="100">
        <v>5.9</v>
      </c>
      <c r="R901" s="100">
        <v>6.5</v>
      </c>
      <c r="S901" s="100">
        <v>3.7</v>
      </c>
      <c r="T901" s="100">
        <v>3.3</v>
      </c>
      <c r="U901" s="100">
        <v>1.5</v>
      </c>
    </row>
    <row r="902" spans="4:21">
      <c r="D902" s="97" t="s">
        <v>620</v>
      </c>
      <c r="E902" s="97" t="s">
        <v>606</v>
      </c>
      <c r="F902" s="94" t="s">
        <v>621</v>
      </c>
      <c r="G902" s="97">
        <v>10</v>
      </c>
      <c r="H902" s="98" t="s">
        <v>749</v>
      </c>
      <c r="I902" s="99" t="str">
        <f t="shared" si="13"/>
        <v>영주|10</v>
      </c>
      <c r="J902" s="100">
        <v>0.6</v>
      </c>
      <c r="K902" s="100">
        <v>2.1</v>
      </c>
      <c r="L902" s="100">
        <v>2.9</v>
      </c>
      <c r="M902" s="100">
        <v>4.9000000000000004</v>
      </c>
      <c r="N902" s="100">
        <v>3.8</v>
      </c>
      <c r="O902" s="100">
        <v>5.0999999999999996</v>
      </c>
      <c r="P902" s="100">
        <v>9.6999999999999993</v>
      </c>
      <c r="Q902" s="100">
        <v>8.1</v>
      </c>
      <c r="R902" s="100">
        <v>4.9000000000000004</v>
      </c>
      <c r="S902" s="100">
        <v>3.3</v>
      </c>
      <c r="T902" s="100">
        <v>2.2000000000000002</v>
      </c>
      <c r="U902" s="100">
        <v>1.5</v>
      </c>
    </row>
    <row r="903" spans="4:21">
      <c r="D903" s="97" t="s">
        <v>622</v>
      </c>
      <c r="E903" s="97" t="s">
        <v>606</v>
      </c>
      <c r="F903" s="94" t="s">
        <v>623</v>
      </c>
      <c r="G903" s="97">
        <v>10</v>
      </c>
      <c r="H903" s="98" t="s">
        <v>749</v>
      </c>
      <c r="I903" s="99" t="str">
        <f t="shared" ref="I903:I966" si="14">$D903&amp;"|"&amp;$G903</f>
        <v>영천|10</v>
      </c>
      <c r="J903" s="100">
        <v>1.2</v>
      </c>
      <c r="K903" s="100">
        <v>1.5</v>
      </c>
      <c r="L903" s="100">
        <v>3.6</v>
      </c>
      <c r="M903" s="100">
        <v>4.3</v>
      </c>
      <c r="N903" s="100">
        <v>4</v>
      </c>
      <c r="O903" s="100">
        <v>4.3</v>
      </c>
      <c r="P903" s="100">
        <v>7</v>
      </c>
      <c r="Q903" s="100">
        <v>6.3</v>
      </c>
      <c r="R903" s="100">
        <v>5.3</v>
      </c>
      <c r="S903" s="100">
        <v>3</v>
      </c>
      <c r="T903" s="100">
        <v>2</v>
      </c>
      <c r="U903" s="100">
        <v>1.1000000000000001</v>
      </c>
    </row>
    <row r="904" spans="4:21">
      <c r="D904" s="97" t="s">
        <v>624</v>
      </c>
      <c r="E904" s="97" t="s">
        <v>606</v>
      </c>
      <c r="F904" s="94" t="s">
        <v>625</v>
      </c>
      <c r="G904" s="97">
        <v>10</v>
      </c>
      <c r="H904" s="98" t="s">
        <v>749</v>
      </c>
      <c r="I904" s="99" t="str">
        <f t="shared" si="14"/>
        <v>울릉도|10</v>
      </c>
      <c r="J904" s="100">
        <v>6.8</v>
      </c>
      <c r="K904" s="100">
        <v>6.8</v>
      </c>
      <c r="L904" s="100">
        <v>3.8</v>
      </c>
      <c r="M904" s="100">
        <v>4.8</v>
      </c>
      <c r="N904" s="100">
        <v>3.5</v>
      </c>
      <c r="O904" s="100">
        <v>3.2</v>
      </c>
      <c r="P904" s="100">
        <v>5.5</v>
      </c>
      <c r="Q904" s="100">
        <v>4.7</v>
      </c>
      <c r="R904" s="100">
        <v>6</v>
      </c>
      <c r="S904" s="100">
        <v>6.7</v>
      </c>
      <c r="T904" s="100">
        <v>6.9</v>
      </c>
      <c r="U904" s="100">
        <v>7.8</v>
      </c>
    </row>
    <row r="905" spans="4:21">
      <c r="D905" s="97" t="s">
        <v>626</v>
      </c>
      <c r="E905" s="97" t="s">
        <v>606</v>
      </c>
      <c r="F905" s="94" t="s">
        <v>627</v>
      </c>
      <c r="G905" s="97">
        <v>10</v>
      </c>
      <c r="H905" s="98" t="s">
        <v>749</v>
      </c>
      <c r="I905" s="99" t="str">
        <f t="shared" si="14"/>
        <v>울진|10</v>
      </c>
      <c r="J905" s="100">
        <v>1.9</v>
      </c>
      <c r="K905" s="100">
        <v>2.2000000000000002</v>
      </c>
      <c r="L905" s="100">
        <v>3.1</v>
      </c>
      <c r="M905" s="100">
        <v>3.9</v>
      </c>
      <c r="N905" s="100">
        <v>2.4</v>
      </c>
      <c r="O905" s="100">
        <v>3.6</v>
      </c>
      <c r="P905" s="100">
        <v>6.6</v>
      </c>
      <c r="Q905" s="100">
        <v>7</v>
      </c>
      <c r="R905" s="100">
        <v>5.8</v>
      </c>
      <c r="S905" s="100">
        <v>4.2</v>
      </c>
      <c r="T905" s="100">
        <v>3.3</v>
      </c>
      <c r="U905" s="100">
        <v>1.7</v>
      </c>
    </row>
    <row r="906" spans="4:21">
      <c r="D906" s="97" t="s">
        <v>628</v>
      </c>
      <c r="E906" s="97" t="s">
        <v>606</v>
      </c>
      <c r="F906" s="94" t="s">
        <v>629</v>
      </c>
      <c r="G906" s="97">
        <v>10</v>
      </c>
      <c r="H906" s="98" t="s">
        <v>749</v>
      </c>
      <c r="I906" s="99" t="str">
        <f t="shared" si="14"/>
        <v>의성|10</v>
      </c>
      <c r="J906" s="100">
        <v>0.9</v>
      </c>
      <c r="K906" s="100">
        <v>1.4</v>
      </c>
      <c r="L906" s="100">
        <v>3</v>
      </c>
      <c r="M906" s="100">
        <v>4.0999999999999996</v>
      </c>
      <c r="N906" s="100">
        <v>3.8</v>
      </c>
      <c r="O906" s="100">
        <v>4.4000000000000004</v>
      </c>
      <c r="P906" s="100">
        <v>8.1</v>
      </c>
      <c r="Q906" s="100">
        <v>6.9</v>
      </c>
      <c r="R906" s="100">
        <v>4.5</v>
      </c>
      <c r="S906" s="100">
        <v>2.5</v>
      </c>
      <c r="T906" s="100">
        <v>1.9</v>
      </c>
      <c r="U906" s="100">
        <v>1.1000000000000001</v>
      </c>
    </row>
    <row r="907" spans="4:21">
      <c r="D907" s="97" t="s">
        <v>630</v>
      </c>
      <c r="E907" s="97" t="s">
        <v>606</v>
      </c>
      <c r="F907" s="94" t="s">
        <v>631</v>
      </c>
      <c r="G907" s="97">
        <v>10</v>
      </c>
      <c r="H907" s="98" t="s">
        <v>749</v>
      </c>
      <c r="I907" s="99" t="str">
        <f t="shared" si="14"/>
        <v>청송군|10</v>
      </c>
      <c r="J907" s="100">
        <v>1.3</v>
      </c>
      <c r="K907" s="100">
        <v>1.8</v>
      </c>
      <c r="L907" s="100">
        <v>3.1</v>
      </c>
      <c r="M907" s="100">
        <v>4.2</v>
      </c>
      <c r="N907" s="100">
        <v>3.6</v>
      </c>
      <c r="O907" s="100">
        <v>4.9000000000000004</v>
      </c>
      <c r="P907" s="100">
        <v>8.1</v>
      </c>
      <c r="Q907" s="100">
        <v>6.9</v>
      </c>
      <c r="R907" s="100">
        <v>5.3</v>
      </c>
      <c r="S907" s="100">
        <v>2.7</v>
      </c>
      <c r="T907" s="100">
        <v>2.2999999999999998</v>
      </c>
      <c r="U907" s="100">
        <v>1.2</v>
      </c>
    </row>
    <row r="908" spans="4:21">
      <c r="D908" s="97" t="s">
        <v>632</v>
      </c>
      <c r="E908" s="97" t="s">
        <v>606</v>
      </c>
      <c r="F908" s="94" t="s">
        <v>633</v>
      </c>
      <c r="G908" s="97">
        <v>10</v>
      </c>
      <c r="H908" s="98" t="s">
        <v>749</v>
      </c>
      <c r="I908" s="99" t="str">
        <f t="shared" si="14"/>
        <v>포항|10</v>
      </c>
      <c r="J908" s="100">
        <v>1.9</v>
      </c>
      <c r="K908" s="100">
        <v>1.9</v>
      </c>
      <c r="L908" s="100">
        <v>2.7</v>
      </c>
      <c r="M908" s="100">
        <v>4.2</v>
      </c>
      <c r="N908" s="100">
        <v>3.5</v>
      </c>
      <c r="O908" s="100">
        <v>4.5999999999999996</v>
      </c>
      <c r="P908" s="100">
        <v>5.7</v>
      </c>
      <c r="Q908" s="100">
        <v>5.8</v>
      </c>
      <c r="R908" s="100">
        <v>6.6</v>
      </c>
      <c r="S908" s="100">
        <v>3.1</v>
      </c>
      <c r="T908" s="100">
        <v>2.4</v>
      </c>
      <c r="U908" s="100">
        <v>1.3</v>
      </c>
    </row>
    <row r="909" spans="4:21">
      <c r="D909" s="97" t="s">
        <v>634</v>
      </c>
      <c r="E909" s="97" t="s">
        <v>635</v>
      </c>
      <c r="F909" s="94" t="s">
        <v>636</v>
      </c>
      <c r="G909" s="97">
        <v>10</v>
      </c>
      <c r="H909" s="98" t="s">
        <v>749</v>
      </c>
      <c r="I909" s="99" t="str">
        <f t="shared" si="14"/>
        <v>광주|10</v>
      </c>
      <c r="J909" s="100">
        <v>2.1</v>
      </c>
      <c r="K909" s="100">
        <v>2.2999999999999998</v>
      </c>
      <c r="L909" s="100">
        <v>3.7</v>
      </c>
      <c r="M909" s="100">
        <v>4.5999999999999996</v>
      </c>
      <c r="N909" s="100">
        <v>3.9</v>
      </c>
      <c r="O909" s="100">
        <v>5.4</v>
      </c>
      <c r="P909" s="100">
        <v>9.3000000000000007</v>
      </c>
      <c r="Q909" s="100">
        <v>7.8</v>
      </c>
      <c r="R909" s="100">
        <v>4.7</v>
      </c>
      <c r="S909" s="100">
        <v>3</v>
      </c>
      <c r="T909" s="100">
        <v>3.1</v>
      </c>
      <c r="U909" s="100">
        <v>1.9</v>
      </c>
    </row>
    <row r="910" spans="4:21">
      <c r="D910" s="97" t="s">
        <v>637</v>
      </c>
      <c r="E910" s="97" t="s">
        <v>638</v>
      </c>
      <c r="F910" s="94" t="s">
        <v>639</v>
      </c>
      <c r="G910" s="97">
        <v>10</v>
      </c>
      <c r="H910" s="98" t="s">
        <v>749</v>
      </c>
      <c r="I910" s="99" t="str">
        <f t="shared" si="14"/>
        <v>대구|10</v>
      </c>
      <c r="J910" s="100">
        <v>1.4</v>
      </c>
      <c r="K910" s="100">
        <v>1.6</v>
      </c>
      <c r="L910" s="100">
        <v>3.6</v>
      </c>
      <c r="M910" s="100">
        <v>4.0999999999999996</v>
      </c>
      <c r="N910" s="100">
        <v>3.8</v>
      </c>
      <c r="O910" s="100">
        <v>4.3</v>
      </c>
      <c r="P910" s="100">
        <v>7.2</v>
      </c>
      <c r="Q910" s="100">
        <v>7</v>
      </c>
      <c r="R910" s="100">
        <v>4.7</v>
      </c>
      <c r="S910" s="100">
        <v>2.9</v>
      </c>
      <c r="T910" s="100">
        <v>2.1</v>
      </c>
      <c r="U910" s="100">
        <v>1.1000000000000001</v>
      </c>
    </row>
    <row r="911" spans="4:21">
      <c r="D911" s="97" t="s">
        <v>640</v>
      </c>
      <c r="E911" s="97" t="s">
        <v>641</v>
      </c>
      <c r="F911" s="94" t="s">
        <v>642</v>
      </c>
      <c r="G911" s="97">
        <v>10</v>
      </c>
      <c r="H911" s="98" t="s">
        <v>749</v>
      </c>
      <c r="I911" s="99" t="str">
        <f t="shared" si="14"/>
        <v>대전|10</v>
      </c>
      <c r="J911" s="100">
        <v>1.2</v>
      </c>
      <c r="K911" s="100">
        <v>1.9</v>
      </c>
      <c r="L911" s="100">
        <v>3</v>
      </c>
      <c r="M911" s="100">
        <v>4</v>
      </c>
      <c r="N911" s="100">
        <v>4.2</v>
      </c>
      <c r="O911" s="100">
        <v>4.4000000000000004</v>
      </c>
      <c r="P911" s="100">
        <v>9.6</v>
      </c>
      <c r="Q911" s="100">
        <v>7.3</v>
      </c>
      <c r="R911" s="100">
        <v>4.3</v>
      </c>
      <c r="S911" s="100">
        <v>3</v>
      </c>
      <c r="T911" s="100">
        <v>2.6</v>
      </c>
      <c r="U911" s="100">
        <v>1.6</v>
      </c>
    </row>
    <row r="912" spans="4:21">
      <c r="D912" s="97" t="s">
        <v>643</v>
      </c>
      <c r="E912" s="97" t="s">
        <v>644</v>
      </c>
      <c r="F912" s="94" t="s">
        <v>645</v>
      </c>
      <c r="G912" s="97">
        <v>10</v>
      </c>
      <c r="H912" s="98" t="s">
        <v>749</v>
      </c>
      <c r="I912" s="99" t="str">
        <f t="shared" si="14"/>
        <v>부산|10</v>
      </c>
      <c r="J912" s="100">
        <v>1.9</v>
      </c>
      <c r="K912" s="100">
        <v>2.1</v>
      </c>
      <c r="L912" s="100">
        <v>4.5</v>
      </c>
      <c r="M912" s="100">
        <v>5.4</v>
      </c>
      <c r="N912" s="100">
        <v>4.0999999999999996</v>
      </c>
      <c r="O912" s="100">
        <v>6</v>
      </c>
      <c r="P912" s="100">
        <v>6.6</v>
      </c>
      <c r="Q912" s="100">
        <v>5.4</v>
      </c>
      <c r="R912" s="100">
        <v>6.8</v>
      </c>
      <c r="S912" s="100">
        <v>2.6</v>
      </c>
      <c r="T912" s="100">
        <v>2.1</v>
      </c>
      <c r="U912" s="100">
        <v>1.6</v>
      </c>
    </row>
    <row r="913" spans="4:21">
      <c r="D913" s="97" t="s">
        <v>64</v>
      </c>
      <c r="E913" s="97" t="s">
        <v>646</v>
      </c>
      <c r="F913" s="94" t="s">
        <v>647</v>
      </c>
      <c r="G913" s="97">
        <v>10</v>
      </c>
      <c r="H913" s="98" t="s">
        <v>749</v>
      </c>
      <c r="I913" s="99" t="str">
        <f t="shared" si="14"/>
        <v>서울|10</v>
      </c>
      <c r="J913" s="100">
        <v>0.5</v>
      </c>
      <c r="K913" s="100">
        <v>1.5</v>
      </c>
      <c r="L913" s="100">
        <v>2</v>
      </c>
      <c r="M913" s="100">
        <v>3.6</v>
      </c>
      <c r="N913" s="100">
        <v>4.5999999999999996</v>
      </c>
      <c r="O913" s="100">
        <v>5.3</v>
      </c>
      <c r="P913" s="100">
        <v>8</v>
      </c>
      <c r="Q913" s="100">
        <v>7.8</v>
      </c>
      <c r="R913" s="100">
        <v>3.8</v>
      </c>
      <c r="S913" s="100">
        <v>2.9</v>
      </c>
      <c r="T913" s="100">
        <v>3.3</v>
      </c>
      <c r="U913" s="100">
        <v>1.3</v>
      </c>
    </row>
    <row r="914" spans="4:21">
      <c r="D914" s="97" t="s">
        <v>648</v>
      </c>
      <c r="E914" s="97" t="s">
        <v>649</v>
      </c>
      <c r="F914" s="94" t="s">
        <v>650</v>
      </c>
      <c r="G914" s="97">
        <v>10</v>
      </c>
      <c r="H914" s="98" t="s">
        <v>749</v>
      </c>
      <c r="I914" s="99" t="str">
        <f t="shared" si="14"/>
        <v>세종|10</v>
      </c>
      <c r="J914" s="100">
        <v>1.2</v>
      </c>
      <c r="K914" s="100">
        <v>1.8</v>
      </c>
      <c r="L914" s="100">
        <v>2.8</v>
      </c>
      <c r="M914" s="100">
        <v>2.5</v>
      </c>
      <c r="N914" s="100">
        <v>4.2</v>
      </c>
      <c r="O914" s="100">
        <v>4.7</v>
      </c>
      <c r="P914" s="100">
        <v>10.7</v>
      </c>
      <c r="Q914" s="100">
        <v>9.6999999999999993</v>
      </c>
      <c r="R914" s="100">
        <v>5.5</v>
      </c>
      <c r="S914" s="100">
        <v>2.5</v>
      </c>
      <c r="T914" s="100">
        <v>2.5</v>
      </c>
      <c r="U914" s="100">
        <v>1</v>
      </c>
    </row>
    <row r="915" spans="4:21">
      <c r="D915" s="97" t="s">
        <v>651</v>
      </c>
      <c r="E915" s="97" t="s">
        <v>652</v>
      </c>
      <c r="F915" s="94" t="s">
        <v>653</v>
      </c>
      <c r="G915" s="97">
        <v>10</v>
      </c>
      <c r="H915" s="98" t="s">
        <v>749</v>
      </c>
      <c r="I915" s="99" t="str">
        <f t="shared" si="14"/>
        <v>울산|10</v>
      </c>
      <c r="J915" s="100">
        <v>2.2000000000000002</v>
      </c>
      <c r="K915" s="100">
        <v>2</v>
      </c>
      <c r="L915" s="100">
        <v>3.5</v>
      </c>
      <c r="M915" s="100">
        <v>5</v>
      </c>
      <c r="N915" s="100">
        <v>3.8</v>
      </c>
      <c r="O915" s="100">
        <v>5.4</v>
      </c>
      <c r="P915" s="100">
        <v>6.1</v>
      </c>
      <c r="Q915" s="100">
        <v>5.4</v>
      </c>
      <c r="R915" s="100">
        <v>6.6</v>
      </c>
      <c r="S915" s="100">
        <v>2.9</v>
      </c>
      <c r="T915" s="100">
        <v>2</v>
      </c>
      <c r="U915" s="100">
        <v>1.5</v>
      </c>
    </row>
    <row r="916" spans="4:21">
      <c r="D916" s="97" t="s">
        <v>654</v>
      </c>
      <c r="E916" s="97" t="s">
        <v>655</v>
      </c>
      <c r="F916" s="94" t="s">
        <v>656</v>
      </c>
      <c r="G916" s="97">
        <v>10</v>
      </c>
      <c r="H916" s="98" t="s">
        <v>749</v>
      </c>
      <c r="I916" s="99" t="str">
        <f t="shared" si="14"/>
        <v>강화|10</v>
      </c>
      <c r="J916" s="100">
        <v>0.9</v>
      </c>
      <c r="K916" s="100">
        <v>1.5</v>
      </c>
      <c r="L916" s="100">
        <v>1.7</v>
      </c>
      <c r="M916" s="100">
        <v>2.9</v>
      </c>
      <c r="N916" s="100">
        <v>4.0999999999999996</v>
      </c>
      <c r="O916" s="100">
        <v>3.9</v>
      </c>
      <c r="P916" s="100">
        <v>7.1</v>
      </c>
      <c r="Q916" s="100">
        <v>6.4</v>
      </c>
      <c r="R916" s="100">
        <v>3.8</v>
      </c>
      <c r="S916" s="100">
        <v>3.1</v>
      </c>
      <c r="T916" s="100">
        <v>3.1</v>
      </c>
      <c r="U916" s="100">
        <v>1.5</v>
      </c>
    </row>
    <row r="917" spans="4:21">
      <c r="D917" s="97" t="s">
        <v>657</v>
      </c>
      <c r="E917" s="97" t="s">
        <v>655</v>
      </c>
      <c r="F917" s="94" t="s">
        <v>658</v>
      </c>
      <c r="G917" s="97">
        <v>10</v>
      </c>
      <c r="H917" s="98" t="s">
        <v>749</v>
      </c>
      <c r="I917" s="99" t="str">
        <f t="shared" si="14"/>
        <v>백령도|10</v>
      </c>
      <c r="J917" s="100">
        <v>1.5</v>
      </c>
      <c r="K917" s="100">
        <v>1.2</v>
      </c>
      <c r="L917" s="100">
        <v>1.1000000000000001</v>
      </c>
      <c r="M917" s="100">
        <v>1.8</v>
      </c>
      <c r="N917" s="100">
        <v>3.7</v>
      </c>
      <c r="O917" s="100">
        <v>3.3</v>
      </c>
      <c r="P917" s="100">
        <v>5.5</v>
      </c>
      <c r="Q917" s="100">
        <v>5.8</v>
      </c>
      <c r="R917" s="100">
        <v>3.4</v>
      </c>
      <c r="S917" s="100">
        <v>2.2000000000000002</v>
      </c>
      <c r="T917" s="100">
        <v>2.7</v>
      </c>
      <c r="U917" s="100">
        <v>1.4</v>
      </c>
    </row>
    <row r="918" spans="4:21">
      <c r="D918" s="97" t="s">
        <v>659</v>
      </c>
      <c r="E918" s="97" t="s">
        <v>655</v>
      </c>
      <c r="F918" s="94" t="s">
        <v>660</v>
      </c>
      <c r="G918" s="97">
        <v>10</v>
      </c>
      <c r="H918" s="98" t="s">
        <v>749</v>
      </c>
      <c r="I918" s="99" t="str">
        <f t="shared" si="14"/>
        <v>인천|10</v>
      </c>
      <c r="J918" s="100">
        <v>0.5</v>
      </c>
      <c r="K918" s="100">
        <v>1.7</v>
      </c>
      <c r="L918" s="100">
        <v>1.7</v>
      </c>
      <c r="M918" s="100">
        <v>3.4</v>
      </c>
      <c r="N918" s="100">
        <v>4.0999999999999996</v>
      </c>
      <c r="O918" s="100">
        <v>3.6</v>
      </c>
      <c r="P918" s="100">
        <v>6.8</v>
      </c>
      <c r="Q918" s="100">
        <v>6.5</v>
      </c>
      <c r="R918" s="100">
        <v>3.8</v>
      </c>
      <c r="S918" s="100">
        <v>2.7</v>
      </c>
      <c r="T918" s="100">
        <v>3.1</v>
      </c>
      <c r="U918" s="100">
        <v>1.5</v>
      </c>
    </row>
    <row r="919" spans="4:21">
      <c r="D919" s="97" t="s">
        <v>661</v>
      </c>
      <c r="E919" s="97" t="s">
        <v>662</v>
      </c>
      <c r="F919" s="94" t="s">
        <v>663</v>
      </c>
      <c r="G919" s="97">
        <v>10</v>
      </c>
      <c r="H919" s="98" t="s">
        <v>749</v>
      </c>
      <c r="I919" s="99" t="str">
        <f t="shared" si="14"/>
        <v>강진군|10</v>
      </c>
      <c r="J919" s="100">
        <v>1.9</v>
      </c>
      <c r="K919" s="100">
        <v>2.4</v>
      </c>
      <c r="L919" s="100">
        <v>4.0999999999999996</v>
      </c>
      <c r="M919" s="100">
        <v>5.0999999999999996</v>
      </c>
      <c r="N919" s="100">
        <v>4.0999999999999996</v>
      </c>
      <c r="O919" s="100">
        <v>5.2</v>
      </c>
      <c r="P919" s="100">
        <v>7.4</v>
      </c>
      <c r="Q919" s="100">
        <v>5.9</v>
      </c>
      <c r="R919" s="100">
        <v>6.1</v>
      </c>
      <c r="S919" s="100">
        <v>2.2999999999999998</v>
      </c>
      <c r="T919" s="100">
        <v>3.2</v>
      </c>
      <c r="U919" s="100">
        <v>1.6</v>
      </c>
    </row>
    <row r="920" spans="4:21">
      <c r="D920" s="97" t="s">
        <v>664</v>
      </c>
      <c r="E920" s="97" t="s">
        <v>662</v>
      </c>
      <c r="F920" s="94" t="s">
        <v>665</v>
      </c>
      <c r="G920" s="97">
        <v>10</v>
      </c>
      <c r="H920" s="98" t="s">
        <v>749</v>
      </c>
      <c r="I920" s="99" t="str">
        <f t="shared" si="14"/>
        <v>고흥|10</v>
      </c>
      <c r="J920" s="100">
        <v>1.7</v>
      </c>
      <c r="K920" s="100">
        <v>2.4</v>
      </c>
      <c r="L920" s="100">
        <v>4.3</v>
      </c>
      <c r="M920" s="100">
        <v>5</v>
      </c>
      <c r="N920" s="100">
        <v>3.7</v>
      </c>
      <c r="O920" s="100">
        <v>5.3</v>
      </c>
      <c r="P920" s="100">
        <v>7.5</v>
      </c>
      <c r="Q920" s="100">
        <v>4.0999999999999996</v>
      </c>
      <c r="R920" s="100">
        <v>5.9</v>
      </c>
      <c r="S920" s="100">
        <v>2.2000000000000002</v>
      </c>
      <c r="T920" s="100">
        <v>2.5</v>
      </c>
      <c r="U920" s="100">
        <v>1.4</v>
      </c>
    </row>
    <row r="921" spans="4:21">
      <c r="D921" s="97" t="s">
        <v>666</v>
      </c>
      <c r="E921" s="97" t="s">
        <v>662</v>
      </c>
      <c r="F921" s="94" t="s">
        <v>667</v>
      </c>
      <c r="G921" s="97">
        <v>10</v>
      </c>
      <c r="H921" s="98" t="s">
        <v>749</v>
      </c>
      <c r="I921" s="99" t="str">
        <f t="shared" si="14"/>
        <v>광양시|10</v>
      </c>
      <c r="J921" s="100">
        <v>1.7</v>
      </c>
      <c r="K921" s="100">
        <v>2.4</v>
      </c>
      <c r="L921" s="100">
        <v>4.3</v>
      </c>
      <c r="M921" s="100">
        <v>5.0999999999999996</v>
      </c>
      <c r="N921" s="100">
        <v>4.5</v>
      </c>
      <c r="O921" s="100">
        <v>5.4</v>
      </c>
      <c r="P921" s="100">
        <v>7.7</v>
      </c>
      <c r="Q921" s="100">
        <v>6.4</v>
      </c>
      <c r="R921" s="100">
        <v>6.1</v>
      </c>
      <c r="S921" s="100">
        <v>2.2999999999999998</v>
      </c>
      <c r="T921" s="100">
        <v>2.7</v>
      </c>
      <c r="U921" s="100">
        <v>1.5</v>
      </c>
    </row>
    <row r="922" spans="4:21">
      <c r="D922" s="97" t="s">
        <v>668</v>
      </c>
      <c r="E922" s="97" t="s">
        <v>662</v>
      </c>
      <c r="F922" s="94" t="s">
        <v>669</v>
      </c>
      <c r="G922" s="97">
        <v>10</v>
      </c>
      <c r="H922" s="98" t="s">
        <v>749</v>
      </c>
      <c r="I922" s="99" t="str">
        <f t="shared" si="14"/>
        <v>목포|10</v>
      </c>
      <c r="J922" s="100">
        <v>2.5</v>
      </c>
      <c r="K922" s="100">
        <v>2.2000000000000002</v>
      </c>
      <c r="L922" s="100">
        <v>3.8</v>
      </c>
      <c r="M922" s="100">
        <v>4.4000000000000004</v>
      </c>
      <c r="N922" s="100">
        <v>3.7</v>
      </c>
      <c r="O922" s="100">
        <v>4.5</v>
      </c>
      <c r="P922" s="100">
        <v>7.4</v>
      </c>
      <c r="Q922" s="100">
        <v>4.8</v>
      </c>
      <c r="R922" s="100">
        <v>5.4</v>
      </c>
      <c r="S922" s="100">
        <v>2.5</v>
      </c>
      <c r="T922" s="100">
        <v>3.2</v>
      </c>
      <c r="U922" s="100">
        <v>2.4</v>
      </c>
    </row>
    <row r="923" spans="4:21">
      <c r="D923" s="97" t="s">
        <v>670</v>
      </c>
      <c r="E923" s="97" t="s">
        <v>662</v>
      </c>
      <c r="F923" s="94" t="s">
        <v>671</v>
      </c>
      <c r="G923" s="97">
        <v>10</v>
      </c>
      <c r="H923" s="98" t="s">
        <v>749</v>
      </c>
      <c r="I923" s="99" t="str">
        <f t="shared" si="14"/>
        <v>보성군|10</v>
      </c>
      <c r="J923" s="100">
        <v>1.5</v>
      </c>
      <c r="K923" s="100">
        <v>2.1</v>
      </c>
      <c r="L923" s="100">
        <v>4.2</v>
      </c>
      <c r="M923" s="100">
        <v>5.5</v>
      </c>
      <c r="N923" s="100">
        <v>4</v>
      </c>
      <c r="O923" s="100">
        <v>5.3</v>
      </c>
      <c r="P923" s="100">
        <v>7.9</v>
      </c>
      <c r="Q923" s="100">
        <v>4.8</v>
      </c>
      <c r="R923" s="100">
        <v>5.6</v>
      </c>
      <c r="S923" s="100">
        <v>2.4</v>
      </c>
      <c r="T923" s="100">
        <v>2.7</v>
      </c>
      <c r="U923" s="100">
        <v>1.6</v>
      </c>
    </row>
    <row r="924" spans="4:21">
      <c r="D924" s="97" t="s">
        <v>672</v>
      </c>
      <c r="E924" s="97" t="s">
        <v>662</v>
      </c>
      <c r="F924" s="94" t="s">
        <v>673</v>
      </c>
      <c r="G924" s="97">
        <v>10</v>
      </c>
      <c r="H924" s="98" t="s">
        <v>749</v>
      </c>
      <c r="I924" s="99" t="str">
        <f t="shared" si="14"/>
        <v>순천|10</v>
      </c>
      <c r="J924" s="100">
        <v>1.7</v>
      </c>
      <c r="K924" s="100">
        <v>2.4</v>
      </c>
      <c r="L924" s="100">
        <v>3.9</v>
      </c>
      <c r="M924" s="100">
        <v>5</v>
      </c>
      <c r="N924" s="100">
        <v>4.4000000000000004</v>
      </c>
      <c r="O924" s="100">
        <v>5.2</v>
      </c>
      <c r="P924" s="100">
        <v>8.5</v>
      </c>
      <c r="Q924" s="100">
        <v>6.5</v>
      </c>
      <c r="R924" s="100">
        <v>5.9</v>
      </c>
      <c r="S924" s="100">
        <v>2.6</v>
      </c>
      <c r="T924" s="100">
        <v>3.2</v>
      </c>
      <c r="U924" s="100">
        <v>1.6</v>
      </c>
    </row>
    <row r="925" spans="4:21">
      <c r="D925" s="97" t="s">
        <v>674</v>
      </c>
      <c r="E925" s="97" t="s">
        <v>662</v>
      </c>
      <c r="F925" s="94" t="s">
        <v>675</v>
      </c>
      <c r="G925" s="97">
        <v>10</v>
      </c>
      <c r="H925" s="98" t="s">
        <v>749</v>
      </c>
      <c r="I925" s="99" t="str">
        <f t="shared" si="14"/>
        <v>여수|10</v>
      </c>
      <c r="J925" s="100">
        <v>1.9</v>
      </c>
      <c r="K925" s="100">
        <v>2.4</v>
      </c>
      <c r="L925" s="100">
        <v>3.9</v>
      </c>
      <c r="M925" s="100">
        <v>5.0999999999999996</v>
      </c>
      <c r="N925" s="100">
        <v>4.5999999999999996</v>
      </c>
      <c r="O925" s="100">
        <v>5.3</v>
      </c>
      <c r="P925" s="100">
        <v>7.5</v>
      </c>
      <c r="Q925" s="100">
        <v>5.2</v>
      </c>
      <c r="R925" s="100">
        <v>6</v>
      </c>
      <c r="S925" s="100">
        <v>2.5</v>
      </c>
      <c r="T925" s="100">
        <v>2.4</v>
      </c>
      <c r="U925" s="100">
        <v>1.6</v>
      </c>
    </row>
    <row r="926" spans="4:21">
      <c r="D926" s="97" t="s">
        <v>676</v>
      </c>
      <c r="E926" s="97" t="s">
        <v>662</v>
      </c>
      <c r="F926" s="94" t="s">
        <v>677</v>
      </c>
      <c r="G926" s="97">
        <v>10</v>
      </c>
      <c r="H926" s="98" t="s">
        <v>749</v>
      </c>
      <c r="I926" s="99" t="str">
        <f t="shared" si="14"/>
        <v>영광군|10</v>
      </c>
      <c r="J926" s="100">
        <v>2.2999999999999998</v>
      </c>
      <c r="K926" s="100">
        <v>2.2999999999999998</v>
      </c>
      <c r="L926" s="100">
        <v>2.9</v>
      </c>
      <c r="M926" s="100">
        <v>4.5999999999999996</v>
      </c>
      <c r="N926" s="100">
        <v>4.0999999999999996</v>
      </c>
      <c r="O926" s="100">
        <v>4.5999999999999996</v>
      </c>
      <c r="P926" s="100">
        <v>8.3000000000000007</v>
      </c>
      <c r="Q926" s="100">
        <v>6</v>
      </c>
      <c r="R926" s="100">
        <v>4.4000000000000004</v>
      </c>
      <c r="S926" s="100">
        <v>3.5</v>
      </c>
      <c r="T926" s="100">
        <v>4</v>
      </c>
      <c r="U926" s="100">
        <v>2.5</v>
      </c>
    </row>
    <row r="927" spans="4:21">
      <c r="D927" s="97" t="s">
        <v>678</v>
      </c>
      <c r="E927" s="97" t="s">
        <v>662</v>
      </c>
      <c r="F927" s="94" t="s">
        <v>679</v>
      </c>
      <c r="G927" s="97">
        <v>10</v>
      </c>
      <c r="H927" s="98" t="s">
        <v>749</v>
      </c>
      <c r="I927" s="99" t="str">
        <f t="shared" si="14"/>
        <v>완도|10</v>
      </c>
      <c r="J927" s="100">
        <v>2</v>
      </c>
      <c r="K927" s="100">
        <v>2.6</v>
      </c>
      <c r="L927" s="100">
        <v>4.3</v>
      </c>
      <c r="M927" s="100">
        <v>5.0999999999999996</v>
      </c>
      <c r="N927" s="100">
        <v>4.2</v>
      </c>
      <c r="O927" s="100">
        <v>5.6</v>
      </c>
      <c r="P927" s="100">
        <v>6.3</v>
      </c>
      <c r="Q927" s="100">
        <v>4.5</v>
      </c>
      <c r="R927" s="100">
        <v>6.2</v>
      </c>
      <c r="S927" s="100">
        <v>2.2999999999999998</v>
      </c>
      <c r="T927" s="100">
        <v>3.4</v>
      </c>
      <c r="U927" s="100">
        <v>2</v>
      </c>
    </row>
    <row r="928" spans="4:21">
      <c r="D928" s="97" t="s">
        <v>680</v>
      </c>
      <c r="E928" s="97" t="s">
        <v>662</v>
      </c>
      <c r="F928" s="94" t="s">
        <v>681</v>
      </c>
      <c r="G928" s="97">
        <v>10</v>
      </c>
      <c r="H928" s="98" t="s">
        <v>749</v>
      </c>
      <c r="I928" s="99" t="str">
        <f t="shared" si="14"/>
        <v>장흥|10</v>
      </c>
      <c r="J928" s="100">
        <v>1.9</v>
      </c>
      <c r="K928" s="100">
        <v>2.2000000000000002</v>
      </c>
      <c r="L928" s="100">
        <v>4</v>
      </c>
      <c r="M928" s="100">
        <v>5</v>
      </c>
      <c r="N928" s="100">
        <v>4.4000000000000004</v>
      </c>
      <c r="O928" s="100">
        <v>5.3</v>
      </c>
      <c r="P928" s="100">
        <v>7.9</v>
      </c>
      <c r="Q928" s="100">
        <v>5.4</v>
      </c>
      <c r="R928" s="100">
        <v>6</v>
      </c>
      <c r="S928" s="100">
        <v>2.2999999999999998</v>
      </c>
      <c r="T928" s="100">
        <v>3</v>
      </c>
      <c r="U928" s="100">
        <v>1.5</v>
      </c>
    </row>
    <row r="929" spans="4:21">
      <c r="D929" s="97" t="s">
        <v>682</v>
      </c>
      <c r="E929" s="97" t="s">
        <v>662</v>
      </c>
      <c r="F929" s="94" t="s">
        <v>683</v>
      </c>
      <c r="G929" s="97">
        <v>10</v>
      </c>
      <c r="H929" s="98" t="s">
        <v>749</v>
      </c>
      <c r="I929" s="99" t="str">
        <f t="shared" si="14"/>
        <v>진도군|10</v>
      </c>
      <c r="J929" s="100">
        <v>2.2000000000000002</v>
      </c>
      <c r="K929" s="100">
        <v>2.6</v>
      </c>
      <c r="L929" s="100">
        <v>4</v>
      </c>
      <c r="M929" s="100">
        <v>4.8</v>
      </c>
      <c r="N929" s="100">
        <v>4</v>
      </c>
      <c r="O929" s="100">
        <v>4.4000000000000004</v>
      </c>
      <c r="P929" s="100">
        <v>7.2</v>
      </c>
      <c r="Q929" s="100">
        <v>4.3</v>
      </c>
      <c r="R929" s="100">
        <v>5.5</v>
      </c>
      <c r="S929" s="100">
        <v>2.2999999999999998</v>
      </c>
      <c r="T929" s="100">
        <v>3.3</v>
      </c>
      <c r="U929" s="100">
        <v>2.4</v>
      </c>
    </row>
    <row r="930" spans="4:21">
      <c r="D930" s="97" t="s">
        <v>684</v>
      </c>
      <c r="E930" s="97" t="s">
        <v>662</v>
      </c>
      <c r="F930" s="94" t="s">
        <v>685</v>
      </c>
      <c r="G930" s="97">
        <v>10</v>
      </c>
      <c r="H930" s="98" t="s">
        <v>749</v>
      </c>
      <c r="I930" s="99" t="str">
        <f t="shared" si="14"/>
        <v>해남|10</v>
      </c>
      <c r="J930" s="100">
        <v>1.7</v>
      </c>
      <c r="K930" s="100">
        <v>2</v>
      </c>
      <c r="L930" s="100">
        <v>3.8</v>
      </c>
      <c r="M930" s="100">
        <v>4.7</v>
      </c>
      <c r="N930" s="100">
        <v>4</v>
      </c>
      <c r="O930" s="100">
        <v>4</v>
      </c>
      <c r="P930" s="100">
        <v>6.4</v>
      </c>
      <c r="Q930" s="100">
        <v>5</v>
      </c>
      <c r="R930" s="100">
        <v>5.4</v>
      </c>
      <c r="S930" s="100">
        <v>2.4</v>
      </c>
      <c r="T930" s="100">
        <v>3</v>
      </c>
      <c r="U930" s="100">
        <v>1.7</v>
      </c>
    </row>
    <row r="931" spans="4:21">
      <c r="D931" s="97" t="s">
        <v>686</v>
      </c>
      <c r="E931" s="97" t="s">
        <v>662</v>
      </c>
      <c r="F931" s="94" t="s">
        <v>687</v>
      </c>
      <c r="G931" s="97">
        <v>10</v>
      </c>
      <c r="H931" s="98" t="s">
        <v>749</v>
      </c>
      <c r="I931" s="99" t="str">
        <f t="shared" si="14"/>
        <v>흑산도|10</v>
      </c>
      <c r="J931" s="100">
        <v>1.6</v>
      </c>
      <c r="K931" s="100">
        <v>2.1</v>
      </c>
      <c r="L931" s="100">
        <v>2.8</v>
      </c>
      <c r="M931" s="100">
        <v>4.5999999999999996</v>
      </c>
      <c r="N931" s="100">
        <v>3.9</v>
      </c>
      <c r="O931" s="100">
        <v>4</v>
      </c>
      <c r="P931" s="100">
        <v>6.6</v>
      </c>
      <c r="Q931" s="100">
        <v>4.3</v>
      </c>
      <c r="R931" s="100">
        <v>5.0999999999999996</v>
      </c>
      <c r="S931" s="100">
        <v>2.9</v>
      </c>
      <c r="T931" s="100">
        <v>3.1</v>
      </c>
      <c r="U931" s="100">
        <v>1.9</v>
      </c>
    </row>
    <row r="932" spans="4:21">
      <c r="D932" s="97" t="s">
        <v>688</v>
      </c>
      <c r="E932" s="97" t="s">
        <v>689</v>
      </c>
      <c r="F932" s="94" t="s">
        <v>690</v>
      </c>
      <c r="G932" s="97">
        <v>10</v>
      </c>
      <c r="H932" s="98" t="s">
        <v>749</v>
      </c>
      <c r="I932" s="99" t="str">
        <f t="shared" si="14"/>
        <v>고창|10</v>
      </c>
      <c r="J932" s="100">
        <v>2.8</v>
      </c>
      <c r="K932" s="100">
        <v>2.2000000000000002</v>
      </c>
      <c r="L932" s="100">
        <v>2.8</v>
      </c>
      <c r="M932" s="100">
        <v>4.0999999999999996</v>
      </c>
      <c r="N932" s="100">
        <v>3.4</v>
      </c>
      <c r="O932" s="100">
        <v>4</v>
      </c>
      <c r="P932" s="100">
        <v>8.1</v>
      </c>
      <c r="Q932" s="100">
        <v>6.7</v>
      </c>
      <c r="R932" s="100">
        <v>4.5999999999999996</v>
      </c>
      <c r="S932" s="100">
        <v>3.1</v>
      </c>
      <c r="T932" s="100">
        <v>3.1</v>
      </c>
      <c r="U932" s="100">
        <v>2.8</v>
      </c>
    </row>
    <row r="933" spans="4:21">
      <c r="D933" s="97" t="s">
        <v>691</v>
      </c>
      <c r="E933" s="97" t="s">
        <v>689</v>
      </c>
      <c r="F933" s="94" t="s">
        <v>692</v>
      </c>
      <c r="G933" s="97">
        <v>10</v>
      </c>
      <c r="H933" s="98" t="s">
        <v>749</v>
      </c>
      <c r="I933" s="99" t="str">
        <f t="shared" si="14"/>
        <v>고창군|10</v>
      </c>
      <c r="J933" s="100">
        <v>2.2000000000000002</v>
      </c>
      <c r="K933" s="100">
        <v>2</v>
      </c>
      <c r="L933" s="100">
        <v>2.7</v>
      </c>
      <c r="M933" s="100">
        <v>4.0999999999999996</v>
      </c>
      <c r="N933" s="100">
        <v>4.0999999999999996</v>
      </c>
      <c r="O933" s="100">
        <v>4.0999999999999996</v>
      </c>
      <c r="P933" s="100">
        <v>8.9</v>
      </c>
      <c r="Q933" s="100">
        <v>6.4</v>
      </c>
      <c r="R933" s="100">
        <v>4.5999999999999996</v>
      </c>
      <c r="S933" s="100">
        <v>3.2</v>
      </c>
      <c r="T933" s="100">
        <v>3.1</v>
      </c>
      <c r="U933" s="100">
        <v>2.2999999999999998</v>
      </c>
    </row>
    <row r="934" spans="4:21">
      <c r="D934" s="97" t="s">
        <v>693</v>
      </c>
      <c r="E934" s="97" t="s">
        <v>689</v>
      </c>
      <c r="F934" s="94" t="s">
        <v>694</v>
      </c>
      <c r="G934" s="97">
        <v>10</v>
      </c>
      <c r="H934" s="98" t="s">
        <v>749</v>
      </c>
      <c r="I934" s="99" t="str">
        <f t="shared" si="14"/>
        <v>군산|10</v>
      </c>
      <c r="J934" s="100">
        <v>1.8</v>
      </c>
      <c r="K934" s="100">
        <v>2.2000000000000002</v>
      </c>
      <c r="L934" s="100">
        <v>2.6</v>
      </c>
      <c r="M934" s="100">
        <v>4.3</v>
      </c>
      <c r="N934" s="100">
        <v>4.0999999999999996</v>
      </c>
      <c r="O934" s="100">
        <v>3.8</v>
      </c>
      <c r="P934" s="100">
        <v>8.6</v>
      </c>
      <c r="Q934" s="100">
        <v>6.3</v>
      </c>
      <c r="R934" s="100">
        <v>4.0999999999999996</v>
      </c>
      <c r="S934" s="100">
        <v>3</v>
      </c>
      <c r="T934" s="100">
        <v>3.4</v>
      </c>
      <c r="U934" s="100">
        <v>2</v>
      </c>
    </row>
    <row r="935" spans="4:21">
      <c r="D935" s="97" t="s">
        <v>695</v>
      </c>
      <c r="E935" s="97" t="s">
        <v>689</v>
      </c>
      <c r="F935" s="94" t="s">
        <v>696</v>
      </c>
      <c r="G935" s="97">
        <v>10</v>
      </c>
      <c r="H935" s="98" t="s">
        <v>749</v>
      </c>
      <c r="I935" s="99" t="str">
        <f t="shared" si="14"/>
        <v>남원|10</v>
      </c>
      <c r="J935" s="100">
        <v>2.2999999999999998</v>
      </c>
      <c r="K935" s="100">
        <v>2.1</v>
      </c>
      <c r="L935" s="100">
        <v>3.2</v>
      </c>
      <c r="M935" s="100">
        <v>4.7</v>
      </c>
      <c r="N935" s="100">
        <v>3.6</v>
      </c>
      <c r="O935" s="100">
        <v>5.8</v>
      </c>
      <c r="P935" s="100">
        <v>9.1999999999999993</v>
      </c>
      <c r="Q935" s="100">
        <v>7.2</v>
      </c>
      <c r="R935" s="100">
        <v>5</v>
      </c>
      <c r="S935" s="100">
        <v>3.1</v>
      </c>
      <c r="T935" s="100">
        <v>3.2</v>
      </c>
      <c r="U935" s="100">
        <v>1.9</v>
      </c>
    </row>
    <row r="936" spans="4:21">
      <c r="D936" s="97" t="s">
        <v>697</v>
      </c>
      <c r="E936" s="97" t="s">
        <v>689</v>
      </c>
      <c r="F936" s="94" t="s">
        <v>698</v>
      </c>
      <c r="G936" s="97">
        <v>10</v>
      </c>
      <c r="H936" s="98" t="s">
        <v>749</v>
      </c>
      <c r="I936" s="99" t="str">
        <f t="shared" si="14"/>
        <v>부안|10</v>
      </c>
      <c r="J936" s="100">
        <v>2.2999999999999998</v>
      </c>
      <c r="K936" s="100">
        <v>2.2999999999999998</v>
      </c>
      <c r="L936" s="100">
        <v>3</v>
      </c>
      <c r="M936" s="100">
        <v>4</v>
      </c>
      <c r="N936" s="100">
        <v>4.0999999999999996</v>
      </c>
      <c r="O936" s="100">
        <v>4.4000000000000004</v>
      </c>
      <c r="P936" s="100">
        <v>8.5</v>
      </c>
      <c r="Q936" s="100">
        <v>6.5</v>
      </c>
      <c r="R936" s="100">
        <v>4.2</v>
      </c>
      <c r="S936" s="100">
        <v>2.9</v>
      </c>
      <c r="T936" s="100">
        <v>3.6</v>
      </c>
      <c r="U936" s="100">
        <v>2.8</v>
      </c>
    </row>
    <row r="937" spans="4:21">
      <c r="D937" s="97" t="s">
        <v>699</v>
      </c>
      <c r="E937" s="97" t="s">
        <v>689</v>
      </c>
      <c r="F937" s="94" t="s">
        <v>700</v>
      </c>
      <c r="G937" s="97">
        <v>10</v>
      </c>
      <c r="H937" s="98" t="s">
        <v>749</v>
      </c>
      <c r="I937" s="99" t="str">
        <f t="shared" si="14"/>
        <v>순창군|10</v>
      </c>
      <c r="J937" s="100">
        <v>1.9</v>
      </c>
      <c r="K937" s="100">
        <v>2.6</v>
      </c>
      <c r="L937" s="100">
        <v>3.4</v>
      </c>
      <c r="M937" s="100">
        <v>4.8</v>
      </c>
      <c r="N937" s="100">
        <v>4.0999999999999996</v>
      </c>
      <c r="O937" s="100">
        <v>5.9</v>
      </c>
      <c r="P937" s="100">
        <v>9.8000000000000007</v>
      </c>
      <c r="Q937" s="100">
        <v>7.4</v>
      </c>
      <c r="R937" s="100">
        <v>5</v>
      </c>
      <c r="S937" s="100">
        <v>3.1</v>
      </c>
      <c r="T937" s="100">
        <v>3.5</v>
      </c>
      <c r="U937" s="100">
        <v>2.2999999999999998</v>
      </c>
    </row>
    <row r="938" spans="4:21">
      <c r="D938" s="97" t="s">
        <v>701</v>
      </c>
      <c r="E938" s="97" t="s">
        <v>689</v>
      </c>
      <c r="F938" s="94" t="s">
        <v>702</v>
      </c>
      <c r="G938" s="97">
        <v>10</v>
      </c>
      <c r="H938" s="98" t="s">
        <v>749</v>
      </c>
      <c r="I938" s="99" t="str">
        <f t="shared" si="14"/>
        <v>임실|10</v>
      </c>
      <c r="J938" s="100">
        <v>2</v>
      </c>
      <c r="K938" s="100">
        <v>2.2999999999999998</v>
      </c>
      <c r="L938" s="100">
        <v>3.5</v>
      </c>
      <c r="M938" s="100">
        <v>4.5999999999999996</v>
      </c>
      <c r="N938" s="100">
        <v>4.0999999999999996</v>
      </c>
      <c r="O938" s="100">
        <v>5.4</v>
      </c>
      <c r="P938" s="100">
        <v>10.3</v>
      </c>
      <c r="Q938" s="100">
        <v>7.8</v>
      </c>
      <c r="R938" s="100">
        <v>4</v>
      </c>
      <c r="S938" s="100">
        <v>3.5</v>
      </c>
      <c r="T938" s="100">
        <v>3.6</v>
      </c>
      <c r="U938" s="100">
        <v>2.4</v>
      </c>
    </row>
    <row r="939" spans="4:21">
      <c r="D939" s="97" t="s">
        <v>703</v>
      </c>
      <c r="E939" s="97" t="s">
        <v>689</v>
      </c>
      <c r="F939" s="94" t="s">
        <v>704</v>
      </c>
      <c r="G939" s="97">
        <v>10</v>
      </c>
      <c r="H939" s="98" t="s">
        <v>749</v>
      </c>
      <c r="I939" s="99" t="str">
        <f t="shared" si="14"/>
        <v>장수|10</v>
      </c>
      <c r="J939" s="100">
        <v>2.2999999999999998</v>
      </c>
      <c r="K939" s="100">
        <v>2.2999999999999998</v>
      </c>
      <c r="L939" s="100">
        <v>4</v>
      </c>
      <c r="M939" s="100">
        <v>5.0999999999999996</v>
      </c>
      <c r="N939" s="100">
        <v>4.4000000000000004</v>
      </c>
      <c r="O939" s="100">
        <v>5.8</v>
      </c>
      <c r="P939" s="100">
        <v>9.6999999999999993</v>
      </c>
      <c r="Q939" s="100">
        <v>7.8</v>
      </c>
      <c r="R939" s="100">
        <v>5.3</v>
      </c>
      <c r="S939" s="100">
        <v>4</v>
      </c>
      <c r="T939" s="100">
        <v>3.3</v>
      </c>
      <c r="U939" s="100">
        <v>2.1</v>
      </c>
    </row>
    <row r="940" spans="4:21">
      <c r="D940" s="97" t="s">
        <v>705</v>
      </c>
      <c r="E940" s="97" t="s">
        <v>689</v>
      </c>
      <c r="F940" s="94" t="s">
        <v>706</v>
      </c>
      <c r="G940" s="97">
        <v>10</v>
      </c>
      <c r="H940" s="98" t="s">
        <v>749</v>
      </c>
      <c r="I940" s="99" t="str">
        <f t="shared" si="14"/>
        <v>전주|10</v>
      </c>
      <c r="J940" s="100">
        <v>1.9</v>
      </c>
      <c r="K940" s="100">
        <v>1.9</v>
      </c>
      <c r="L940" s="100">
        <v>3.3</v>
      </c>
      <c r="M940" s="100">
        <v>4.0999999999999996</v>
      </c>
      <c r="N940" s="100">
        <v>4.3</v>
      </c>
      <c r="O940" s="100">
        <v>4.9000000000000004</v>
      </c>
      <c r="P940" s="100">
        <v>9.6</v>
      </c>
      <c r="Q940" s="100">
        <v>7.2</v>
      </c>
      <c r="R940" s="100">
        <v>4.7</v>
      </c>
      <c r="S940" s="100">
        <v>3.2</v>
      </c>
      <c r="T940" s="100">
        <v>3.2</v>
      </c>
      <c r="U940" s="100">
        <v>2</v>
      </c>
    </row>
    <row r="941" spans="4:21">
      <c r="D941" s="97" t="s">
        <v>707</v>
      </c>
      <c r="E941" s="97" t="s">
        <v>689</v>
      </c>
      <c r="F941" s="94" t="s">
        <v>708</v>
      </c>
      <c r="G941" s="97">
        <v>10</v>
      </c>
      <c r="H941" s="98" t="s">
        <v>749</v>
      </c>
      <c r="I941" s="99" t="str">
        <f t="shared" si="14"/>
        <v>정읍|10</v>
      </c>
      <c r="J941" s="100">
        <v>3</v>
      </c>
      <c r="K941" s="100">
        <v>2.5</v>
      </c>
      <c r="L941" s="100">
        <v>2.8</v>
      </c>
      <c r="M941" s="100">
        <v>4.7</v>
      </c>
      <c r="N941" s="100">
        <v>4.0999999999999996</v>
      </c>
      <c r="O941" s="100">
        <v>4.5999999999999996</v>
      </c>
      <c r="P941" s="100">
        <v>9</v>
      </c>
      <c r="Q941" s="100">
        <v>7</v>
      </c>
      <c r="R941" s="100">
        <v>4.3</v>
      </c>
      <c r="S941" s="100">
        <v>3.5</v>
      </c>
      <c r="T941" s="100">
        <v>3.5</v>
      </c>
      <c r="U941" s="100">
        <v>2.5</v>
      </c>
    </row>
    <row r="942" spans="4:21">
      <c r="D942" s="97" t="s">
        <v>709</v>
      </c>
      <c r="E942" s="97" t="s">
        <v>710</v>
      </c>
      <c r="F942" s="94" t="s">
        <v>711</v>
      </c>
      <c r="G942" s="97">
        <v>10</v>
      </c>
      <c r="H942" s="98" t="s">
        <v>749</v>
      </c>
      <c r="I942" s="99" t="str">
        <f t="shared" si="14"/>
        <v>고산|10</v>
      </c>
      <c r="J942" s="100">
        <v>2.9</v>
      </c>
      <c r="K942" s="100">
        <v>2.6</v>
      </c>
      <c r="L942" s="100">
        <v>4.5</v>
      </c>
      <c r="M942" s="100">
        <v>4.7</v>
      </c>
      <c r="N942" s="100">
        <v>4.9000000000000004</v>
      </c>
      <c r="O942" s="100">
        <v>5.6</v>
      </c>
      <c r="P942" s="100">
        <v>4.8</v>
      </c>
      <c r="Q942" s="100">
        <v>4.9000000000000004</v>
      </c>
      <c r="R942" s="100">
        <v>6.7</v>
      </c>
      <c r="S942" s="100">
        <v>2.6</v>
      </c>
      <c r="T942" s="100">
        <v>3.1</v>
      </c>
      <c r="U942" s="100">
        <v>2.6</v>
      </c>
    </row>
    <row r="943" spans="4:21">
      <c r="D943" s="97" t="s">
        <v>712</v>
      </c>
      <c r="E943" s="97" t="s">
        <v>710</v>
      </c>
      <c r="F943" s="94" t="s">
        <v>713</v>
      </c>
      <c r="G943" s="97">
        <v>10</v>
      </c>
      <c r="H943" s="98" t="s">
        <v>749</v>
      </c>
      <c r="I943" s="99" t="str">
        <f t="shared" si="14"/>
        <v>서귀포|10</v>
      </c>
      <c r="J943" s="100">
        <v>3.1</v>
      </c>
      <c r="K943" s="100">
        <v>3.5</v>
      </c>
      <c r="L943" s="100">
        <v>5.2</v>
      </c>
      <c r="M943" s="100">
        <v>5.8</v>
      </c>
      <c r="N943" s="100">
        <v>5.9</v>
      </c>
      <c r="O943" s="100">
        <v>6.8</v>
      </c>
      <c r="P943" s="100">
        <v>6.5</v>
      </c>
      <c r="Q943" s="100">
        <v>6.4</v>
      </c>
      <c r="R943" s="100">
        <v>8</v>
      </c>
      <c r="S943" s="100">
        <v>3.6</v>
      </c>
      <c r="T943" s="100">
        <v>3.6</v>
      </c>
      <c r="U943" s="100">
        <v>2</v>
      </c>
    </row>
    <row r="944" spans="4:21">
      <c r="D944" s="97" t="s">
        <v>714</v>
      </c>
      <c r="E944" s="97" t="s">
        <v>710</v>
      </c>
      <c r="F944" s="94" t="s">
        <v>715</v>
      </c>
      <c r="G944" s="97">
        <v>10</v>
      </c>
      <c r="H944" s="98" t="s">
        <v>749</v>
      </c>
      <c r="I944" s="99" t="str">
        <f t="shared" si="14"/>
        <v>성산|10</v>
      </c>
      <c r="J944" s="100">
        <v>4.4000000000000004</v>
      </c>
      <c r="K944" s="100">
        <v>4.8</v>
      </c>
      <c r="L944" s="100">
        <v>5.9</v>
      </c>
      <c r="M944" s="100">
        <v>5.9</v>
      </c>
      <c r="N944" s="100">
        <v>5.3</v>
      </c>
      <c r="O944" s="100">
        <v>6.4</v>
      </c>
      <c r="P944" s="100">
        <v>6.8</v>
      </c>
      <c r="Q944" s="100">
        <v>6.9</v>
      </c>
      <c r="R944" s="100">
        <v>7.3</v>
      </c>
      <c r="S944" s="100">
        <v>4</v>
      </c>
      <c r="T944" s="100">
        <v>4.7</v>
      </c>
      <c r="U944" s="100">
        <v>3.1</v>
      </c>
    </row>
    <row r="945" spans="4:21">
      <c r="D945" s="97" t="s">
        <v>716</v>
      </c>
      <c r="E945" s="97" t="s">
        <v>710</v>
      </c>
      <c r="F945" s="94" t="s">
        <v>717</v>
      </c>
      <c r="G945" s="97">
        <v>10</v>
      </c>
      <c r="H945" s="98" t="s">
        <v>749</v>
      </c>
      <c r="I945" s="99" t="str">
        <f t="shared" si="14"/>
        <v>제주|10</v>
      </c>
      <c r="J945" s="100">
        <v>3.4</v>
      </c>
      <c r="K945" s="100">
        <v>3.6</v>
      </c>
      <c r="L945" s="100">
        <v>4.5</v>
      </c>
      <c r="M945" s="100">
        <v>5.0999999999999996</v>
      </c>
      <c r="N945" s="100">
        <v>3.8</v>
      </c>
      <c r="O945" s="100">
        <v>5.3</v>
      </c>
      <c r="P945" s="100">
        <v>5.2</v>
      </c>
      <c r="Q945" s="100">
        <v>4.4000000000000004</v>
      </c>
      <c r="R945" s="100">
        <v>7.1</v>
      </c>
      <c r="S945" s="100">
        <v>3.8</v>
      </c>
      <c r="T945" s="100">
        <v>3.9</v>
      </c>
      <c r="U945" s="100">
        <v>3.1</v>
      </c>
    </row>
    <row r="946" spans="4:21">
      <c r="D946" s="97" t="s">
        <v>718</v>
      </c>
      <c r="E946" s="97" t="s">
        <v>719</v>
      </c>
      <c r="F946" s="94" t="s">
        <v>720</v>
      </c>
      <c r="G946" s="97">
        <v>10</v>
      </c>
      <c r="H946" s="98" t="s">
        <v>749</v>
      </c>
      <c r="I946" s="99" t="str">
        <f t="shared" si="14"/>
        <v>금산|10</v>
      </c>
      <c r="J946" s="100">
        <v>1.7</v>
      </c>
      <c r="K946" s="100">
        <v>1.9</v>
      </c>
      <c r="L946" s="100">
        <v>3.2</v>
      </c>
      <c r="M946" s="100">
        <v>5</v>
      </c>
      <c r="N946" s="100">
        <v>3.9</v>
      </c>
      <c r="O946" s="100">
        <v>4.7</v>
      </c>
      <c r="P946" s="100">
        <v>9.1999999999999993</v>
      </c>
      <c r="Q946" s="100">
        <v>7.2</v>
      </c>
      <c r="R946" s="100">
        <v>4.5999999999999996</v>
      </c>
      <c r="S946" s="100">
        <v>3.4</v>
      </c>
      <c r="T946" s="100">
        <v>3</v>
      </c>
      <c r="U946" s="100">
        <v>1.8</v>
      </c>
    </row>
    <row r="947" spans="4:21">
      <c r="D947" s="97" t="s">
        <v>721</v>
      </c>
      <c r="E947" s="97" t="s">
        <v>719</v>
      </c>
      <c r="F947" s="94" t="s">
        <v>722</v>
      </c>
      <c r="G947" s="97">
        <v>10</v>
      </c>
      <c r="H947" s="98" t="s">
        <v>749</v>
      </c>
      <c r="I947" s="99" t="str">
        <f t="shared" si="14"/>
        <v>보령|10</v>
      </c>
      <c r="J947" s="100">
        <v>1.1000000000000001</v>
      </c>
      <c r="K947" s="100">
        <v>2.1</v>
      </c>
      <c r="L947" s="100">
        <v>2.1</v>
      </c>
      <c r="M947" s="100">
        <v>4</v>
      </c>
      <c r="N947" s="100">
        <v>4.3</v>
      </c>
      <c r="O947" s="100">
        <v>3.6</v>
      </c>
      <c r="P947" s="100">
        <v>8</v>
      </c>
      <c r="Q947" s="100">
        <v>6.1</v>
      </c>
      <c r="R947" s="100">
        <v>3.9</v>
      </c>
      <c r="S947" s="100">
        <v>3</v>
      </c>
      <c r="T947" s="100">
        <v>3</v>
      </c>
      <c r="U947" s="100">
        <v>2</v>
      </c>
    </row>
    <row r="948" spans="4:21">
      <c r="D948" s="97" t="s">
        <v>723</v>
      </c>
      <c r="E948" s="97" t="s">
        <v>719</v>
      </c>
      <c r="F948" s="94" t="s">
        <v>724</v>
      </c>
      <c r="G948" s="97">
        <v>10</v>
      </c>
      <c r="H948" s="98" t="s">
        <v>749</v>
      </c>
      <c r="I948" s="99" t="str">
        <f t="shared" si="14"/>
        <v>부여|10</v>
      </c>
      <c r="J948" s="100">
        <v>1.4</v>
      </c>
      <c r="K948" s="100">
        <v>2.2000000000000002</v>
      </c>
      <c r="L948" s="100">
        <v>2.6</v>
      </c>
      <c r="M948" s="100">
        <v>4.3</v>
      </c>
      <c r="N948" s="100">
        <v>4.3</v>
      </c>
      <c r="O948" s="100">
        <v>4</v>
      </c>
      <c r="P948" s="100">
        <v>8.8000000000000007</v>
      </c>
      <c r="Q948" s="100">
        <v>6.8</v>
      </c>
      <c r="R948" s="100">
        <v>4.2</v>
      </c>
      <c r="S948" s="100">
        <v>3.1</v>
      </c>
      <c r="T948" s="100">
        <v>2.6</v>
      </c>
      <c r="U948" s="100">
        <v>2</v>
      </c>
    </row>
    <row r="949" spans="4:21">
      <c r="D949" s="97" t="s">
        <v>91</v>
      </c>
      <c r="E949" s="97" t="s">
        <v>719</v>
      </c>
      <c r="F949" s="94" t="s">
        <v>725</v>
      </c>
      <c r="G949" s="97">
        <v>10</v>
      </c>
      <c r="H949" s="98" t="s">
        <v>749</v>
      </c>
      <c r="I949" s="99" t="str">
        <f t="shared" si="14"/>
        <v>서산|10</v>
      </c>
      <c r="J949" s="100">
        <v>1.2</v>
      </c>
      <c r="K949" s="100">
        <v>2.1</v>
      </c>
      <c r="L949" s="100">
        <v>1.9</v>
      </c>
      <c r="M949" s="100">
        <v>3.2</v>
      </c>
      <c r="N949" s="100">
        <v>4.2</v>
      </c>
      <c r="O949" s="100">
        <v>3.4</v>
      </c>
      <c r="P949" s="100">
        <v>7.4</v>
      </c>
      <c r="Q949" s="100">
        <v>6.9</v>
      </c>
      <c r="R949" s="100">
        <v>4.0999999999999996</v>
      </c>
      <c r="S949" s="100">
        <v>3.3</v>
      </c>
      <c r="T949" s="100">
        <v>4.4000000000000004</v>
      </c>
      <c r="U949" s="100">
        <v>2.6</v>
      </c>
    </row>
    <row r="950" spans="4:21">
      <c r="D950" s="97" t="s">
        <v>726</v>
      </c>
      <c r="E950" s="97" t="s">
        <v>719</v>
      </c>
      <c r="F950" s="94" t="s">
        <v>727</v>
      </c>
      <c r="G950" s="97">
        <v>10</v>
      </c>
      <c r="H950" s="98" t="s">
        <v>749</v>
      </c>
      <c r="I950" s="99" t="str">
        <f t="shared" si="14"/>
        <v>천안|10</v>
      </c>
      <c r="J950" s="100">
        <v>1.1000000000000001</v>
      </c>
      <c r="K950" s="100">
        <v>2.2000000000000002</v>
      </c>
      <c r="L950" s="100">
        <v>2.1</v>
      </c>
      <c r="M950" s="100">
        <v>3.7</v>
      </c>
      <c r="N950" s="100">
        <v>4.0999999999999996</v>
      </c>
      <c r="O950" s="100">
        <v>2.9</v>
      </c>
      <c r="P950" s="100">
        <v>8.1999999999999993</v>
      </c>
      <c r="Q950" s="100">
        <v>7.8</v>
      </c>
      <c r="R950" s="100">
        <v>3.9</v>
      </c>
      <c r="S950" s="100">
        <v>2.9</v>
      </c>
      <c r="T950" s="100">
        <v>3.5</v>
      </c>
      <c r="U950" s="100">
        <v>1.8</v>
      </c>
    </row>
    <row r="951" spans="4:21">
      <c r="D951" s="97" t="s">
        <v>728</v>
      </c>
      <c r="E951" s="97" t="s">
        <v>719</v>
      </c>
      <c r="F951" s="94" t="s">
        <v>729</v>
      </c>
      <c r="G951" s="97">
        <v>10</v>
      </c>
      <c r="H951" s="98" t="s">
        <v>749</v>
      </c>
      <c r="I951" s="99" t="str">
        <f t="shared" si="14"/>
        <v>홍성|10</v>
      </c>
      <c r="J951" s="100">
        <v>1</v>
      </c>
      <c r="K951" s="100">
        <v>2.2000000000000002</v>
      </c>
      <c r="L951" s="100">
        <v>2.2999999999999998</v>
      </c>
      <c r="M951" s="100">
        <v>3.2</v>
      </c>
      <c r="N951" s="100">
        <v>4.2</v>
      </c>
      <c r="O951" s="100">
        <v>3.1</v>
      </c>
      <c r="P951" s="100">
        <v>7.8</v>
      </c>
      <c r="Q951" s="100">
        <v>7.8</v>
      </c>
      <c r="R951" s="100">
        <v>4.5999999999999996</v>
      </c>
      <c r="S951" s="100">
        <v>3.3</v>
      </c>
      <c r="T951" s="100">
        <v>3.6</v>
      </c>
      <c r="U951" s="100">
        <v>2.2000000000000002</v>
      </c>
    </row>
    <row r="952" spans="4:21">
      <c r="D952" s="97" t="s">
        <v>730</v>
      </c>
      <c r="E952" s="97" t="s">
        <v>731</v>
      </c>
      <c r="F952" s="94" t="s">
        <v>732</v>
      </c>
      <c r="G952" s="97">
        <v>10</v>
      </c>
      <c r="H952" s="98" t="s">
        <v>749</v>
      </c>
      <c r="I952" s="99" t="str">
        <f t="shared" si="14"/>
        <v>보은|10</v>
      </c>
      <c r="J952" s="100">
        <v>1.4</v>
      </c>
      <c r="K952" s="100">
        <v>1.7</v>
      </c>
      <c r="L952" s="100">
        <v>3</v>
      </c>
      <c r="M952" s="100">
        <v>4.5999999999999996</v>
      </c>
      <c r="N952" s="100">
        <v>3.9</v>
      </c>
      <c r="O952" s="100">
        <v>3.9</v>
      </c>
      <c r="P952" s="100">
        <v>10.5</v>
      </c>
      <c r="Q952" s="100">
        <v>8.1999999999999993</v>
      </c>
      <c r="R952" s="100">
        <v>4.4000000000000004</v>
      </c>
      <c r="S952" s="100">
        <v>3.2</v>
      </c>
      <c r="T952" s="100">
        <v>2.5</v>
      </c>
      <c r="U952" s="100">
        <v>1.8</v>
      </c>
    </row>
    <row r="953" spans="4:21">
      <c r="D953" s="97" t="s">
        <v>733</v>
      </c>
      <c r="E953" s="97" t="s">
        <v>731</v>
      </c>
      <c r="F953" s="94" t="s">
        <v>734</v>
      </c>
      <c r="G953" s="97">
        <v>10</v>
      </c>
      <c r="H953" s="98" t="s">
        <v>749</v>
      </c>
      <c r="I953" s="99" t="str">
        <f t="shared" si="14"/>
        <v>제천|10</v>
      </c>
      <c r="J953" s="100">
        <v>0.6</v>
      </c>
      <c r="K953" s="100">
        <v>2</v>
      </c>
      <c r="L953" s="100">
        <v>2.8</v>
      </c>
      <c r="M953" s="100">
        <v>4.4000000000000004</v>
      </c>
      <c r="N953" s="100">
        <v>4.5</v>
      </c>
      <c r="O953" s="100">
        <v>4.8</v>
      </c>
      <c r="P953" s="100">
        <v>9.1999999999999993</v>
      </c>
      <c r="Q953" s="100">
        <v>7.5</v>
      </c>
      <c r="R953" s="100">
        <v>4.8</v>
      </c>
      <c r="S953" s="100">
        <v>3.2</v>
      </c>
      <c r="T953" s="100">
        <v>3.4</v>
      </c>
      <c r="U953" s="100">
        <v>1.6</v>
      </c>
    </row>
    <row r="954" spans="4:21">
      <c r="D954" s="97" t="s">
        <v>735</v>
      </c>
      <c r="E954" s="97" t="s">
        <v>731</v>
      </c>
      <c r="F954" s="94" t="s">
        <v>736</v>
      </c>
      <c r="G954" s="97">
        <v>10</v>
      </c>
      <c r="H954" s="98" t="s">
        <v>749</v>
      </c>
      <c r="I954" s="99" t="str">
        <f t="shared" si="14"/>
        <v>청주|10</v>
      </c>
      <c r="J954" s="100">
        <v>1</v>
      </c>
      <c r="K954" s="100">
        <v>2</v>
      </c>
      <c r="L954" s="100">
        <v>2.5</v>
      </c>
      <c r="M954" s="100">
        <v>4</v>
      </c>
      <c r="N954" s="100">
        <v>3.7</v>
      </c>
      <c r="O954" s="100">
        <v>3.3</v>
      </c>
      <c r="P954" s="100">
        <v>9.9</v>
      </c>
      <c r="Q954" s="100">
        <v>7.6</v>
      </c>
      <c r="R954" s="100">
        <v>4.4000000000000004</v>
      </c>
      <c r="S954" s="100">
        <v>3.2</v>
      </c>
      <c r="T954" s="100">
        <v>3.2</v>
      </c>
      <c r="U954" s="100">
        <v>1.6</v>
      </c>
    </row>
    <row r="955" spans="4:21">
      <c r="D955" s="97" t="s">
        <v>737</v>
      </c>
      <c r="E955" s="97" t="s">
        <v>731</v>
      </c>
      <c r="F955" s="94" t="s">
        <v>738</v>
      </c>
      <c r="G955" s="97">
        <v>10</v>
      </c>
      <c r="H955" s="98" t="s">
        <v>749</v>
      </c>
      <c r="I955" s="99" t="str">
        <f t="shared" si="14"/>
        <v>추풍령|10</v>
      </c>
      <c r="J955" s="100">
        <v>1.1000000000000001</v>
      </c>
      <c r="K955" s="100">
        <v>1.9</v>
      </c>
      <c r="L955" s="100">
        <v>3.3</v>
      </c>
      <c r="M955" s="100">
        <v>4.7</v>
      </c>
      <c r="N955" s="100">
        <v>3.9</v>
      </c>
      <c r="O955" s="100">
        <v>4.5999999999999996</v>
      </c>
      <c r="P955" s="100">
        <v>9.1999999999999993</v>
      </c>
      <c r="Q955" s="100">
        <v>6.7</v>
      </c>
      <c r="R955" s="100">
        <v>4.2</v>
      </c>
      <c r="S955" s="100">
        <v>3.1</v>
      </c>
      <c r="T955" s="100">
        <v>2.7</v>
      </c>
      <c r="U955" s="100">
        <v>1.3</v>
      </c>
    </row>
    <row r="956" spans="4:21">
      <c r="D956" s="97" t="s">
        <v>739</v>
      </c>
      <c r="E956" s="97" t="s">
        <v>731</v>
      </c>
      <c r="F956" s="94" t="s">
        <v>740</v>
      </c>
      <c r="G956" s="97">
        <v>10</v>
      </c>
      <c r="H956" s="98" t="s">
        <v>749</v>
      </c>
      <c r="I956" s="99" t="str">
        <f t="shared" si="14"/>
        <v>충주|10</v>
      </c>
      <c r="J956" s="100">
        <v>1</v>
      </c>
      <c r="K956" s="100">
        <v>2</v>
      </c>
      <c r="L956" s="100">
        <v>2.8</v>
      </c>
      <c r="M956" s="100">
        <v>4.4000000000000004</v>
      </c>
      <c r="N956" s="100">
        <v>4.4000000000000004</v>
      </c>
      <c r="O956" s="100">
        <v>3.7</v>
      </c>
      <c r="P956" s="100">
        <v>10</v>
      </c>
      <c r="Q956" s="100">
        <v>8</v>
      </c>
      <c r="R956" s="100">
        <v>4.0999999999999996</v>
      </c>
      <c r="S956" s="100">
        <v>3.3</v>
      </c>
      <c r="T956" s="100">
        <v>3.1</v>
      </c>
      <c r="U956" s="100">
        <v>2.1</v>
      </c>
    </row>
    <row r="957" spans="4:21">
      <c r="D957" s="97" t="s">
        <v>535</v>
      </c>
      <c r="E957" s="97" t="s">
        <v>536</v>
      </c>
      <c r="F957" s="94" t="s">
        <v>537</v>
      </c>
      <c r="G957" s="97">
        <v>11</v>
      </c>
      <c r="H957" s="98" t="s">
        <v>750</v>
      </c>
      <c r="I957" s="99" t="str">
        <f t="shared" si="14"/>
        <v>강릉|11</v>
      </c>
      <c r="J957" s="100">
        <v>1.1000000000000001</v>
      </c>
      <c r="K957" s="100">
        <v>1.3</v>
      </c>
      <c r="L957" s="100">
        <v>1.7</v>
      </c>
      <c r="M957" s="100">
        <v>2.5</v>
      </c>
      <c r="N957" s="100">
        <v>1.9</v>
      </c>
      <c r="O957" s="100">
        <v>2.7</v>
      </c>
      <c r="P957" s="100">
        <v>5.4</v>
      </c>
      <c r="Q957" s="100">
        <v>6</v>
      </c>
      <c r="R957" s="100">
        <v>4.7</v>
      </c>
      <c r="S957" s="100">
        <v>3</v>
      </c>
      <c r="T957" s="100">
        <v>2.2000000000000002</v>
      </c>
      <c r="U957" s="100">
        <v>1.5</v>
      </c>
    </row>
    <row r="958" spans="4:21">
      <c r="D958" s="97" t="s">
        <v>539</v>
      </c>
      <c r="E958" s="97" t="s">
        <v>536</v>
      </c>
      <c r="F958" s="94" t="s">
        <v>540</v>
      </c>
      <c r="G958" s="97">
        <v>11</v>
      </c>
      <c r="H958" s="98" t="s">
        <v>750</v>
      </c>
      <c r="I958" s="99" t="str">
        <f t="shared" si="14"/>
        <v>대관령|11</v>
      </c>
      <c r="J958" s="100">
        <v>0.7</v>
      </c>
      <c r="K958" s="100">
        <v>0.9</v>
      </c>
      <c r="L958" s="100">
        <v>1.7</v>
      </c>
      <c r="M958" s="100">
        <v>2.2999999999999998</v>
      </c>
      <c r="N958" s="100">
        <v>2</v>
      </c>
      <c r="O958" s="100">
        <v>3.4</v>
      </c>
      <c r="P958" s="100">
        <v>6.4</v>
      </c>
      <c r="Q958" s="100">
        <v>5.9</v>
      </c>
      <c r="R958" s="100">
        <v>4.2</v>
      </c>
      <c r="S958" s="100">
        <v>2</v>
      </c>
      <c r="T958" s="100">
        <v>1.8</v>
      </c>
      <c r="U958" s="100">
        <v>0.8</v>
      </c>
    </row>
    <row r="959" spans="4:21">
      <c r="D959" s="97" t="s">
        <v>541</v>
      </c>
      <c r="E959" s="97" t="s">
        <v>536</v>
      </c>
      <c r="F959" s="94" t="s">
        <v>542</v>
      </c>
      <c r="G959" s="97">
        <v>11</v>
      </c>
      <c r="H959" s="98" t="s">
        <v>750</v>
      </c>
      <c r="I959" s="99" t="str">
        <f t="shared" si="14"/>
        <v>동해|11</v>
      </c>
      <c r="J959" s="100">
        <v>0.8</v>
      </c>
      <c r="K959" s="100">
        <v>1.5</v>
      </c>
      <c r="L959" s="100">
        <v>2</v>
      </c>
      <c r="M959" s="100">
        <v>2.2000000000000002</v>
      </c>
      <c r="N959" s="100">
        <v>1.6</v>
      </c>
      <c r="O959" s="100">
        <v>2.2999999999999998</v>
      </c>
      <c r="P959" s="100">
        <v>4.5</v>
      </c>
      <c r="Q959" s="100">
        <v>5.2</v>
      </c>
      <c r="R959" s="100">
        <v>4.8</v>
      </c>
      <c r="S959" s="100">
        <v>3</v>
      </c>
      <c r="T959" s="100">
        <v>2</v>
      </c>
      <c r="U959" s="100">
        <v>1</v>
      </c>
    </row>
    <row r="960" spans="4:21">
      <c r="D960" s="97" t="s">
        <v>543</v>
      </c>
      <c r="E960" s="97" t="s">
        <v>536</v>
      </c>
      <c r="F960" s="94" t="s">
        <v>544</v>
      </c>
      <c r="G960" s="97">
        <v>11</v>
      </c>
      <c r="H960" s="98" t="s">
        <v>750</v>
      </c>
      <c r="I960" s="99" t="str">
        <f t="shared" si="14"/>
        <v>북강릉|11</v>
      </c>
      <c r="J960" s="100">
        <v>1.4</v>
      </c>
      <c r="K960" s="100">
        <v>1.4</v>
      </c>
      <c r="L960" s="100">
        <v>1.6</v>
      </c>
      <c r="M960" s="100">
        <v>2.5</v>
      </c>
      <c r="N960" s="100">
        <v>1.7</v>
      </c>
      <c r="O960" s="100">
        <v>2.7</v>
      </c>
      <c r="P960" s="100">
        <v>5.0999999999999996</v>
      </c>
      <c r="Q960" s="100">
        <v>5.9</v>
      </c>
      <c r="R960" s="100">
        <v>4.4000000000000004</v>
      </c>
      <c r="S960" s="100">
        <v>3.4</v>
      </c>
      <c r="T960" s="100">
        <v>2.2000000000000002</v>
      </c>
      <c r="U960" s="100">
        <v>1.4</v>
      </c>
    </row>
    <row r="961" spans="4:21">
      <c r="D961" s="97" t="s">
        <v>545</v>
      </c>
      <c r="E961" s="97" t="s">
        <v>536</v>
      </c>
      <c r="F961" s="94" t="s">
        <v>546</v>
      </c>
      <c r="G961" s="97">
        <v>11</v>
      </c>
      <c r="H961" s="98" t="s">
        <v>750</v>
      </c>
      <c r="I961" s="99" t="str">
        <f t="shared" si="14"/>
        <v>북춘천|11</v>
      </c>
      <c r="J961" s="100">
        <v>0.4</v>
      </c>
      <c r="K961" s="100">
        <v>0.8</v>
      </c>
      <c r="L961" s="100">
        <v>1.1000000000000001</v>
      </c>
      <c r="M961" s="100">
        <v>1.8</v>
      </c>
      <c r="N961" s="100">
        <v>3.3</v>
      </c>
      <c r="O961" s="100">
        <v>4.0999999999999996</v>
      </c>
      <c r="P961" s="100">
        <v>7.4</v>
      </c>
      <c r="Q961" s="100">
        <v>6.4</v>
      </c>
      <c r="R961" s="100">
        <v>4.3</v>
      </c>
      <c r="S961" s="100">
        <v>2</v>
      </c>
      <c r="T961" s="100">
        <v>1.4</v>
      </c>
      <c r="U961" s="100">
        <v>0.8</v>
      </c>
    </row>
    <row r="962" spans="4:21">
      <c r="D962" s="97" t="s">
        <v>547</v>
      </c>
      <c r="E962" s="97" t="s">
        <v>536</v>
      </c>
      <c r="F962" s="94" t="s">
        <v>548</v>
      </c>
      <c r="G962" s="97">
        <v>11</v>
      </c>
      <c r="H962" s="98" t="s">
        <v>750</v>
      </c>
      <c r="I962" s="99" t="str">
        <f t="shared" si="14"/>
        <v>속초|11</v>
      </c>
      <c r="J962" s="100">
        <v>1.2</v>
      </c>
      <c r="K962" s="100">
        <v>1.2</v>
      </c>
      <c r="L962" s="100">
        <v>1.5</v>
      </c>
      <c r="M962" s="100">
        <v>3</v>
      </c>
      <c r="N962" s="100">
        <v>1.7</v>
      </c>
      <c r="O962" s="100">
        <v>3.3</v>
      </c>
      <c r="P962" s="100">
        <v>5.3</v>
      </c>
      <c r="Q962" s="100">
        <v>6.7</v>
      </c>
      <c r="R962" s="100">
        <v>4</v>
      </c>
      <c r="S962" s="100">
        <v>3.6</v>
      </c>
      <c r="T962" s="100">
        <v>2.7</v>
      </c>
      <c r="U962" s="100">
        <v>1.4</v>
      </c>
    </row>
    <row r="963" spans="4:21">
      <c r="D963" s="97" t="s">
        <v>549</v>
      </c>
      <c r="E963" s="97" t="s">
        <v>536</v>
      </c>
      <c r="F963" s="94" t="s">
        <v>550</v>
      </c>
      <c r="G963" s="97">
        <v>11</v>
      </c>
      <c r="H963" s="98" t="s">
        <v>750</v>
      </c>
      <c r="I963" s="99" t="str">
        <f t="shared" si="14"/>
        <v>영월|11</v>
      </c>
      <c r="J963" s="100">
        <v>0.2</v>
      </c>
      <c r="K963" s="100">
        <v>1.2</v>
      </c>
      <c r="L963" s="100">
        <v>1.3</v>
      </c>
      <c r="M963" s="100">
        <v>2</v>
      </c>
      <c r="N963" s="100">
        <v>2.2999999999999998</v>
      </c>
      <c r="O963" s="100">
        <v>3.2</v>
      </c>
      <c r="P963" s="100">
        <v>7.4</v>
      </c>
      <c r="Q963" s="100">
        <v>6.4</v>
      </c>
      <c r="R963" s="100">
        <v>3.4</v>
      </c>
      <c r="S963" s="100">
        <v>2.2000000000000002</v>
      </c>
      <c r="T963" s="100">
        <v>1.6</v>
      </c>
      <c r="U963" s="100">
        <v>0.8</v>
      </c>
    </row>
    <row r="964" spans="4:21">
      <c r="D964" s="97" t="s">
        <v>551</v>
      </c>
      <c r="E964" s="97" t="s">
        <v>536</v>
      </c>
      <c r="F964" s="94" t="s">
        <v>552</v>
      </c>
      <c r="G964" s="97">
        <v>11</v>
      </c>
      <c r="H964" s="98" t="s">
        <v>750</v>
      </c>
      <c r="I964" s="99" t="str">
        <f t="shared" si="14"/>
        <v>원주|11</v>
      </c>
      <c r="J964" s="100">
        <v>0.2</v>
      </c>
      <c r="K964" s="100">
        <v>1</v>
      </c>
      <c r="L964" s="100">
        <v>1</v>
      </c>
      <c r="M964" s="100">
        <v>2.2999999999999998</v>
      </c>
      <c r="N964" s="100">
        <v>2.9</v>
      </c>
      <c r="O964" s="100">
        <v>2.8</v>
      </c>
      <c r="P964" s="100">
        <v>7.1</v>
      </c>
      <c r="Q964" s="100">
        <v>6.3</v>
      </c>
      <c r="R964" s="100">
        <v>3.5</v>
      </c>
      <c r="S964" s="100">
        <v>1.8</v>
      </c>
      <c r="T964" s="100">
        <v>1.7</v>
      </c>
      <c r="U964" s="100">
        <v>0.9</v>
      </c>
    </row>
    <row r="965" spans="4:21">
      <c r="D965" s="97" t="s">
        <v>553</v>
      </c>
      <c r="E965" s="97" t="s">
        <v>536</v>
      </c>
      <c r="F965" s="94" t="s">
        <v>554</v>
      </c>
      <c r="G965" s="97">
        <v>11</v>
      </c>
      <c r="H965" s="98" t="s">
        <v>750</v>
      </c>
      <c r="I965" s="99" t="str">
        <f t="shared" si="14"/>
        <v>인제|11</v>
      </c>
      <c r="J965" s="100">
        <v>0.3</v>
      </c>
      <c r="K965" s="100">
        <v>0.7</v>
      </c>
      <c r="L965" s="100">
        <v>0.9</v>
      </c>
      <c r="M965" s="100">
        <v>2.4</v>
      </c>
      <c r="N965" s="100">
        <v>2.9</v>
      </c>
      <c r="O965" s="100">
        <v>3.6</v>
      </c>
      <c r="P965" s="100">
        <v>6.8</v>
      </c>
      <c r="Q965" s="100">
        <v>6.3</v>
      </c>
      <c r="R965" s="100">
        <v>3.6</v>
      </c>
      <c r="S965" s="100">
        <v>1.7</v>
      </c>
      <c r="T965" s="100">
        <v>1.8</v>
      </c>
      <c r="U965" s="100">
        <v>0.5</v>
      </c>
    </row>
    <row r="966" spans="4:21">
      <c r="D966" s="97" t="s">
        <v>555</v>
      </c>
      <c r="E966" s="97" t="s">
        <v>536</v>
      </c>
      <c r="F966" s="94" t="s">
        <v>556</v>
      </c>
      <c r="G966" s="97">
        <v>11</v>
      </c>
      <c r="H966" s="98" t="s">
        <v>750</v>
      </c>
      <c r="I966" s="99" t="str">
        <f t="shared" si="14"/>
        <v>정선군|11</v>
      </c>
      <c r="J966" s="100">
        <v>0.3</v>
      </c>
      <c r="K966" s="100">
        <v>1.2</v>
      </c>
      <c r="L966" s="100">
        <v>1.6</v>
      </c>
      <c r="M966" s="100">
        <v>2.9</v>
      </c>
      <c r="N966" s="100">
        <v>2.7</v>
      </c>
      <c r="O966" s="100">
        <v>3.7</v>
      </c>
      <c r="P966" s="100">
        <v>7.2</v>
      </c>
      <c r="Q966" s="100">
        <v>6.5</v>
      </c>
      <c r="R966" s="100">
        <v>3.8</v>
      </c>
      <c r="S966" s="100">
        <v>1.5</v>
      </c>
      <c r="T966" s="100">
        <v>2</v>
      </c>
      <c r="U966" s="100">
        <v>0.9</v>
      </c>
    </row>
    <row r="967" spans="4:21">
      <c r="D967" s="97" t="s">
        <v>557</v>
      </c>
      <c r="E967" s="97" t="s">
        <v>536</v>
      </c>
      <c r="F967" s="94" t="s">
        <v>558</v>
      </c>
      <c r="G967" s="97">
        <v>11</v>
      </c>
      <c r="H967" s="98" t="s">
        <v>750</v>
      </c>
      <c r="I967" s="99" t="str">
        <f t="shared" ref="I967:I1030" si="15">$D967&amp;"|"&amp;$G967</f>
        <v>철원|11</v>
      </c>
      <c r="J967" s="100">
        <v>0.3</v>
      </c>
      <c r="K967" s="100">
        <v>1</v>
      </c>
      <c r="L967" s="100">
        <v>1</v>
      </c>
      <c r="M967" s="100">
        <v>2.2999999999999998</v>
      </c>
      <c r="N967" s="100">
        <v>3.4</v>
      </c>
      <c r="O967" s="100">
        <v>3.6</v>
      </c>
      <c r="P967" s="100">
        <v>7.1</v>
      </c>
      <c r="Q967" s="100">
        <v>6.1</v>
      </c>
      <c r="R967" s="100">
        <v>2.8</v>
      </c>
      <c r="S967" s="100">
        <v>2</v>
      </c>
      <c r="T967" s="100">
        <v>1.9</v>
      </c>
      <c r="U967" s="100">
        <v>0.6</v>
      </c>
    </row>
    <row r="968" spans="4:21">
      <c r="D968" s="97" t="s">
        <v>559</v>
      </c>
      <c r="E968" s="97" t="s">
        <v>536</v>
      </c>
      <c r="F968" s="94" t="s">
        <v>560</v>
      </c>
      <c r="G968" s="97">
        <v>11</v>
      </c>
      <c r="H968" s="98" t="s">
        <v>750</v>
      </c>
      <c r="I968" s="99" t="str">
        <f t="shared" si="15"/>
        <v>춘천|11</v>
      </c>
      <c r="J968" s="100">
        <v>0.4</v>
      </c>
      <c r="K968" s="100">
        <v>0.9</v>
      </c>
      <c r="L968" s="100">
        <v>1.3</v>
      </c>
      <c r="M968" s="100">
        <v>2.2000000000000002</v>
      </c>
      <c r="N968" s="100">
        <v>3.1</v>
      </c>
      <c r="O968" s="100">
        <v>4.0999999999999996</v>
      </c>
      <c r="P968" s="100">
        <v>7.2</v>
      </c>
      <c r="Q968" s="100">
        <v>5.6</v>
      </c>
      <c r="R968" s="100">
        <v>3.8</v>
      </c>
      <c r="S968" s="100">
        <v>1.9</v>
      </c>
      <c r="T968" s="100">
        <v>1.7</v>
      </c>
      <c r="U968" s="100">
        <v>0.7</v>
      </c>
    </row>
    <row r="969" spans="4:21">
      <c r="D969" s="97" t="s">
        <v>561</v>
      </c>
      <c r="E969" s="97" t="s">
        <v>536</v>
      </c>
      <c r="F969" s="94" t="s">
        <v>562</v>
      </c>
      <c r="G969" s="97">
        <v>11</v>
      </c>
      <c r="H969" s="98" t="s">
        <v>750</v>
      </c>
      <c r="I969" s="99" t="str">
        <f t="shared" si="15"/>
        <v>태백|11</v>
      </c>
      <c r="J969" s="100">
        <v>0.4</v>
      </c>
      <c r="K969" s="100">
        <v>0.6</v>
      </c>
      <c r="L969" s="100">
        <v>1.7</v>
      </c>
      <c r="M969" s="100">
        <v>2.5</v>
      </c>
      <c r="N969" s="100">
        <v>2.2999999999999998</v>
      </c>
      <c r="O969" s="100">
        <v>3.8</v>
      </c>
      <c r="P969" s="100">
        <v>6.3</v>
      </c>
      <c r="Q969" s="100">
        <v>6.7</v>
      </c>
      <c r="R969" s="100">
        <v>4.3</v>
      </c>
      <c r="S969" s="100">
        <v>1.8</v>
      </c>
      <c r="T969" s="100">
        <v>1.8</v>
      </c>
      <c r="U969" s="100">
        <v>0.6</v>
      </c>
    </row>
    <row r="970" spans="4:21">
      <c r="D970" s="97" t="s">
        <v>563</v>
      </c>
      <c r="E970" s="97" t="s">
        <v>536</v>
      </c>
      <c r="F970" s="94" t="s">
        <v>564</v>
      </c>
      <c r="G970" s="97">
        <v>11</v>
      </c>
      <c r="H970" s="98" t="s">
        <v>750</v>
      </c>
      <c r="I970" s="99" t="str">
        <f t="shared" si="15"/>
        <v>홍천|11</v>
      </c>
      <c r="J970" s="100">
        <v>0.3</v>
      </c>
      <c r="K970" s="100">
        <v>0.9</v>
      </c>
      <c r="L970" s="100">
        <v>1.1000000000000001</v>
      </c>
      <c r="M970" s="100">
        <v>2.7</v>
      </c>
      <c r="N970" s="100">
        <v>2.6</v>
      </c>
      <c r="O970" s="100">
        <v>3.1</v>
      </c>
      <c r="P970" s="100">
        <v>7.3</v>
      </c>
      <c r="Q970" s="100">
        <v>6.5</v>
      </c>
      <c r="R970" s="100">
        <v>3.8</v>
      </c>
      <c r="S970" s="100">
        <v>1.6</v>
      </c>
      <c r="T970" s="100">
        <v>1.9</v>
      </c>
      <c r="U970" s="100">
        <v>0.6</v>
      </c>
    </row>
    <row r="971" spans="4:21">
      <c r="D971" s="97" t="s">
        <v>565</v>
      </c>
      <c r="E971" s="97" t="s">
        <v>566</v>
      </c>
      <c r="F971" s="94" t="s">
        <v>567</v>
      </c>
      <c r="G971" s="97">
        <v>11</v>
      </c>
      <c r="H971" s="98" t="s">
        <v>750</v>
      </c>
      <c r="I971" s="99" t="str">
        <f t="shared" si="15"/>
        <v>동두천|11</v>
      </c>
      <c r="J971" s="100">
        <v>0.3</v>
      </c>
      <c r="K971" s="100">
        <v>1</v>
      </c>
      <c r="L971" s="100">
        <v>1.6</v>
      </c>
      <c r="M971" s="100">
        <v>2.2000000000000002</v>
      </c>
      <c r="N971" s="100">
        <v>3.5</v>
      </c>
      <c r="O971" s="100">
        <v>3.7</v>
      </c>
      <c r="P971" s="100">
        <v>6.8</v>
      </c>
      <c r="Q971" s="100">
        <v>6</v>
      </c>
      <c r="R971" s="100">
        <v>2.6</v>
      </c>
      <c r="S971" s="100">
        <v>2</v>
      </c>
      <c r="T971" s="100">
        <v>1.8</v>
      </c>
      <c r="U971" s="100">
        <v>1</v>
      </c>
    </row>
    <row r="972" spans="4:21">
      <c r="D972" s="97" t="s">
        <v>568</v>
      </c>
      <c r="E972" s="97" t="s">
        <v>566</v>
      </c>
      <c r="F972" s="94" t="s">
        <v>569</v>
      </c>
      <c r="G972" s="97">
        <v>11</v>
      </c>
      <c r="H972" s="98" t="s">
        <v>750</v>
      </c>
      <c r="I972" s="99" t="str">
        <f t="shared" si="15"/>
        <v>수원|11</v>
      </c>
      <c r="J972" s="100">
        <v>0.3</v>
      </c>
      <c r="K972" s="100">
        <v>1</v>
      </c>
      <c r="L972" s="100">
        <v>1</v>
      </c>
      <c r="M972" s="100">
        <v>2.2000000000000002</v>
      </c>
      <c r="N972" s="100">
        <v>3.2</v>
      </c>
      <c r="O972" s="100">
        <v>2.4</v>
      </c>
      <c r="P972" s="100">
        <v>7.1</v>
      </c>
      <c r="Q972" s="100">
        <v>5.3</v>
      </c>
      <c r="R972" s="100">
        <v>3</v>
      </c>
      <c r="S972" s="100">
        <v>2.4</v>
      </c>
      <c r="T972" s="100">
        <v>2.2999999999999998</v>
      </c>
      <c r="U972" s="100">
        <v>1</v>
      </c>
    </row>
    <row r="973" spans="4:21">
      <c r="D973" s="97" t="s">
        <v>570</v>
      </c>
      <c r="E973" s="97" t="s">
        <v>566</v>
      </c>
      <c r="F973" s="94" t="s">
        <v>571</v>
      </c>
      <c r="G973" s="97">
        <v>11</v>
      </c>
      <c r="H973" s="98" t="s">
        <v>750</v>
      </c>
      <c r="I973" s="99" t="str">
        <f t="shared" si="15"/>
        <v>양평|11</v>
      </c>
      <c r="J973" s="100">
        <v>0.2</v>
      </c>
      <c r="K973" s="100">
        <v>0.8</v>
      </c>
      <c r="L973" s="100">
        <v>1</v>
      </c>
      <c r="M973" s="100">
        <v>2.4</v>
      </c>
      <c r="N973" s="100">
        <v>2.9</v>
      </c>
      <c r="O973" s="100">
        <v>3.4</v>
      </c>
      <c r="P973" s="100">
        <v>7.2</v>
      </c>
      <c r="Q973" s="100">
        <v>6.4</v>
      </c>
      <c r="R973" s="100">
        <v>3.6</v>
      </c>
      <c r="S973" s="100">
        <v>1.9</v>
      </c>
      <c r="T973" s="100">
        <v>2.1</v>
      </c>
      <c r="U973" s="100">
        <v>0.8</v>
      </c>
    </row>
    <row r="974" spans="4:21">
      <c r="D974" s="97" t="s">
        <v>572</v>
      </c>
      <c r="E974" s="97" t="s">
        <v>566</v>
      </c>
      <c r="F974" s="94" t="s">
        <v>573</v>
      </c>
      <c r="G974" s="97">
        <v>11</v>
      </c>
      <c r="H974" s="98" t="s">
        <v>750</v>
      </c>
      <c r="I974" s="99" t="str">
        <f t="shared" si="15"/>
        <v>이천|11</v>
      </c>
      <c r="J974" s="100">
        <v>0.2</v>
      </c>
      <c r="K974" s="100">
        <v>1.2</v>
      </c>
      <c r="L974" s="100">
        <v>1.2</v>
      </c>
      <c r="M974" s="100">
        <v>2.5</v>
      </c>
      <c r="N974" s="100">
        <v>3.3</v>
      </c>
      <c r="O974" s="100">
        <v>2.8</v>
      </c>
      <c r="P974" s="100">
        <v>7.7</v>
      </c>
      <c r="Q974" s="100">
        <v>6.3</v>
      </c>
      <c r="R974" s="100">
        <v>3.7</v>
      </c>
      <c r="S974" s="100">
        <v>1.9</v>
      </c>
      <c r="T974" s="100">
        <v>2.2000000000000002</v>
      </c>
      <c r="U974" s="100">
        <v>1</v>
      </c>
    </row>
    <row r="975" spans="4:21">
      <c r="D975" s="97" t="s">
        <v>574</v>
      </c>
      <c r="E975" s="97" t="s">
        <v>566</v>
      </c>
      <c r="F975" s="94" t="s">
        <v>575</v>
      </c>
      <c r="G975" s="97">
        <v>11</v>
      </c>
      <c r="H975" s="98" t="s">
        <v>750</v>
      </c>
      <c r="I975" s="99" t="str">
        <f t="shared" si="15"/>
        <v>파주|11</v>
      </c>
      <c r="J975" s="100">
        <v>0.4</v>
      </c>
      <c r="K975" s="100">
        <v>1.1000000000000001</v>
      </c>
      <c r="L975" s="100">
        <v>1.3</v>
      </c>
      <c r="M975" s="100">
        <v>2.2000000000000002</v>
      </c>
      <c r="N975" s="100">
        <v>3.3</v>
      </c>
      <c r="O975" s="100">
        <v>3.3</v>
      </c>
      <c r="P975" s="100">
        <v>6.6</v>
      </c>
      <c r="Q975" s="100">
        <v>4.9000000000000004</v>
      </c>
      <c r="R975" s="100">
        <v>2.2999999999999998</v>
      </c>
      <c r="S975" s="100">
        <v>2.1</v>
      </c>
      <c r="T975" s="100">
        <v>1.9</v>
      </c>
      <c r="U975" s="100">
        <v>0.8</v>
      </c>
    </row>
    <row r="976" spans="4:21">
      <c r="D976" s="97" t="s">
        <v>576</v>
      </c>
      <c r="E976" s="97" t="s">
        <v>577</v>
      </c>
      <c r="F976" s="94" t="s">
        <v>578</v>
      </c>
      <c r="G976" s="97">
        <v>11</v>
      </c>
      <c r="H976" s="98" t="s">
        <v>750</v>
      </c>
      <c r="I976" s="99" t="str">
        <f t="shared" si="15"/>
        <v>거제|11</v>
      </c>
      <c r="J976" s="100">
        <v>1.3</v>
      </c>
      <c r="K976" s="100">
        <v>1.6</v>
      </c>
      <c r="L976" s="100">
        <v>3.1</v>
      </c>
      <c r="M976" s="100">
        <v>4.8</v>
      </c>
      <c r="N976" s="100">
        <v>4.2</v>
      </c>
      <c r="O976" s="100">
        <v>5.6</v>
      </c>
      <c r="P976" s="100">
        <v>6.3</v>
      </c>
      <c r="Q976" s="100">
        <v>5.2</v>
      </c>
      <c r="R976" s="100">
        <v>5.8</v>
      </c>
      <c r="S976" s="100">
        <v>1.9</v>
      </c>
      <c r="T976" s="100">
        <v>1.9</v>
      </c>
      <c r="U976" s="100">
        <v>1.4</v>
      </c>
    </row>
    <row r="977" spans="4:21">
      <c r="D977" s="97" t="s">
        <v>579</v>
      </c>
      <c r="E977" s="97" t="s">
        <v>577</v>
      </c>
      <c r="F977" s="94" t="s">
        <v>580</v>
      </c>
      <c r="G977" s="97">
        <v>11</v>
      </c>
      <c r="H977" s="98" t="s">
        <v>750</v>
      </c>
      <c r="I977" s="99" t="str">
        <f t="shared" si="15"/>
        <v>거창|11</v>
      </c>
      <c r="J977" s="100">
        <v>0.5</v>
      </c>
      <c r="K977" s="100">
        <v>1.5</v>
      </c>
      <c r="L977" s="100">
        <v>2.2000000000000002</v>
      </c>
      <c r="M977" s="100">
        <v>2.9</v>
      </c>
      <c r="N977" s="100">
        <v>2.5</v>
      </c>
      <c r="O977" s="100">
        <v>3.9</v>
      </c>
      <c r="P977" s="100">
        <v>7.2</v>
      </c>
      <c r="Q977" s="100">
        <v>4.8</v>
      </c>
      <c r="R977" s="100">
        <v>3.4</v>
      </c>
      <c r="S977" s="100">
        <v>1.9</v>
      </c>
      <c r="T977" s="100">
        <v>1.4</v>
      </c>
      <c r="U977" s="100">
        <v>0.7</v>
      </c>
    </row>
    <row r="978" spans="4:21">
      <c r="D978" s="97" t="s">
        <v>581</v>
      </c>
      <c r="E978" s="97" t="s">
        <v>577</v>
      </c>
      <c r="F978" s="94" t="s">
        <v>582</v>
      </c>
      <c r="G978" s="97">
        <v>11</v>
      </c>
      <c r="H978" s="98" t="s">
        <v>750</v>
      </c>
      <c r="I978" s="99" t="str">
        <f t="shared" si="15"/>
        <v>김해시|11</v>
      </c>
      <c r="J978" s="100">
        <v>1.2</v>
      </c>
      <c r="K978" s="100">
        <v>1.4</v>
      </c>
      <c r="L978" s="100">
        <v>2.5</v>
      </c>
      <c r="M978" s="100">
        <v>3.6</v>
      </c>
      <c r="N978" s="100">
        <v>2.7</v>
      </c>
      <c r="O978" s="100">
        <v>4.0999999999999996</v>
      </c>
      <c r="P978" s="100">
        <v>5.5</v>
      </c>
      <c r="Q978" s="100">
        <v>4.0999999999999996</v>
      </c>
      <c r="R978" s="100">
        <v>4.8</v>
      </c>
      <c r="S978" s="100">
        <v>1.8</v>
      </c>
      <c r="T978" s="100">
        <v>1.4</v>
      </c>
      <c r="U978" s="100">
        <v>1.3</v>
      </c>
    </row>
    <row r="979" spans="4:21">
      <c r="D979" s="97" t="s">
        <v>583</v>
      </c>
      <c r="E979" s="97" t="s">
        <v>577</v>
      </c>
      <c r="F979" s="94" t="s">
        <v>584</v>
      </c>
      <c r="G979" s="97">
        <v>11</v>
      </c>
      <c r="H979" s="98" t="s">
        <v>750</v>
      </c>
      <c r="I979" s="99" t="str">
        <f t="shared" si="15"/>
        <v>남해|11</v>
      </c>
      <c r="J979" s="100">
        <v>1.4</v>
      </c>
      <c r="K979" s="100">
        <v>1.9</v>
      </c>
      <c r="L979" s="100">
        <v>3.2</v>
      </c>
      <c r="M979" s="100">
        <v>4.5</v>
      </c>
      <c r="N979" s="100">
        <v>3.7</v>
      </c>
      <c r="O979" s="100">
        <v>4.4000000000000004</v>
      </c>
      <c r="P979" s="100">
        <v>6.3</v>
      </c>
      <c r="Q979" s="100">
        <v>4.5999999999999996</v>
      </c>
      <c r="R979" s="100">
        <v>5.2</v>
      </c>
      <c r="S979" s="100">
        <v>2.2999999999999998</v>
      </c>
      <c r="T979" s="100">
        <v>2</v>
      </c>
      <c r="U979" s="100">
        <v>1.2</v>
      </c>
    </row>
    <row r="980" spans="4:21">
      <c r="D980" s="97" t="s">
        <v>585</v>
      </c>
      <c r="E980" s="97" t="s">
        <v>577</v>
      </c>
      <c r="F980" s="94" t="s">
        <v>586</v>
      </c>
      <c r="G980" s="97">
        <v>11</v>
      </c>
      <c r="H980" s="98" t="s">
        <v>750</v>
      </c>
      <c r="I980" s="99" t="str">
        <f t="shared" si="15"/>
        <v>밀양|11</v>
      </c>
      <c r="J980" s="100">
        <v>1</v>
      </c>
      <c r="K980" s="100">
        <v>1.1000000000000001</v>
      </c>
      <c r="L980" s="100">
        <v>2.5</v>
      </c>
      <c r="M980" s="100">
        <v>3.7</v>
      </c>
      <c r="N980" s="100">
        <v>2.8</v>
      </c>
      <c r="O980" s="100">
        <v>4</v>
      </c>
      <c r="P980" s="100">
        <v>5.6</v>
      </c>
      <c r="Q980" s="100">
        <v>4.8</v>
      </c>
      <c r="R980" s="100">
        <v>3.9</v>
      </c>
      <c r="S980" s="100">
        <v>1.7</v>
      </c>
      <c r="T980" s="100">
        <v>1.6</v>
      </c>
      <c r="U980" s="100">
        <v>1</v>
      </c>
    </row>
    <row r="981" spans="4:21">
      <c r="D981" s="97" t="s">
        <v>587</v>
      </c>
      <c r="E981" s="97" t="s">
        <v>577</v>
      </c>
      <c r="F981" s="94" t="s">
        <v>588</v>
      </c>
      <c r="G981" s="97">
        <v>11</v>
      </c>
      <c r="H981" s="98" t="s">
        <v>750</v>
      </c>
      <c r="I981" s="99" t="str">
        <f t="shared" si="15"/>
        <v>북창원|11</v>
      </c>
      <c r="J981" s="100">
        <v>1.1000000000000001</v>
      </c>
      <c r="K981" s="100">
        <v>1.5</v>
      </c>
      <c r="L981" s="100">
        <v>2.4</v>
      </c>
      <c r="M981" s="100">
        <v>4.0999999999999996</v>
      </c>
      <c r="N981" s="100">
        <v>2.9</v>
      </c>
      <c r="O981" s="100">
        <v>4.2</v>
      </c>
      <c r="P981" s="100">
        <v>6.3</v>
      </c>
      <c r="Q981" s="100">
        <v>5.3</v>
      </c>
      <c r="R981" s="100">
        <v>4.9000000000000004</v>
      </c>
      <c r="S981" s="100">
        <v>2</v>
      </c>
      <c r="T981" s="100">
        <v>1.6</v>
      </c>
      <c r="U981" s="100">
        <v>1.1000000000000001</v>
      </c>
    </row>
    <row r="982" spans="4:21">
      <c r="D982" s="97" t="s">
        <v>589</v>
      </c>
      <c r="E982" s="97" t="s">
        <v>577</v>
      </c>
      <c r="F982" s="94" t="s">
        <v>590</v>
      </c>
      <c r="G982" s="97">
        <v>11</v>
      </c>
      <c r="H982" s="98" t="s">
        <v>750</v>
      </c>
      <c r="I982" s="99" t="str">
        <f t="shared" si="15"/>
        <v>산청|11</v>
      </c>
      <c r="J982" s="100">
        <v>1</v>
      </c>
      <c r="K982" s="100">
        <v>1.6</v>
      </c>
      <c r="L982" s="100">
        <v>2</v>
      </c>
      <c r="M982" s="100">
        <v>3.7</v>
      </c>
      <c r="N982" s="100">
        <v>2.6</v>
      </c>
      <c r="O982" s="100">
        <v>4.2</v>
      </c>
      <c r="P982" s="100">
        <v>6.6</v>
      </c>
      <c r="Q982" s="100">
        <v>5.4</v>
      </c>
      <c r="R982" s="100">
        <v>4.7</v>
      </c>
      <c r="S982" s="100">
        <v>2</v>
      </c>
      <c r="T982" s="100">
        <v>1.7</v>
      </c>
      <c r="U982" s="100">
        <v>0.9</v>
      </c>
    </row>
    <row r="983" spans="4:21">
      <c r="D983" s="97" t="s">
        <v>591</v>
      </c>
      <c r="E983" s="97" t="s">
        <v>577</v>
      </c>
      <c r="F983" s="94" t="s">
        <v>592</v>
      </c>
      <c r="G983" s="97">
        <v>11</v>
      </c>
      <c r="H983" s="98" t="s">
        <v>750</v>
      </c>
      <c r="I983" s="99" t="str">
        <f t="shared" si="15"/>
        <v>양산시|11</v>
      </c>
      <c r="J983" s="100">
        <v>1.1000000000000001</v>
      </c>
      <c r="K983" s="100">
        <v>1.6</v>
      </c>
      <c r="L983" s="100">
        <v>3</v>
      </c>
      <c r="M983" s="100">
        <v>3.6</v>
      </c>
      <c r="N983" s="100">
        <v>3.3</v>
      </c>
      <c r="O983" s="100">
        <v>4.4000000000000004</v>
      </c>
      <c r="P983" s="100">
        <v>6</v>
      </c>
      <c r="Q983" s="100">
        <v>5</v>
      </c>
      <c r="R983" s="100">
        <v>4.7</v>
      </c>
      <c r="S983" s="100">
        <v>1.7</v>
      </c>
      <c r="T983" s="100">
        <v>1.5</v>
      </c>
      <c r="U983" s="100">
        <v>1.2</v>
      </c>
    </row>
    <row r="984" spans="4:21">
      <c r="D984" s="97" t="s">
        <v>593</v>
      </c>
      <c r="E984" s="97" t="s">
        <v>577</v>
      </c>
      <c r="F984" s="94" t="s">
        <v>594</v>
      </c>
      <c r="G984" s="97">
        <v>11</v>
      </c>
      <c r="H984" s="98" t="s">
        <v>750</v>
      </c>
      <c r="I984" s="99" t="str">
        <f t="shared" si="15"/>
        <v>의령군|11</v>
      </c>
      <c r="J984" s="100">
        <v>1</v>
      </c>
      <c r="K984" s="100">
        <v>1.4</v>
      </c>
      <c r="L984" s="100">
        <v>2.1</v>
      </c>
      <c r="M984" s="100">
        <v>3.8</v>
      </c>
      <c r="N984" s="100">
        <v>2.9</v>
      </c>
      <c r="O984" s="100">
        <v>4.0999999999999996</v>
      </c>
      <c r="P984" s="100">
        <v>6.3</v>
      </c>
      <c r="Q984" s="100">
        <v>4.5999999999999996</v>
      </c>
      <c r="R984" s="100">
        <v>4.4000000000000004</v>
      </c>
      <c r="S984" s="100">
        <v>1.9</v>
      </c>
      <c r="T984" s="100">
        <v>1.7</v>
      </c>
      <c r="U984" s="100">
        <v>1</v>
      </c>
    </row>
    <row r="985" spans="4:21">
      <c r="D985" s="97" t="s">
        <v>595</v>
      </c>
      <c r="E985" s="97" t="s">
        <v>577</v>
      </c>
      <c r="F985" s="94" t="s">
        <v>596</v>
      </c>
      <c r="G985" s="97">
        <v>11</v>
      </c>
      <c r="H985" s="98" t="s">
        <v>750</v>
      </c>
      <c r="I985" s="99" t="str">
        <f t="shared" si="15"/>
        <v>진주|11</v>
      </c>
      <c r="J985" s="100">
        <v>1</v>
      </c>
      <c r="K985" s="100">
        <v>1.6</v>
      </c>
      <c r="L985" s="100">
        <v>2.5</v>
      </c>
      <c r="M985" s="100">
        <v>4.2</v>
      </c>
      <c r="N985" s="100">
        <v>3</v>
      </c>
      <c r="O985" s="100">
        <v>4.3</v>
      </c>
      <c r="P985" s="100">
        <v>6.1</v>
      </c>
      <c r="Q985" s="100">
        <v>5.2</v>
      </c>
      <c r="R985" s="100">
        <v>4.9000000000000004</v>
      </c>
      <c r="S985" s="100">
        <v>2.2000000000000002</v>
      </c>
      <c r="T985" s="100">
        <v>1.8</v>
      </c>
      <c r="U985" s="100">
        <v>1.1000000000000001</v>
      </c>
    </row>
    <row r="986" spans="4:21">
      <c r="D986" s="97" t="s">
        <v>597</v>
      </c>
      <c r="E986" s="97" t="s">
        <v>577</v>
      </c>
      <c r="F986" s="94" t="s">
        <v>598</v>
      </c>
      <c r="G986" s="97">
        <v>11</v>
      </c>
      <c r="H986" s="98" t="s">
        <v>750</v>
      </c>
      <c r="I986" s="99" t="str">
        <f t="shared" si="15"/>
        <v>창원|11</v>
      </c>
      <c r="J986" s="100">
        <v>1.2</v>
      </c>
      <c r="K986" s="100">
        <v>1.6</v>
      </c>
      <c r="L986" s="100">
        <v>2.5</v>
      </c>
      <c r="M986" s="100">
        <v>3.9</v>
      </c>
      <c r="N986" s="100">
        <v>3.3</v>
      </c>
      <c r="O986" s="100">
        <v>4.3</v>
      </c>
      <c r="P986" s="100">
        <v>6.1</v>
      </c>
      <c r="Q986" s="100">
        <v>5.3</v>
      </c>
      <c r="R986" s="100">
        <v>4.3</v>
      </c>
      <c r="S986" s="100">
        <v>1.8</v>
      </c>
      <c r="T986" s="100">
        <v>1.5</v>
      </c>
      <c r="U986" s="100">
        <v>1</v>
      </c>
    </row>
    <row r="987" spans="4:21">
      <c r="D987" s="97" t="s">
        <v>599</v>
      </c>
      <c r="E987" s="97" t="s">
        <v>577</v>
      </c>
      <c r="F987" s="94" t="s">
        <v>600</v>
      </c>
      <c r="G987" s="97">
        <v>11</v>
      </c>
      <c r="H987" s="98" t="s">
        <v>750</v>
      </c>
      <c r="I987" s="99" t="str">
        <f t="shared" si="15"/>
        <v>통영|11</v>
      </c>
      <c r="J987" s="100">
        <v>1.4</v>
      </c>
      <c r="K987" s="100">
        <v>1.7</v>
      </c>
      <c r="L987" s="100">
        <v>3.2</v>
      </c>
      <c r="M987" s="100">
        <v>4.5</v>
      </c>
      <c r="N987" s="100">
        <v>3.6</v>
      </c>
      <c r="O987" s="100">
        <v>4.5999999999999996</v>
      </c>
      <c r="P987" s="100">
        <v>6</v>
      </c>
      <c r="Q987" s="100">
        <v>4.5999999999999996</v>
      </c>
      <c r="R987" s="100">
        <v>5.2</v>
      </c>
      <c r="S987" s="100">
        <v>1.9</v>
      </c>
      <c r="T987" s="100">
        <v>1.6</v>
      </c>
      <c r="U987" s="100">
        <v>1.2</v>
      </c>
    </row>
    <row r="988" spans="4:21">
      <c r="D988" s="97" t="s">
        <v>601</v>
      </c>
      <c r="E988" s="97" t="s">
        <v>577</v>
      </c>
      <c r="F988" s="94" t="s">
        <v>602</v>
      </c>
      <c r="G988" s="97">
        <v>11</v>
      </c>
      <c r="H988" s="98" t="s">
        <v>750</v>
      </c>
      <c r="I988" s="99" t="str">
        <f t="shared" si="15"/>
        <v>함양군|11</v>
      </c>
      <c r="J988" s="100">
        <v>0.7</v>
      </c>
      <c r="K988" s="100">
        <v>1.5</v>
      </c>
      <c r="L988" s="100">
        <v>2.5</v>
      </c>
      <c r="M988" s="100">
        <v>2.6</v>
      </c>
      <c r="N988" s="100">
        <v>2.7</v>
      </c>
      <c r="O988" s="100">
        <v>3.8</v>
      </c>
      <c r="P988" s="100">
        <v>7.2</v>
      </c>
      <c r="Q988" s="100">
        <v>4.7</v>
      </c>
      <c r="R988" s="100">
        <v>4.3</v>
      </c>
      <c r="S988" s="100">
        <v>1.9</v>
      </c>
      <c r="T988" s="100">
        <v>1.4</v>
      </c>
      <c r="U988" s="100">
        <v>0.7</v>
      </c>
    </row>
    <row r="989" spans="4:21">
      <c r="D989" s="97" t="s">
        <v>603</v>
      </c>
      <c r="E989" s="97" t="s">
        <v>577</v>
      </c>
      <c r="F989" s="94" t="s">
        <v>604</v>
      </c>
      <c r="G989" s="97">
        <v>11</v>
      </c>
      <c r="H989" s="98" t="s">
        <v>750</v>
      </c>
      <c r="I989" s="99" t="str">
        <f t="shared" si="15"/>
        <v>합천|11</v>
      </c>
      <c r="J989" s="100">
        <v>0.8</v>
      </c>
      <c r="K989" s="100">
        <v>1.3</v>
      </c>
      <c r="L989" s="100">
        <v>2</v>
      </c>
      <c r="M989" s="100">
        <v>3.4</v>
      </c>
      <c r="N989" s="100">
        <v>2.8</v>
      </c>
      <c r="O989" s="100">
        <v>3.6</v>
      </c>
      <c r="P989" s="100">
        <v>6.6</v>
      </c>
      <c r="Q989" s="100">
        <v>5.5</v>
      </c>
      <c r="R989" s="100">
        <v>4.0999999999999996</v>
      </c>
      <c r="S989" s="100">
        <v>1.8</v>
      </c>
      <c r="T989" s="100">
        <v>1.6</v>
      </c>
      <c r="U989" s="100">
        <v>1</v>
      </c>
    </row>
    <row r="990" spans="4:21">
      <c r="D990" s="97" t="s">
        <v>605</v>
      </c>
      <c r="E990" s="97" t="s">
        <v>606</v>
      </c>
      <c r="F990" s="94" t="s">
        <v>607</v>
      </c>
      <c r="G990" s="97">
        <v>11</v>
      </c>
      <c r="H990" s="98" t="s">
        <v>750</v>
      </c>
      <c r="I990" s="99" t="str">
        <f t="shared" si="15"/>
        <v>경주시|11</v>
      </c>
      <c r="J990" s="100">
        <v>1</v>
      </c>
      <c r="K990" s="100">
        <v>0.8</v>
      </c>
      <c r="L990" s="100">
        <v>2</v>
      </c>
      <c r="M990" s="100">
        <v>2.5</v>
      </c>
      <c r="N990" s="100">
        <v>1.8</v>
      </c>
      <c r="O990" s="100">
        <v>3.2</v>
      </c>
      <c r="P990" s="100">
        <v>4.9000000000000004</v>
      </c>
      <c r="Q990" s="100">
        <v>4.3</v>
      </c>
      <c r="R990" s="100">
        <v>5.4</v>
      </c>
      <c r="S990" s="100">
        <v>2</v>
      </c>
      <c r="T990" s="100">
        <v>1.3</v>
      </c>
      <c r="U990" s="100">
        <v>1</v>
      </c>
    </row>
    <row r="991" spans="4:21">
      <c r="D991" s="97" t="s">
        <v>608</v>
      </c>
      <c r="E991" s="97" t="s">
        <v>606</v>
      </c>
      <c r="F991" s="94" t="s">
        <v>609</v>
      </c>
      <c r="G991" s="97">
        <v>11</v>
      </c>
      <c r="H991" s="98" t="s">
        <v>750</v>
      </c>
      <c r="I991" s="99" t="str">
        <f t="shared" si="15"/>
        <v>구미|11</v>
      </c>
      <c r="J991" s="100">
        <v>0.7</v>
      </c>
      <c r="K991" s="100">
        <v>1.1000000000000001</v>
      </c>
      <c r="L991" s="100">
        <v>1.5</v>
      </c>
      <c r="M991" s="100">
        <v>3.5</v>
      </c>
      <c r="N991" s="100">
        <v>2.6</v>
      </c>
      <c r="O991" s="100">
        <v>3.1</v>
      </c>
      <c r="P991" s="100">
        <v>6.2</v>
      </c>
      <c r="Q991" s="100">
        <v>4.8</v>
      </c>
      <c r="R991" s="100">
        <v>3.1</v>
      </c>
      <c r="S991" s="100">
        <v>1.7</v>
      </c>
      <c r="T991" s="100">
        <v>1.4</v>
      </c>
      <c r="U991" s="100">
        <v>0.9</v>
      </c>
    </row>
    <row r="992" spans="4:21">
      <c r="D992" s="97" t="s">
        <v>610</v>
      </c>
      <c r="E992" s="97" t="s">
        <v>606</v>
      </c>
      <c r="F992" s="94" t="s">
        <v>611</v>
      </c>
      <c r="G992" s="97">
        <v>11</v>
      </c>
      <c r="H992" s="98" t="s">
        <v>750</v>
      </c>
      <c r="I992" s="99" t="str">
        <f t="shared" si="15"/>
        <v>문경|11</v>
      </c>
      <c r="J992" s="100">
        <v>0.4</v>
      </c>
      <c r="K992" s="100">
        <v>1.4</v>
      </c>
      <c r="L992" s="100">
        <v>1.8</v>
      </c>
      <c r="M992" s="100">
        <v>3.6</v>
      </c>
      <c r="N992" s="100">
        <v>3.1</v>
      </c>
      <c r="O992" s="100">
        <v>2.9</v>
      </c>
      <c r="P992" s="100">
        <v>8.4</v>
      </c>
      <c r="Q992" s="100">
        <v>6.4</v>
      </c>
      <c r="R992" s="100">
        <v>3.5</v>
      </c>
      <c r="S992" s="100">
        <v>2</v>
      </c>
      <c r="T992" s="100">
        <v>1.7</v>
      </c>
      <c r="U992" s="100">
        <v>1</v>
      </c>
    </row>
    <row r="993" spans="4:21">
      <c r="D993" s="97" t="s">
        <v>612</v>
      </c>
      <c r="E993" s="97" t="s">
        <v>606</v>
      </c>
      <c r="F993" s="94" t="s">
        <v>613</v>
      </c>
      <c r="G993" s="97">
        <v>11</v>
      </c>
      <c r="H993" s="98" t="s">
        <v>750</v>
      </c>
      <c r="I993" s="99" t="str">
        <f t="shared" si="15"/>
        <v>봉화|11</v>
      </c>
      <c r="J993" s="100">
        <v>0.2</v>
      </c>
      <c r="K993" s="100">
        <v>0.9</v>
      </c>
      <c r="L993" s="100">
        <v>1.3</v>
      </c>
      <c r="M993" s="100">
        <v>3.3</v>
      </c>
      <c r="N993" s="100">
        <v>2.9</v>
      </c>
      <c r="O993" s="100">
        <v>3.2</v>
      </c>
      <c r="P993" s="100">
        <v>6.9</v>
      </c>
      <c r="Q993" s="100">
        <v>6.3</v>
      </c>
      <c r="R993" s="100">
        <v>3</v>
      </c>
      <c r="S993" s="100">
        <v>1.9</v>
      </c>
      <c r="T993" s="100">
        <v>1.3</v>
      </c>
      <c r="U993" s="100">
        <v>0.7</v>
      </c>
    </row>
    <row r="994" spans="4:21">
      <c r="D994" s="97" t="s">
        <v>614</v>
      </c>
      <c r="E994" s="97" t="s">
        <v>606</v>
      </c>
      <c r="F994" s="94" t="s">
        <v>615</v>
      </c>
      <c r="G994" s="97">
        <v>11</v>
      </c>
      <c r="H994" s="98" t="s">
        <v>750</v>
      </c>
      <c r="I994" s="99" t="str">
        <f t="shared" si="15"/>
        <v>상주|11</v>
      </c>
      <c r="J994" s="100">
        <v>0.5</v>
      </c>
      <c r="K994" s="100">
        <v>1.2</v>
      </c>
      <c r="L994" s="100">
        <v>2</v>
      </c>
      <c r="M994" s="100">
        <v>3.5</v>
      </c>
      <c r="N994" s="100">
        <v>2.2999999999999998</v>
      </c>
      <c r="O994" s="100">
        <v>3.5</v>
      </c>
      <c r="P994" s="100">
        <v>8.1999999999999993</v>
      </c>
      <c r="Q994" s="100">
        <v>5.7</v>
      </c>
      <c r="R994" s="100">
        <v>3.2</v>
      </c>
      <c r="S994" s="100">
        <v>2.1</v>
      </c>
      <c r="T994" s="100">
        <v>1.3</v>
      </c>
      <c r="U994" s="100">
        <v>0.8</v>
      </c>
    </row>
    <row r="995" spans="4:21">
      <c r="D995" s="97" t="s">
        <v>616</v>
      </c>
      <c r="E995" s="97" t="s">
        <v>606</v>
      </c>
      <c r="F995" s="94" t="s">
        <v>617</v>
      </c>
      <c r="G995" s="97">
        <v>11</v>
      </c>
      <c r="H995" s="98" t="s">
        <v>750</v>
      </c>
      <c r="I995" s="99" t="str">
        <f t="shared" si="15"/>
        <v>안동|11</v>
      </c>
      <c r="J995" s="100">
        <v>0.2</v>
      </c>
      <c r="K995" s="100">
        <v>1.1000000000000001</v>
      </c>
      <c r="L995" s="100">
        <v>1.5</v>
      </c>
      <c r="M995" s="100">
        <v>3</v>
      </c>
      <c r="N995" s="100">
        <v>2.4</v>
      </c>
      <c r="O995" s="100">
        <v>3.1</v>
      </c>
      <c r="P995" s="100">
        <v>6.7</v>
      </c>
      <c r="Q995" s="100">
        <v>5.3</v>
      </c>
      <c r="R995" s="100">
        <v>2.9</v>
      </c>
      <c r="S995" s="100">
        <v>1.8</v>
      </c>
      <c r="T995" s="100">
        <v>1.2</v>
      </c>
      <c r="U995" s="100">
        <v>0.7</v>
      </c>
    </row>
    <row r="996" spans="4:21">
      <c r="D996" s="97" t="s">
        <v>618</v>
      </c>
      <c r="E996" s="97" t="s">
        <v>606</v>
      </c>
      <c r="F996" s="94" t="s">
        <v>619</v>
      </c>
      <c r="G996" s="97">
        <v>11</v>
      </c>
      <c r="H996" s="98" t="s">
        <v>750</v>
      </c>
      <c r="I996" s="99" t="str">
        <f t="shared" si="15"/>
        <v>영덕|11</v>
      </c>
      <c r="J996" s="100">
        <v>0.6</v>
      </c>
      <c r="K996" s="100">
        <v>1.1000000000000001</v>
      </c>
      <c r="L996" s="100">
        <v>1.6</v>
      </c>
      <c r="M996" s="100">
        <v>3</v>
      </c>
      <c r="N996" s="100">
        <v>1.7</v>
      </c>
      <c r="O996" s="100">
        <v>2.9</v>
      </c>
      <c r="P996" s="100">
        <v>5.4</v>
      </c>
      <c r="Q996" s="100">
        <v>4.3</v>
      </c>
      <c r="R996" s="100">
        <v>4.0999999999999996</v>
      </c>
      <c r="S996" s="100">
        <v>2.6</v>
      </c>
      <c r="T996" s="100">
        <v>2.2999999999999998</v>
      </c>
      <c r="U996" s="100">
        <v>0.8</v>
      </c>
    </row>
    <row r="997" spans="4:21">
      <c r="D997" s="97" t="s">
        <v>620</v>
      </c>
      <c r="E997" s="97" t="s">
        <v>606</v>
      </c>
      <c r="F997" s="94" t="s">
        <v>621</v>
      </c>
      <c r="G997" s="97">
        <v>11</v>
      </c>
      <c r="H997" s="98" t="s">
        <v>750</v>
      </c>
      <c r="I997" s="99" t="str">
        <f t="shared" si="15"/>
        <v>영주|11</v>
      </c>
      <c r="J997" s="100">
        <v>0.2</v>
      </c>
      <c r="K997" s="100">
        <v>1.3</v>
      </c>
      <c r="L997" s="100">
        <v>1.9</v>
      </c>
      <c r="M997" s="100">
        <v>3.4</v>
      </c>
      <c r="N997" s="100">
        <v>2.8</v>
      </c>
      <c r="O997" s="100">
        <v>3.8</v>
      </c>
      <c r="P997" s="100">
        <v>7.8</v>
      </c>
      <c r="Q997" s="100">
        <v>6.1</v>
      </c>
      <c r="R997" s="100">
        <v>3.6</v>
      </c>
      <c r="S997" s="100">
        <v>2.2999999999999998</v>
      </c>
      <c r="T997" s="100">
        <v>1.6</v>
      </c>
      <c r="U997" s="100">
        <v>0.8</v>
      </c>
    </row>
    <row r="998" spans="4:21">
      <c r="D998" s="97" t="s">
        <v>622</v>
      </c>
      <c r="E998" s="97" t="s">
        <v>606</v>
      </c>
      <c r="F998" s="94" t="s">
        <v>623</v>
      </c>
      <c r="G998" s="97">
        <v>11</v>
      </c>
      <c r="H998" s="98" t="s">
        <v>750</v>
      </c>
      <c r="I998" s="99" t="str">
        <f t="shared" si="15"/>
        <v>영천|11</v>
      </c>
      <c r="J998" s="100">
        <v>0.6</v>
      </c>
      <c r="K998" s="100">
        <v>0.8</v>
      </c>
      <c r="L998" s="100">
        <v>2.4</v>
      </c>
      <c r="M998" s="100">
        <v>2.8</v>
      </c>
      <c r="N998" s="100">
        <v>1.9</v>
      </c>
      <c r="O998" s="100">
        <v>3.4</v>
      </c>
      <c r="P998" s="100">
        <v>5.4</v>
      </c>
      <c r="Q998" s="100">
        <v>4.8</v>
      </c>
      <c r="R998" s="100">
        <v>3.4</v>
      </c>
      <c r="S998" s="100">
        <v>1.7</v>
      </c>
      <c r="T998" s="100">
        <v>1.4</v>
      </c>
      <c r="U998" s="100">
        <v>1</v>
      </c>
    </row>
    <row r="999" spans="4:21">
      <c r="D999" s="97" t="s">
        <v>624</v>
      </c>
      <c r="E999" s="97" t="s">
        <v>606</v>
      </c>
      <c r="F999" s="94" t="s">
        <v>625</v>
      </c>
      <c r="G999" s="97">
        <v>11</v>
      </c>
      <c r="H999" s="98" t="s">
        <v>750</v>
      </c>
      <c r="I999" s="99" t="str">
        <f t="shared" si="15"/>
        <v>울릉도|11</v>
      </c>
      <c r="J999" s="100">
        <v>3.6</v>
      </c>
      <c r="K999" s="100">
        <v>3.8</v>
      </c>
      <c r="L999" s="100">
        <v>2.2999999999999998</v>
      </c>
      <c r="M999" s="100">
        <v>2.9</v>
      </c>
      <c r="N999" s="100">
        <v>2.5</v>
      </c>
      <c r="O999" s="100">
        <v>2.5</v>
      </c>
      <c r="P999" s="100">
        <v>4</v>
      </c>
      <c r="Q999" s="100">
        <v>2.7</v>
      </c>
      <c r="R999" s="100">
        <v>4</v>
      </c>
      <c r="S999" s="100">
        <v>5</v>
      </c>
      <c r="T999" s="100">
        <v>4.2</v>
      </c>
      <c r="U999" s="100">
        <v>5</v>
      </c>
    </row>
    <row r="1000" spans="4:21">
      <c r="D1000" s="97" t="s">
        <v>626</v>
      </c>
      <c r="E1000" s="97" t="s">
        <v>606</v>
      </c>
      <c r="F1000" s="94" t="s">
        <v>627</v>
      </c>
      <c r="G1000" s="97">
        <v>11</v>
      </c>
      <c r="H1000" s="98" t="s">
        <v>750</v>
      </c>
      <c r="I1000" s="99" t="str">
        <f t="shared" si="15"/>
        <v>울진|11</v>
      </c>
      <c r="J1000" s="100">
        <v>1.1000000000000001</v>
      </c>
      <c r="K1000" s="100">
        <v>1.3</v>
      </c>
      <c r="L1000" s="100">
        <v>1.8</v>
      </c>
      <c r="M1000" s="100">
        <v>3.1</v>
      </c>
      <c r="N1000" s="100">
        <v>1.7</v>
      </c>
      <c r="O1000" s="100">
        <v>2.2000000000000002</v>
      </c>
      <c r="P1000" s="100">
        <v>5.5</v>
      </c>
      <c r="Q1000" s="100">
        <v>5</v>
      </c>
      <c r="R1000" s="100">
        <v>4.5999999999999996</v>
      </c>
      <c r="S1000" s="100">
        <v>3.4</v>
      </c>
      <c r="T1000" s="100">
        <v>2.2000000000000002</v>
      </c>
      <c r="U1000" s="100">
        <v>0.8</v>
      </c>
    </row>
    <row r="1001" spans="4:21">
      <c r="D1001" s="97" t="s">
        <v>628</v>
      </c>
      <c r="E1001" s="97" t="s">
        <v>606</v>
      </c>
      <c r="F1001" s="94" t="s">
        <v>629</v>
      </c>
      <c r="G1001" s="97">
        <v>11</v>
      </c>
      <c r="H1001" s="98" t="s">
        <v>750</v>
      </c>
      <c r="I1001" s="99" t="str">
        <f t="shared" si="15"/>
        <v>의성|11</v>
      </c>
      <c r="J1001" s="100">
        <v>0.4</v>
      </c>
      <c r="K1001" s="100">
        <v>0.8</v>
      </c>
      <c r="L1001" s="100">
        <v>1.7</v>
      </c>
      <c r="M1001" s="100">
        <v>2.7</v>
      </c>
      <c r="N1001" s="100">
        <v>2.8</v>
      </c>
      <c r="O1001" s="100">
        <v>3.1</v>
      </c>
      <c r="P1001" s="100">
        <v>6.9</v>
      </c>
      <c r="Q1001" s="100">
        <v>4.5999999999999996</v>
      </c>
      <c r="R1001" s="100">
        <v>3.3</v>
      </c>
      <c r="S1001" s="100">
        <v>1.4</v>
      </c>
      <c r="T1001" s="100">
        <v>1.3</v>
      </c>
      <c r="U1001" s="100">
        <v>0.6</v>
      </c>
    </row>
    <row r="1002" spans="4:21">
      <c r="D1002" s="97" t="s">
        <v>630</v>
      </c>
      <c r="E1002" s="97" t="s">
        <v>606</v>
      </c>
      <c r="F1002" s="94" t="s">
        <v>631</v>
      </c>
      <c r="G1002" s="97">
        <v>11</v>
      </c>
      <c r="H1002" s="98" t="s">
        <v>750</v>
      </c>
      <c r="I1002" s="99" t="str">
        <f t="shared" si="15"/>
        <v>청송군|11</v>
      </c>
      <c r="J1002" s="100">
        <v>0.4</v>
      </c>
      <c r="K1002" s="100">
        <v>0.6</v>
      </c>
      <c r="L1002" s="100">
        <v>1.6</v>
      </c>
      <c r="M1002" s="100">
        <v>3</v>
      </c>
      <c r="N1002" s="100">
        <v>2.5</v>
      </c>
      <c r="O1002" s="100">
        <v>2.9</v>
      </c>
      <c r="P1002" s="100">
        <v>6.2</v>
      </c>
      <c r="Q1002" s="100">
        <v>4.8</v>
      </c>
      <c r="R1002" s="100">
        <v>3.8</v>
      </c>
      <c r="S1002" s="100">
        <v>1.8</v>
      </c>
      <c r="T1002" s="100">
        <v>1.4</v>
      </c>
      <c r="U1002" s="100">
        <v>0.8</v>
      </c>
    </row>
    <row r="1003" spans="4:21">
      <c r="D1003" s="97" t="s">
        <v>632</v>
      </c>
      <c r="E1003" s="97" t="s">
        <v>606</v>
      </c>
      <c r="F1003" s="94" t="s">
        <v>633</v>
      </c>
      <c r="G1003" s="97">
        <v>11</v>
      </c>
      <c r="H1003" s="98" t="s">
        <v>750</v>
      </c>
      <c r="I1003" s="99" t="str">
        <f t="shared" si="15"/>
        <v>포항|11</v>
      </c>
      <c r="J1003" s="100">
        <v>0.6</v>
      </c>
      <c r="K1003" s="100">
        <v>0.9</v>
      </c>
      <c r="L1003" s="100">
        <v>2.2000000000000002</v>
      </c>
      <c r="M1003" s="100">
        <v>2.8</v>
      </c>
      <c r="N1003" s="100">
        <v>1.8</v>
      </c>
      <c r="O1003" s="100">
        <v>3.1</v>
      </c>
      <c r="P1003" s="100">
        <v>4.8</v>
      </c>
      <c r="Q1003" s="100">
        <v>4.2</v>
      </c>
      <c r="R1003" s="100">
        <v>4.5</v>
      </c>
      <c r="S1003" s="100">
        <v>2.4</v>
      </c>
      <c r="T1003" s="100">
        <v>1.6</v>
      </c>
      <c r="U1003" s="100">
        <v>0.8</v>
      </c>
    </row>
    <row r="1004" spans="4:21">
      <c r="D1004" s="97" t="s">
        <v>634</v>
      </c>
      <c r="E1004" s="97" t="s">
        <v>635</v>
      </c>
      <c r="F1004" s="94" t="s">
        <v>636</v>
      </c>
      <c r="G1004" s="97">
        <v>11</v>
      </c>
      <c r="H1004" s="98" t="s">
        <v>750</v>
      </c>
      <c r="I1004" s="99" t="str">
        <f t="shared" si="15"/>
        <v>광주|11</v>
      </c>
      <c r="J1004" s="100">
        <v>0.9</v>
      </c>
      <c r="K1004" s="100">
        <v>1.2</v>
      </c>
      <c r="L1004" s="100">
        <v>2.2999999999999998</v>
      </c>
      <c r="M1004" s="100">
        <v>3.3</v>
      </c>
      <c r="N1004" s="100">
        <v>3</v>
      </c>
      <c r="O1004" s="100">
        <v>4</v>
      </c>
      <c r="P1004" s="100">
        <v>7.1</v>
      </c>
      <c r="Q1004" s="100">
        <v>5.9</v>
      </c>
      <c r="R1004" s="100">
        <v>3.7</v>
      </c>
      <c r="S1004" s="100">
        <v>1.9</v>
      </c>
      <c r="T1004" s="100">
        <v>1.8</v>
      </c>
      <c r="U1004" s="100">
        <v>1.1000000000000001</v>
      </c>
    </row>
    <row r="1005" spans="4:21">
      <c r="D1005" s="97" t="s">
        <v>637</v>
      </c>
      <c r="E1005" s="97" t="s">
        <v>638</v>
      </c>
      <c r="F1005" s="94" t="s">
        <v>639</v>
      </c>
      <c r="G1005" s="97">
        <v>11</v>
      </c>
      <c r="H1005" s="98" t="s">
        <v>750</v>
      </c>
      <c r="I1005" s="99" t="str">
        <f t="shared" si="15"/>
        <v>대구|11</v>
      </c>
      <c r="J1005" s="100">
        <v>0.7</v>
      </c>
      <c r="K1005" s="100">
        <v>0.8</v>
      </c>
      <c r="L1005" s="100">
        <v>2</v>
      </c>
      <c r="M1005" s="100">
        <v>2.6</v>
      </c>
      <c r="N1005" s="100">
        <v>2.2999999999999998</v>
      </c>
      <c r="O1005" s="100">
        <v>3.5</v>
      </c>
      <c r="P1005" s="100">
        <v>5.9</v>
      </c>
      <c r="Q1005" s="100">
        <v>5.2</v>
      </c>
      <c r="R1005" s="100">
        <v>3.3</v>
      </c>
      <c r="S1005" s="100">
        <v>2</v>
      </c>
      <c r="T1005" s="100">
        <v>1.3</v>
      </c>
      <c r="U1005" s="100">
        <v>0.9</v>
      </c>
    </row>
    <row r="1006" spans="4:21">
      <c r="D1006" s="97" t="s">
        <v>640</v>
      </c>
      <c r="E1006" s="97" t="s">
        <v>641</v>
      </c>
      <c r="F1006" s="94" t="s">
        <v>642</v>
      </c>
      <c r="G1006" s="97">
        <v>11</v>
      </c>
      <c r="H1006" s="98" t="s">
        <v>750</v>
      </c>
      <c r="I1006" s="99" t="str">
        <f t="shared" si="15"/>
        <v>대전|11</v>
      </c>
      <c r="J1006" s="100">
        <v>0.7</v>
      </c>
      <c r="K1006" s="100">
        <v>1.4</v>
      </c>
      <c r="L1006" s="100">
        <v>2</v>
      </c>
      <c r="M1006" s="100">
        <v>3.2</v>
      </c>
      <c r="N1006" s="100">
        <v>2.4</v>
      </c>
      <c r="O1006" s="100">
        <v>3.3</v>
      </c>
      <c r="P1006" s="100">
        <v>7.7</v>
      </c>
      <c r="Q1006" s="100">
        <v>5.8</v>
      </c>
      <c r="R1006" s="100">
        <v>3.5</v>
      </c>
      <c r="S1006" s="100">
        <v>2.2999999999999998</v>
      </c>
      <c r="T1006" s="100">
        <v>1.4</v>
      </c>
      <c r="U1006" s="100">
        <v>1.1000000000000001</v>
      </c>
    </row>
    <row r="1007" spans="4:21">
      <c r="D1007" s="97" t="s">
        <v>643</v>
      </c>
      <c r="E1007" s="97" t="s">
        <v>644</v>
      </c>
      <c r="F1007" s="94" t="s">
        <v>645</v>
      </c>
      <c r="G1007" s="97">
        <v>11</v>
      </c>
      <c r="H1007" s="98" t="s">
        <v>750</v>
      </c>
      <c r="I1007" s="99" t="str">
        <f t="shared" si="15"/>
        <v>부산|11</v>
      </c>
      <c r="J1007" s="100">
        <v>1.3</v>
      </c>
      <c r="K1007" s="100">
        <v>1.6</v>
      </c>
      <c r="L1007" s="100">
        <v>2.8</v>
      </c>
      <c r="M1007" s="100">
        <v>4</v>
      </c>
      <c r="N1007" s="100">
        <v>3.4</v>
      </c>
      <c r="O1007" s="100">
        <v>4.5</v>
      </c>
      <c r="P1007" s="100">
        <v>5.2</v>
      </c>
      <c r="Q1007" s="100">
        <v>4.5</v>
      </c>
      <c r="R1007" s="100">
        <v>5.0999999999999996</v>
      </c>
      <c r="S1007" s="100">
        <v>1.7</v>
      </c>
      <c r="T1007" s="100">
        <v>1.6</v>
      </c>
      <c r="U1007" s="100">
        <v>1.4</v>
      </c>
    </row>
    <row r="1008" spans="4:21">
      <c r="D1008" s="97" t="s">
        <v>64</v>
      </c>
      <c r="E1008" s="97" t="s">
        <v>646</v>
      </c>
      <c r="F1008" s="94" t="s">
        <v>647</v>
      </c>
      <c r="G1008" s="97">
        <v>11</v>
      </c>
      <c r="H1008" s="98" t="s">
        <v>750</v>
      </c>
      <c r="I1008" s="99" t="str">
        <f t="shared" si="15"/>
        <v>서울|11</v>
      </c>
      <c r="J1008" s="100">
        <v>0.3</v>
      </c>
      <c r="K1008" s="100">
        <v>1</v>
      </c>
      <c r="L1008" s="100">
        <v>1.2</v>
      </c>
      <c r="M1008" s="100">
        <v>2.1</v>
      </c>
      <c r="N1008" s="100">
        <v>3.1</v>
      </c>
      <c r="O1008" s="100">
        <v>3.6</v>
      </c>
      <c r="P1008" s="100">
        <v>6.4</v>
      </c>
      <c r="Q1008" s="100">
        <v>5.5</v>
      </c>
      <c r="R1008" s="100">
        <v>2.7</v>
      </c>
      <c r="S1008" s="100">
        <v>2</v>
      </c>
      <c r="T1008" s="100">
        <v>2.2000000000000002</v>
      </c>
      <c r="U1008" s="100">
        <v>0.8</v>
      </c>
    </row>
    <row r="1009" spans="4:21">
      <c r="D1009" s="97" t="s">
        <v>648</v>
      </c>
      <c r="E1009" s="97" t="s">
        <v>649</v>
      </c>
      <c r="F1009" s="94" t="s">
        <v>650</v>
      </c>
      <c r="G1009" s="97">
        <v>11</v>
      </c>
      <c r="H1009" s="98" t="s">
        <v>750</v>
      </c>
      <c r="I1009" s="99" t="str">
        <f t="shared" si="15"/>
        <v>세종|11</v>
      </c>
      <c r="J1009" s="100">
        <v>1</v>
      </c>
      <c r="K1009" s="100">
        <v>1</v>
      </c>
      <c r="L1009" s="100">
        <v>1.3</v>
      </c>
      <c r="M1009" s="100">
        <v>1.7</v>
      </c>
      <c r="N1009" s="100">
        <v>2.5</v>
      </c>
      <c r="O1009" s="100">
        <v>3.3</v>
      </c>
      <c r="P1009" s="100">
        <v>9</v>
      </c>
      <c r="Q1009" s="100">
        <v>7.7</v>
      </c>
      <c r="R1009" s="100">
        <v>4</v>
      </c>
      <c r="S1009" s="100">
        <v>1.5</v>
      </c>
      <c r="T1009" s="100">
        <v>1.5</v>
      </c>
      <c r="U1009" s="100">
        <v>0.5</v>
      </c>
    </row>
    <row r="1010" spans="4:21">
      <c r="D1010" s="97" t="s">
        <v>651</v>
      </c>
      <c r="E1010" s="97" t="s">
        <v>652</v>
      </c>
      <c r="F1010" s="94" t="s">
        <v>653</v>
      </c>
      <c r="G1010" s="97">
        <v>11</v>
      </c>
      <c r="H1010" s="98" t="s">
        <v>750</v>
      </c>
      <c r="I1010" s="99" t="str">
        <f t="shared" si="15"/>
        <v>울산|11</v>
      </c>
      <c r="J1010" s="100">
        <v>1.1000000000000001</v>
      </c>
      <c r="K1010" s="100">
        <v>1.1000000000000001</v>
      </c>
      <c r="L1010" s="100">
        <v>2.5</v>
      </c>
      <c r="M1010" s="100">
        <v>3.5</v>
      </c>
      <c r="N1010" s="100">
        <v>2.7</v>
      </c>
      <c r="O1010" s="100">
        <v>4</v>
      </c>
      <c r="P1010" s="100">
        <v>5</v>
      </c>
      <c r="Q1010" s="100">
        <v>4.4000000000000004</v>
      </c>
      <c r="R1010" s="100">
        <v>5.5</v>
      </c>
      <c r="S1010" s="100">
        <v>2.1</v>
      </c>
      <c r="T1010" s="100">
        <v>1.6</v>
      </c>
      <c r="U1010" s="100">
        <v>1</v>
      </c>
    </row>
    <row r="1011" spans="4:21">
      <c r="D1011" s="97" t="s">
        <v>654</v>
      </c>
      <c r="E1011" s="97" t="s">
        <v>655</v>
      </c>
      <c r="F1011" s="94" t="s">
        <v>656</v>
      </c>
      <c r="G1011" s="97">
        <v>11</v>
      </c>
      <c r="H1011" s="98" t="s">
        <v>750</v>
      </c>
      <c r="I1011" s="99" t="str">
        <f t="shared" si="15"/>
        <v>강화|11</v>
      </c>
      <c r="J1011" s="100">
        <v>0.4</v>
      </c>
      <c r="K1011" s="100">
        <v>0.9</v>
      </c>
      <c r="L1011" s="100">
        <v>1.1000000000000001</v>
      </c>
      <c r="M1011" s="100">
        <v>1.5</v>
      </c>
      <c r="N1011" s="100">
        <v>3.4</v>
      </c>
      <c r="O1011" s="100">
        <v>3</v>
      </c>
      <c r="P1011" s="100">
        <v>5.9</v>
      </c>
      <c r="Q1011" s="100">
        <v>4.7</v>
      </c>
      <c r="R1011" s="100">
        <v>3</v>
      </c>
      <c r="S1011" s="100">
        <v>1.9</v>
      </c>
      <c r="T1011" s="100">
        <v>2.1</v>
      </c>
      <c r="U1011" s="100">
        <v>1</v>
      </c>
    </row>
    <row r="1012" spans="4:21">
      <c r="D1012" s="97" t="s">
        <v>657</v>
      </c>
      <c r="E1012" s="97" t="s">
        <v>655</v>
      </c>
      <c r="F1012" s="94" t="s">
        <v>658</v>
      </c>
      <c r="G1012" s="97">
        <v>11</v>
      </c>
      <c r="H1012" s="98" t="s">
        <v>750</v>
      </c>
      <c r="I1012" s="99" t="str">
        <f t="shared" si="15"/>
        <v>백령도|11</v>
      </c>
      <c r="J1012" s="100">
        <v>0.6</v>
      </c>
      <c r="K1012" s="100">
        <v>0.8</v>
      </c>
      <c r="L1012" s="100">
        <v>0.7</v>
      </c>
      <c r="M1012" s="100">
        <v>1.4</v>
      </c>
      <c r="N1012" s="100">
        <v>2.9</v>
      </c>
      <c r="O1012" s="100">
        <v>2</v>
      </c>
      <c r="P1012" s="100">
        <v>4.2</v>
      </c>
      <c r="Q1012" s="100">
        <v>4.9000000000000004</v>
      </c>
      <c r="R1012" s="100">
        <v>2.5</v>
      </c>
      <c r="S1012" s="100">
        <v>1.4</v>
      </c>
      <c r="T1012" s="100">
        <v>1.7</v>
      </c>
      <c r="U1012" s="100">
        <v>0.5</v>
      </c>
    </row>
    <row r="1013" spans="4:21">
      <c r="D1013" s="97" t="s">
        <v>659</v>
      </c>
      <c r="E1013" s="97" t="s">
        <v>655</v>
      </c>
      <c r="F1013" s="94" t="s">
        <v>660</v>
      </c>
      <c r="G1013" s="97">
        <v>11</v>
      </c>
      <c r="H1013" s="98" t="s">
        <v>750</v>
      </c>
      <c r="I1013" s="99" t="str">
        <f t="shared" si="15"/>
        <v>인천|11</v>
      </c>
      <c r="J1013" s="100">
        <v>0.3</v>
      </c>
      <c r="K1013" s="100">
        <v>1</v>
      </c>
      <c r="L1013" s="100">
        <v>1</v>
      </c>
      <c r="M1013" s="100">
        <v>2</v>
      </c>
      <c r="N1013" s="100">
        <v>3</v>
      </c>
      <c r="O1013" s="100">
        <v>2.6</v>
      </c>
      <c r="P1013" s="100">
        <v>5.2</v>
      </c>
      <c r="Q1013" s="100">
        <v>4.9000000000000004</v>
      </c>
      <c r="R1013" s="100">
        <v>3</v>
      </c>
      <c r="S1013" s="100">
        <v>1.6</v>
      </c>
      <c r="T1013" s="100">
        <v>2.1</v>
      </c>
      <c r="U1013" s="100">
        <v>0.8</v>
      </c>
    </row>
    <row r="1014" spans="4:21">
      <c r="D1014" s="97" t="s">
        <v>661</v>
      </c>
      <c r="E1014" s="97" t="s">
        <v>662</v>
      </c>
      <c r="F1014" s="94" t="s">
        <v>663</v>
      </c>
      <c r="G1014" s="97">
        <v>11</v>
      </c>
      <c r="H1014" s="98" t="s">
        <v>750</v>
      </c>
      <c r="I1014" s="99" t="str">
        <f t="shared" si="15"/>
        <v>강진군|11</v>
      </c>
      <c r="J1014" s="100">
        <v>1.1000000000000001</v>
      </c>
      <c r="K1014" s="100">
        <v>1.5</v>
      </c>
      <c r="L1014" s="100">
        <v>2.9</v>
      </c>
      <c r="M1014" s="100">
        <v>3.6</v>
      </c>
      <c r="N1014" s="100">
        <v>2.7</v>
      </c>
      <c r="O1014" s="100">
        <v>4.3</v>
      </c>
      <c r="P1014" s="100">
        <v>5.7</v>
      </c>
      <c r="Q1014" s="100">
        <v>4.4000000000000004</v>
      </c>
      <c r="R1014" s="100">
        <v>4.5</v>
      </c>
      <c r="S1014" s="100">
        <v>1.7</v>
      </c>
      <c r="T1014" s="100">
        <v>2.1</v>
      </c>
      <c r="U1014" s="100">
        <v>1</v>
      </c>
    </row>
    <row r="1015" spans="4:21">
      <c r="D1015" s="97" t="s">
        <v>664</v>
      </c>
      <c r="E1015" s="97" t="s">
        <v>662</v>
      </c>
      <c r="F1015" s="94" t="s">
        <v>665</v>
      </c>
      <c r="G1015" s="97">
        <v>11</v>
      </c>
      <c r="H1015" s="98" t="s">
        <v>750</v>
      </c>
      <c r="I1015" s="99" t="str">
        <f t="shared" si="15"/>
        <v>고흥|11</v>
      </c>
      <c r="J1015" s="100">
        <v>1</v>
      </c>
      <c r="K1015" s="100">
        <v>1.7</v>
      </c>
      <c r="L1015" s="100">
        <v>2.8</v>
      </c>
      <c r="M1015" s="100">
        <v>4</v>
      </c>
      <c r="N1015" s="100">
        <v>2.8</v>
      </c>
      <c r="O1015" s="100">
        <v>3.9</v>
      </c>
      <c r="P1015" s="100">
        <v>6</v>
      </c>
      <c r="Q1015" s="100">
        <v>3.5</v>
      </c>
      <c r="R1015" s="100">
        <v>4.0999999999999996</v>
      </c>
      <c r="S1015" s="100">
        <v>1.7</v>
      </c>
      <c r="T1015" s="100">
        <v>1.7</v>
      </c>
      <c r="U1015" s="100">
        <v>0.7</v>
      </c>
    </row>
    <row r="1016" spans="4:21">
      <c r="D1016" s="97" t="s">
        <v>666</v>
      </c>
      <c r="E1016" s="97" t="s">
        <v>662</v>
      </c>
      <c r="F1016" s="94" t="s">
        <v>667</v>
      </c>
      <c r="G1016" s="97">
        <v>11</v>
      </c>
      <c r="H1016" s="98" t="s">
        <v>750</v>
      </c>
      <c r="I1016" s="99" t="str">
        <f t="shared" si="15"/>
        <v>광양시|11</v>
      </c>
      <c r="J1016" s="100">
        <v>1</v>
      </c>
      <c r="K1016" s="100">
        <v>1.8</v>
      </c>
      <c r="L1016" s="100">
        <v>2.7</v>
      </c>
      <c r="M1016" s="100">
        <v>3.8</v>
      </c>
      <c r="N1016" s="100">
        <v>3.5</v>
      </c>
      <c r="O1016" s="100">
        <v>4.3</v>
      </c>
      <c r="P1016" s="100">
        <v>6.4</v>
      </c>
      <c r="Q1016" s="100">
        <v>4.7</v>
      </c>
      <c r="R1016" s="100">
        <v>4.5999999999999996</v>
      </c>
      <c r="S1016" s="100">
        <v>1.9</v>
      </c>
      <c r="T1016" s="100">
        <v>1.9</v>
      </c>
      <c r="U1016" s="100">
        <v>1</v>
      </c>
    </row>
    <row r="1017" spans="4:21">
      <c r="D1017" s="97" t="s">
        <v>668</v>
      </c>
      <c r="E1017" s="97" t="s">
        <v>662</v>
      </c>
      <c r="F1017" s="94" t="s">
        <v>669</v>
      </c>
      <c r="G1017" s="97">
        <v>11</v>
      </c>
      <c r="H1017" s="98" t="s">
        <v>750</v>
      </c>
      <c r="I1017" s="99" t="str">
        <f t="shared" si="15"/>
        <v>목포|11</v>
      </c>
      <c r="J1017" s="100">
        <v>1.6</v>
      </c>
      <c r="K1017" s="100">
        <v>1</v>
      </c>
      <c r="L1017" s="100">
        <v>2.4</v>
      </c>
      <c r="M1017" s="100">
        <v>3</v>
      </c>
      <c r="N1017" s="100">
        <v>2.7</v>
      </c>
      <c r="O1017" s="100">
        <v>3.2</v>
      </c>
      <c r="P1017" s="100">
        <v>5.8</v>
      </c>
      <c r="Q1017" s="100">
        <v>3.8</v>
      </c>
      <c r="R1017" s="100">
        <v>3.1</v>
      </c>
      <c r="S1017" s="100">
        <v>1.9</v>
      </c>
      <c r="T1017" s="100">
        <v>1.4</v>
      </c>
      <c r="U1017" s="100">
        <v>1.3</v>
      </c>
    </row>
    <row r="1018" spans="4:21">
      <c r="D1018" s="97" t="s">
        <v>670</v>
      </c>
      <c r="E1018" s="97" t="s">
        <v>662</v>
      </c>
      <c r="F1018" s="94" t="s">
        <v>671</v>
      </c>
      <c r="G1018" s="97">
        <v>11</v>
      </c>
      <c r="H1018" s="98" t="s">
        <v>750</v>
      </c>
      <c r="I1018" s="99" t="str">
        <f t="shared" si="15"/>
        <v>보성군|11</v>
      </c>
      <c r="J1018" s="100">
        <v>0.8</v>
      </c>
      <c r="K1018" s="100">
        <v>1.6</v>
      </c>
      <c r="L1018" s="100">
        <v>2.7</v>
      </c>
      <c r="M1018" s="100">
        <v>3.9</v>
      </c>
      <c r="N1018" s="100">
        <v>2.9</v>
      </c>
      <c r="O1018" s="100">
        <v>4.0999999999999996</v>
      </c>
      <c r="P1018" s="100">
        <v>6.1</v>
      </c>
      <c r="Q1018" s="100">
        <v>3.9</v>
      </c>
      <c r="R1018" s="100">
        <v>4.3</v>
      </c>
      <c r="S1018" s="100">
        <v>1.8</v>
      </c>
      <c r="T1018" s="100">
        <v>1.9</v>
      </c>
      <c r="U1018" s="100">
        <v>1</v>
      </c>
    </row>
    <row r="1019" spans="4:21">
      <c r="D1019" s="97" t="s">
        <v>672</v>
      </c>
      <c r="E1019" s="97" t="s">
        <v>662</v>
      </c>
      <c r="F1019" s="94" t="s">
        <v>673</v>
      </c>
      <c r="G1019" s="97">
        <v>11</v>
      </c>
      <c r="H1019" s="98" t="s">
        <v>750</v>
      </c>
      <c r="I1019" s="99" t="str">
        <f t="shared" si="15"/>
        <v>순천|11</v>
      </c>
      <c r="J1019" s="100">
        <v>1</v>
      </c>
      <c r="K1019" s="100">
        <v>1.5</v>
      </c>
      <c r="L1019" s="100">
        <v>2.8</v>
      </c>
      <c r="M1019" s="100">
        <v>3.8</v>
      </c>
      <c r="N1019" s="100">
        <v>3</v>
      </c>
      <c r="O1019" s="100">
        <v>4.0999999999999996</v>
      </c>
      <c r="P1019" s="100">
        <v>6.9</v>
      </c>
      <c r="Q1019" s="100">
        <v>5.4</v>
      </c>
      <c r="R1019" s="100">
        <v>4.5999999999999996</v>
      </c>
      <c r="S1019" s="100">
        <v>1.9</v>
      </c>
      <c r="T1019" s="100">
        <v>2</v>
      </c>
      <c r="U1019" s="100">
        <v>1</v>
      </c>
    </row>
    <row r="1020" spans="4:21">
      <c r="D1020" s="97" t="s">
        <v>674</v>
      </c>
      <c r="E1020" s="97" t="s">
        <v>662</v>
      </c>
      <c r="F1020" s="94" t="s">
        <v>675</v>
      </c>
      <c r="G1020" s="97">
        <v>11</v>
      </c>
      <c r="H1020" s="98" t="s">
        <v>750</v>
      </c>
      <c r="I1020" s="99" t="str">
        <f t="shared" si="15"/>
        <v>여수|11</v>
      </c>
      <c r="J1020" s="100">
        <v>1.1000000000000001</v>
      </c>
      <c r="K1020" s="100">
        <v>1.8</v>
      </c>
      <c r="L1020" s="100">
        <v>3</v>
      </c>
      <c r="M1020" s="100">
        <v>4</v>
      </c>
      <c r="N1020" s="100">
        <v>3.1</v>
      </c>
      <c r="O1020" s="100">
        <v>4.0999999999999996</v>
      </c>
      <c r="P1020" s="100">
        <v>6.1</v>
      </c>
      <c r="Q1020" s="100">
        <v>3.7</v>
      </c>
      <c r="R1020" s="100">
        <v>4</v>
      </c>
      <c r="S1020" s="100">
        <v>1.9</v>
      </c>
      <c r="T1020" s="100">
        <v>1.7</v>
      </c>
      <c r="U1020" s="100">
        <v>1.1000000000000001</v>
      </c>
    </row>
    <row r="1021" spans="4:21">
      <c r="D1021" s="97" t="s">
        <v>676</v>
      </c>
      <c r="E1021" s="97" t="s">
        <v>662</v>
      </c>
      <c r="F1021" s="94" t="s">
        <v>677</v>
      </c>
      <c r="G1021" s="97">
        <v>11</v>
      </c>
      <c r="H1021" s="98" t="s">
        <v>750</v>
      </c>
      <c r="I1021" s="99" t="str">
        <f t="shared" si="15"/>
        <v>영광군|11</v>
      </c>
      <c r="J1021" s="100">
        <v>0.8</v>
      </c>
      <c r="K1021" s="100">
        <v>1.2</v>
      </c>
      <c r="L1021" s="100">
        <v>2</v>
      </c>
      <c r="M1021" s="100">
        <v>2.8</v>
      </c>
      <c r="N1021" s="100">
        <v>2.5</v>
      </c>
      <c r="O1021" s="100">
        <v>3.8</v>
      </c>
      <c r="P1021" s="100">
        <v>6.2</v>
      </c>
      <c r="Q1021" s="100">
        <v>4.5999999999999996</v>
      </c>
      <c r="R1021" s="100">
        <v>3.6</v>
      </c>
      <c r="S1021" s="100">
        <v>2.2000000000000002</v>
      </c>
      <c r="T1021" s="100">
        <v>2.2999999999999998</v>
      </c>
      <c r="U1021" s="100">
        <v>1.1000000000000001</v>
      </c>
    </row>
    <row r="1022" spans="4:21">
      <c r="D1022" s="97" t="s">
        <v>678</v>
      </c>
      <c r="E1022" s="97" t="s">
        <v>662</v>
      </c>
      <c r="F1022" s="94" t="s">
        <v>679</v>
      </c>
      <c r="G1022" s="97">
        <v>11</v>
      </c>
      <c r="H1022" s="98" t="s">
        <v>750</v>
      </c>
      <c r="I1022" s="99" t="str">
        <f t="shared" si="15"/>
        <v>완도|11</v>
      </c>
      <c r="J1022" s="100">
        <v>1.5</v>
      </c>
      <c r="K1022" s="100">
        <v>1.6</v>
      </c>
      <c r="L1022" s="100">
        <v>3.2</v>
      </c>
      <c r="M1022" s="100">
        <v>4</v>
      </c>
      <c r="N1022" s="100">
        <v>3.2</v>
      </c>
      <c r="O1022" s="100">
        <v>4.2</v>
      </c>
      <c r="P1022" s="100">
        <v>5.4</v>
      </c>
      <c r="Q1022" s="100">
        <v>2.8</v>
      </c>
      <c r="R1022" s="100">
        <v>4.5999999999999996</v>
      </c>
      <c r="S1022" s="100">
        <v>1.7</v>
      </c>
      <c r="T1022" s="100">
        <v>1.8</v>
      </c>
      <c r="U1022" s="100">
        <v>1.1000000000000001</v>
      </c>
    </row>
    <row r="1023" spans="4:21">
      <c r="D1023" s="97" t="s">
        <v>680</v>
      </c>
      <c r="E1023" s="97" t="s">
        <v>662</v>
      </c>
      <c r="F1023" s="94" t="s">
        <v>681</v>
      </c>
      <c r="G1023" s="97">
        <v>11</v>
      </c>
      <c r="H1023" s="98" t="s">
        <v>750</v>
      </c>
      <c r="I1023" s="99" t="str">
        <f t="shared" si="15"/>
        <v>장흥|11</v>
      </c>
      <c r="J1023" s="100">
        <v>1.2</v>
      </c>
      <c r="K1023" s="100">
        <v>1.3</v>
      </c>
      <c r="L1023" s="100">
        <v>2.8</v>
      </c>
      <c r="M1023" s="100">
        <v>3.3</v>
      </c>
      <c r="N1023" s="100">
        <v>3.2</v>
      </c>
      <c r="O1023" s="100">
        <v>4.3</v>
      </c>
      <c r="P1023" s="100">
        <v>6</v>
      </c>
      <c r="Q1023" s="100">
        <v>4.5</v>
      </c>
      <c r="R1023" s="100">
        <v>4.3</v>
      </c>
      <c r="S1023" s="100">
        <v>1.7</v>
      </c>
      <c r="T1023" s="100">
        <v>2</v>
      </c>
      <c r="U1023" s="100">
        <v>1</v>
      </c>
    </row>
    <row r="1024" spans="4:21">
      <c r="D1024" s="97" t="s">
        <v>682</v>
      </c>
      <c r="E1024" s="97" t="s">
        <v>662</v>
      </c>
      <c r="F1024" s="94" t="s">
        <v>683</v>
      </c>
      <c r="G1024" s="97">
        <v>11</v>
      </c>
      <c r="H1024" s="98" t="s">
        <v>750</v>
      </c>
      <c r="I1024" s="99" t="str">
        <f t="shared" si="15"/>
        <v>진도군|11</v>
      </c>
      <c r="J1024" s="100">
        <v>1.3</v>
      </c>
      <c r="K1024" s="100">
        <v>1.2</v>
      </c>
      <c r="L1024" s="100">
        <v>2.7</v>
      </c>
      <c r="M1024" s="100">
        <v>3.8</v>
      </c>
      <c r="N1024" s="100">
        <v>2.8</v>
      </c>
      <c r="O1024" s="100">
        <v>3.5</v>
      </c>
      <c r="P1024" s="100">
        <v>5</v>
      </c>
      <c r="Q1024" s="100">
        <v>3.5</v>
      </c>
      <c r="R1024" s="100">
        <v>3.9</v>
      </c>
      <c r="S1024" s="100">
        <v>1.8</v>
      </c>
      <c r="T1024" s="100">
        <v>2</v>
      </c>
      <c r="U1024" s="100">
        <v>1</v>
      </c>
    </row>
    <row r="1025" spans="4:21">
      <c r="D1025" s="97" t="s">
        <v>684</v>
      </c>
      <c r="E1025" s="97" t="s">
        <v>662</v>
      </c>
      <c r="F1025" s="94" t="s">
        <v>685</v>
      </c>
      <c r="G1025" s="97">
        <v>11</v>
      </c>
      <c r="H1025" s="98" t="s">
        <v>750</v>
      </c>
      <c r="I1025" s="99" t="str">
        <f t="shared" si="15"/>
        <v>해남|11</v>
      </c>
      <c r="J1025" s="100">
        <v>1.3</v>
      </c>
      <c r="K1025" s="100">
        <v>1.1000000000000001</v>
      </c>
      <c r="L1025" s="100">
        <v>2.6</v>
      </c>
      <c r="M1025" s="100">
        <v>3</v>
      </c>
      <c r="N1025" s="100">
        <v>2.9</v>
      </c>
      <c r="O1025" s="100">
        <v>3.6</v>
      </c>
      <c r="P1025" s="100">
        <v>5</v>
      </c>
      <c r="Q1025" s="100">
        <v>3.5</v>
      </c>
      <c r="R1025" s="100">
        <v>4.0999999999999996</v>
      </c>
      <c r="S1025" s="100">
        <v>1.7</v>
      </c>
      <c r="T1025" s="100">
        <v>1.5</v>
      </c>
      <c r="U1025" s="100">
        <v>0.9</v>
      </c>
    </row>
    <row r="1026" spans="4:21">
      <c r="D1026" s="97" t="s">
        <v>686</v>
      </c>
      <c r="E1026" s="97" t="s">
        <v>662</v>
      </c>
      <c r="F1026" s="94" t="s">
        <v>687</v>
      </c>
      <c r="G1026" s="97">
        <v>11</v>
      </c>
      <c r="H1026" s="98" t="s">
        <v>750</v>
      </c>
      <c r="I1026" s="99" t="str">
        <f t="shared" si="15"/>
        <v>흑산도|11</v>
      </c>
      <c r="J1026" s="100">
        <v>0.7</v>
      </c>
      <c r="K1026" s="100">
        <v>1</v>
      </c>
      <c r="L1026" s="100">
        <v>1.8</v>
      </c>
      <c r="M1026" s="100">
        <v>2.9</v>
      </c>
      <c r="N1026" s="100">
        <v>3</v>
      </c>
      <c r="O1026" s="100">
        <v>3.8</v>
      </c>
      <c r="P1026" s="100">
        <v>5</v>
      </c>
      <c r="Q1026" s="100">
        <v>3</v>
      </c>
      <c r="R1026" s="100">
        <v>3.9</v>
      </c>
      <c r="S1026" s="100">
        <v>1.8</v>
      </c>
      <c r="T1026" s="100">
        <v>1.4</v>
      </c>
      <c r="U1026" s="100">
        <v>1.1000000000000001</v>
      </c>
    </row>
    <row r="1027" spans="4:21">
      <c r="D1027" s="97" t="s">
        <v>688</v>
      </c>
      <c r="E1027" s="97" t="s">
        <v>689</v>
      </c>
      <c r="F1027" s="94" t="s">
        <v>690</v>
      </c>
      <c r="G1027" s="97">
        <v>11</v>
      </c>
      <c r="H1027" s="98" t="s">
        <v>750</v>
      </c>
      <c r="I1027" s="99" t="str">
        <f t="shared" si="15"/>
        <v>고창|11</v>
      </c>
      <c r="J1027" s="100">
        <v>1</v>
      </c>
      <c r="K1027" s="100">
        <v>1.2</v>
      </c>
      <c r="L1027" s="100">
        <v>1.8</v>
      </c>
      <c r="M1027" s="100">
        <v>2.5</v>
      </c>
      <c r="N1027" s="100">
        <v>2.4</v>
      </c>
      <c r="O1027" s="100">
        <v>3</v>
      </c>
      <c r="P1027" s="100">
        <v>5.8</v>
      </c>
      <c r="Q1027" s="100">
        <v>5</v>
      </c>
      <c r="R1027" s="100">
        <v>3.7</v>
      </c>
      <c r="S1027" s="100">
        <v>1.8</v>
      </c>
      <c r="T1027" s="100">
        <v>2</v>
      </c>
      <c r="U1027" s="100">
        <v>1.2</v>
      </c>
    </row>
    <row r="1028" spans="4:21">
      <c r="D1028" s="97" t="s">
        <v>691</v>
      </c>
      <c r="E1028" s="97" t="s">
        <v>689</v>
      </c>
      <c r="F1028" s="94" t="s">
        <v>692</v>
      </c>
      <c r="G1028" s="97">
        <v>11</v>
      </c>
      <c r="H1028" s="98" t="s">
        <v>750</v>
      </c>
      <c r="I1028" s="99" t="str">
        <f t="shared" si="15"/>
        <v>고창군|11</v>
      </c>
      <c r="J1028" s="100">
        <v>0.6</v>
      </c>
      <c r="K1028" s="100">
        <v>1</v>
      </c>
      <c r="L1028" s="100">
        <v>1.8</v>
      </c>
      <c r="M1028" s="100">
        <v>2.5</v>
      </c>
      <c r="N1028" s="100">
        <v>2.7</v>
      </c>
      <c r="O1028" s="100">
        <v>3.5</v>
      </c>
      <c r="P1028" s="100">
        <v>6.7</v>
      </c>
      <c r="Q1028" s="100">
        <v>4.8</v>
      </c>
      <c r="R1028" s="100">
        <v>3.9</v>
      </c>
      <c r="S1028" s="100">
        <v>1.9</v>
      </c>
      <c r="T1028" s="100">
        <v>2</v>
      </c>
      <c r="U1028" s="100">
        <v>1.1000000000000001</v>
      </c>
    </row>
    <row r="1029" spans="4:21">
      <c r="D1029" s="97" t="s">
        <v>693</v>
      </c>
      <c r="E1029" s="97" t="s">
        <v>689</v>
      </c>
      <c r="F1029" s="94" t="s">
        <v>694</v>
      </c>
      <c r="G1029" s="97">
        <v>11</v>
      </c>
      <c r="H1029" s="98" t="s">
        <v>750</v>
      </c>
      <c r="I1029" s="99" t="str">
        <f t="shared" si="15"/>
        <v>군산|11</v>
      </c>
      <c r="J1029" s="100">
        <v>0.8</v>
      </c>
      <c r="K1029" s="100">
        <v>1.3</v>
      </c>
      <c r="L1029" s="100">
        <v>1.8</v>
      </c>
      <c r="M1029" s="100">
        <v>3.2</v>
      </c>
      <c r="N1029" s="100">
        <v>3.2</v>
      </c>
      <c r="O1029" s="100">
        <v>2.8</v>
      </c>
      <c r="P1029" s="100">
        <v>6.7</v>
      </c>
      <c r="Q1029" s="100">
        <v>4.3</v>
      </c>
      <c r="R1029" s="100">
        <v>3.5</v>
      </c>
      <c r="S1029" s="100">
        <v>2.2000000000000002</v>
      </c>
      <c r="T1029" s="100">
        <v>2.2999999999999998</v>
      </c>
      <c r="U1029" s="100">
        <v>1.2</v>
      </c>
    </row>
    <row r="1030" spans="4:21">
      <c r="D1030" s="97" t="s">
        <v>695</v>
      </c>
      <c r="E1030" s="97" t="s">
        <v>689</v>
      </c>
      <c r="F1030" s="94" t="s">
        <v>696</v>
      </c>
      <c r="G1030" s="97">
        <v>11</v>
      </c>
      <c r="H1030" s="98" t="s">
        <v>750</v>
      </c>
      <c r="I1030" s="99" t="str">
        <f t="shared" si="15"/>
        <v>남원|11</v>
      </c>
      <c r="J1030" s="100">
        <v>0.7</v>
      </c>
      <c r="K1030" s="100">
        <v>1.3</v>
      </c>
      <c r="L1030" s="100">
        <v>2.1</v>
      </c>
      <c r="M1030" s="100">
        <v>3.2</v>
      </c>
      <c r="N1030" s="100">
        <v>2.6</v>
      </c>
      <c r="O1030" s="100">
        <v>4.8</v>
      </c>
      <c r="P1030" s="100">
        <v>7.1</v>
      </c>
      <c r="Q1030" s="100">
        <v>5.4</v>
      </c>
      <c r="R1030" s="100">
        <v>3.9</v>
      </c>
      <c r="S1030" s="100">
        <v>2.1</v>
      </c>
      <c r="T1030" s="100">
        <v>1.9</v>
      </c>
      <c r="U1030" s="100">
        <v>1</v>
      </c>
    </row>
    <row r="1031" spans="4:21">
      <c r="D1031" s="97" t="s">
        <v>697</v>
      </c>
      <c r="E1031" s="97" t="s">
        <v>689</v>
      </c>
      <c r="F1031" s="94" t="s">
        <v>698</v>
      </c>
      <c r="G1031" s="97">
        <v>11</v>
      </c>
      <c r="H1031" s="98" t="s">
        <v>750</v>
      </c>
      <c r="I1031" s="99" t="str">
        <f t="shared" ref="I1031:I1094" si="16">$D1031&amp;"|"&amp;$G1031</f>
        <v>부안|11</v>
      </c>
      <c r="J1031" s="100">
        <v>0.6</v>
      </c>
      <c r="K1031" s="100">
        <v>1.2</v>
      </c>
      <c r="L1031" s="100">
        <v>1.9</v>
      </c>
      <c r="M1031" s="100">
        <v>2.8</v>
      </c>
      <c r="N1031" s="100">
        <v>3</v>
      </c>
      <c r="O1031" s="100">
        <v>3.1</v>
      </c>
      <c r="P1031" s="100">
        <v>6.9</v>
      </c>
      <c r="Q1031" s="100">
        <v>4.5999999999999996</v>
      </c>
      <c r="R1031" s="100">
        <v>3.4</v>
      </c>
      <c r="S1031" s="100">
        <v>1.8</v>
      </c>
      <c r="T1031" s="100">
        <v>2.4</v>
      </c>
      <c r="U1031" s="100">
        <v>1.4</v>
      </c>
    </row>
    <row r="1032" spans="4:21">
      <c r="D1032" s="97" t="s">
        <v>699</v>
      </c>
      <c r="E1032" s="97" t="s">
        <v>689</v>
      </c>
      <c r="F1032" s="94" t="s">
        <v>700</v>
      </c>
      <c r="G1032" s="97">
        <v>11</v>
      </c>
      <c r="H1032" s="98" t="s">
        <v>750</v>
      </c>
      <c r="I1032" s="99" t="str">
        <f t="shared" si="16"/>
        <v>순창군|11</v>
      </c>
      <c r="J1032" s="100">
        <v>0.6</v>
      </c>
      <c r="K1032" s="100">
        <v>1.5</v>
      </c>
      <c r="L1032" s="100">
        <v>2.5</v>
      </c>
      <c r="M1032" s="100">
        <v>3.5</v>
      </c>
      <c r="N1032" s="100">
        <v>3.1</v>
      </c>
      <c r="O1032" s="100">
        <v>4.5</v>
      </c>
      <c r="P1032" s="100">
        <v>7.9</v>
      </c>
      <c r="Q1032" s="100">
        <v>5.8</v>
      </c>
      <c r="R1032" s="100">
        <v>3.7</v>
      </c>
      <c r="S1032" s="100">
        <v>1.8</v>
      </c>
      <c r="T1032" s="100">
        <v>2.1</v>
      </c>
      <c r="U1032" s="100">
        <v>1.3</v>
      </c>
    </row>
    <row r="1033" spans="4:21">
      <c r="D1033" s="97" t="s">
        <v>701</v>
      </c>
      <c r="E1033" s="97" t="s">
        <v>689</v>
      </c>
      <c r="F1033" s="94" t="s">
        <v>702</v>
      </c>
      <c r="G1033" s="97">
        <v>11</v>
      </c>
      <c r="H1033" s="98" t="s">
        <v>750</v>
      </c>
      <c r="I1033" s="99" t="str">
        <f t="shared" si="16"/>
        <v>임실|11</v>
      </c>
      <c r="J1033" s="100">
        <v>0.9</v>
      </c>
      <c r="K1033" s="100">
        <v>1.3</v>
      </c>
      <c r="L1033" s="100">
        <v>2.2000000000000002</v>
      </c>
      <c r="M1033" s="100">
        <v>3.1</v>
      </c>
      <c r="N1033" s="100">
        <v>2.8</v>
      </c>
      <c r="O1033" s="100">
        <v>4</v>
      </c>
      <c r="P1033" s="100">
        <v>8.5</v>
      </c>
      <c r="Q1033" s="100">
        <v>6</v>
      </c>
      <c r="R1033" s="100">
        <v>3.7</v>
      </c>
      <c r="S1033" s="100">
        <v>1.9</v>
      </c>
      <c r="T1033" s="100">
        <v>2.1</v>
      </c>
      <c r="U1033" s="100">
        <v>1.4</v>
      </c>
    </row>
    <row r="1034" spans="4:21">
      <c r="D1034" s="97" t="s">
        <v>703</v>
      </c>
      <c r="E1034" s="97" t="s">
        <v>689</v>
      </c>
      <c r="F1034" s="94" t="s">
        <v>704</v>
      </c>
      <c r="G1034" s="97">
        <v>11</v>
      </c>
      <c r="H1034" s="98" t="s">
        <v>750</v>
      </c>
      <c r="I1034" s="99" t="str">
        <f t="shared" si="16"/>
        <v>장수|11</v>
      </c>
      <c r="J1034" s="100">
        <v>0.8</v>
      </c>
      <c r="K1034" s="100">
        <v>1.4</v>
      </c>
      <c r="L1034" s="100">
        <v>2.6</v>
      </c>
      <c r="M1034" s="100">
        <v>3.5</v>
      </c>
      <c r="N1034" s="100">
        <v>3</v>
      </c>
      <c r="O1034" s="100">
        <v>4.4000000000000004</v>
      </c>
      <c r="P1034" s="100">
        <v>8.3000000000000007</v>
      </c>
      <c r="Q1034" s="100">
        <v>5.7</v>
      </c>
      <c r="R1034" s="100">
        <v>3.8</v>
      </c>
      <c r="S1034" s="100">
        <v>2.5</v>
      </c>
      <c r="T1034" s="100">
        <v>2.1</v>
      </c>
      <c r="U1034" s="100">
        <v>1.1000000000000001</v>
      </c>
    </row>
    <row r="1035" spans="4:21">
      <c r="D1035" s="97" t="s">
        <v>705</v>
      </c>
      <c r="E1035" s="97" t="s">
        <v>689</v>
      </c>
      <c r="F1035" s="94" t="s">
        <v>706</v>
      </c>
      <c r="G1035" s="97">
        <v>11</v>
      </c>
      <c r="H1035" s="98" t="s">
        <v>750</v>
      </c>
      <c r="I1035" s="99" t="str">
        <f t="shared" si="16"/>
        <v>전주|11</v>
      </c>
      <c r="J1035" s="100">
        <v>0.6</v>
      </c>
      <c r="K1035" s="100">
        <v>1.2</v>
      </c>
      <c r="L1035" s="100">
        <v>2.2000000000000002</v>
      </c>
      <c r="M1035" s="100">
        <v>2.8</v>
      </c>
      <c r="N1035" s="100">
        <v>3.2</v>
      </c>
      <c r="O1035" s="100">
        <v>3.4</v>
      </c>
      <c r="P1035" s="100">
        <v>7.4</v>
      </c>
      <c r="Q1035" s="100">
        <v>5.3</v>
      </c>
      <c r="R1035" s="100">
        <v>3.8</v>
      </c>
      <c r="S1035" s="100">
        <v>1.8</v>
      </c>
      <c r="T1035" s="100">
        <v>1.9</v>
      </c>
      <c r="U1035" s="100">
        <v>1</v>
      </c>
    </row>
    <row r="1036" spans="4:21">
      <c r="D1036" s="97" t="s">
        <v>707</v>
      </c>
      <c r="E1036" s="97" t="s">
        <v>689</v>
      </c>
      <c r="F1036" s="94" t="s">
        <v>708</v>
      </c>
      <c r="G1036" s="97">
        <v>11</v>
      </c>
      <c r="H1036" s="98" t="s">
        <v>750</v>
      </c>
      <c r="I1036" s="99" t="str">
        <f t="shared" si="16"/>
        <v>정읍|11</v>
      </c>
      <c r="J1036" s="100">
        <v>1</v>
      </c>
      <c r="K1036" s="100">
        <v>1.2</v>
      </c>
      <c r="L1036" s="100">
        <v>2.1</v>
      </c>
      <c r="M1036" s="100">
        <v>3</v>
      </c>
      <c r="N1036" s="100">
        <v>2.8</v>
      </c>
      <c r="O1036" s="100">
        <v>3</v>
      </c>
      <c r="P1036" s="100">
        <v>6.8</v>
      </c>
      <c r="Q1036" s="100">
        <v>5.5</v>
      </c>
      <c r="R1036" s="100">
        <v>3.8</v>
      </c>
      <c r="S1036" s="100">
        <v>1.8</v>
      </c>
      <c r="T1036" s="100">
        <v>2.2999999999999998</v>
      </c>
      <c r="U1036" s="100">
        <v>1.5</v>
      </c>
    </row>
    <row r="1037" spans="4:21">
      <c r="D1037" s="97" t="s">
        <v>709</v>
      </c>
      <c r="E1037" s="97" t="s">
        <v>710</v>
      </c>
      <c r="F1037" s="94" t="s">
        <v>711</v>
      </c>
      <c r="G1037" s="97">
        <v>11</v>
      </c>
      <c r="H1037" s="98" t="s">
        <v>750</v>
      </c>
      <c r="I1037" s="99" t="str">
        <f t="shared" si="16"/>
        <v>고산|11</v>
      </c>
      <c r="J1037" s="100">
        <v>1.8</v>
      </c>
      <c r="K1037" s="100">
        <v>1.6</v>
      </c>
      <c r="L1037" s="100">
        <v>2.2999999999999998</v>
      </c>
      <c r="M1037" s="100">
        <v>3.3</v>
      </c>
      <c r="N1037" s="100">
        <v>3.5</v>
      </c>
      <c r="O1037" s="100">
        <v>4.7</v>
      </c>
      <c r="P1037" s="100">
        <v>3.6</v>
      </c>
      <c r="Q1037" s="100">
        <v>3.8</v>
      </c>
      <c r="R1037" s="100">
        <v>5.3</v>
      </c>
      <c r="S1037" s="100">
        <v>1.7</v>
      </c>
      <c r="T1037" s="100">
        <v>1.8</v>
      </c>
      <c r="U1037" s="100">
        <v>1.6</v>
      </c>
    </row>
    <row r="1038" spans="4:21">
      <c r="D1038" s="97" t="s">
        <v>712</v>
      </c>
      <c r="E1038" s="97" t="s">
        <v>710</v>
      </c>
      <c r="F1038" s="94" t="s">
        <v>713</v>
      </c>
      <c r="G1038" s="97">
        <v>11</v>
      </c>
      <c r="H1038" s="98" t="s">
        <v>750</v>
      </c>
      <c r="I1038" s="99" t="str">
        <f t="shared" si="16"/>
        <v>서귀포|11</v>
      </c>
      <c r="J1038" s="100">
        <v>2.2000000000000002</v>
      </c>
      <c r="K1038" s="100">
        <v>2.1</v>
      </c>
      <c r="L1038" s="100">
        <v>3.7</v>
      </c>
      <c r="M1038" s="100">
        <v>4.0999999999999996</v>
      </c>
      <c r="N1038" s="100">
        <v>4.5999999999999996</v>
      </c>
      <c r="O1038" s="100">
        <v>5.4</v>
      </c>
      <c r="P1038" s="100">
        <v>4.8</v>
      </c>
      <c r="Q1038" s="100">
        <v>5.0999999999999996</v>
      </c>
      <c r="R1038" s="100">
        <v>6.3</v>
      </c>
      <c r="S1038" s="100">
        <v>2.4</v>
      </c>
      <c r="T1038" s="100">
        <v>1.6</v>
      </c>
      <c r="U1038" s="100">
        <v>1.3</v>
      </c>
    </row>
    <row r="1039" spans="4:21">
      <c r="D1039" s="97" t="s">
        <v>714</v>
      </c>
      <c r="E1039" s="97" t="s">
        <v>710</v>
      </c>
      <c r="F1039" s="94" t="s">
        <v>715</v>
      </c>
      <c r="G1039" s="97">
        <v>11</v>
      </c>
      <c r="H1039" s="98" t="s">
        <v>750</v>
      </c>
      <c r="I1039" s="99" t="str">
        <f t="shared" si="16"/>
        <v>성산|11</v>
      </c>
      <c r="J1039" s="100">
        <v>2.5</v>
      </c>
      <c r="K1039" s="100">
        <v>3.8</v>
      </c>
      <c r="L1039" s="100">
        <v>4.3</v>
      </c>
      <c r="M1039" s="100">
        <v>4.7</v>
      </c>
      <c r="N1039" s="100">
        <v>4.0999999999999996</v>
      </c>
      <c r="O1039" s="100">
        <v>5</v>
      </c>
      <c r="P1039" s="100">
        <v>4.8</v>
      </c>
      <c r="Q1039" s="100">
        <v>4.8</v>
      </c>
      <c r="R1039" s="100">
        <v>6.2</v>
      </c>
      <c r="S1039" s="100">
        <v>3.1</v>
      </c>
      <c r="T1039" s="100">
        <v>2.8</v>
      </c>
      <c r="U1039" s="100">
        <v>1.8</v>
      </c>
    </row>
    <row r="1040" spans="4:21">
      <c r="D1040" s="97" t="s">
        <v>716</v>
      </c>
      <c r="E1040" s="97" t="s">
        <v>710</v>
      </c>
      <c r="F1040" s="94" t="s">
        <v>717</v>
      </c>
      <c r="G1040" s="97">
        <v>11</v>
      </c>
      <c r="H1040" s="98" t="s">
        <v>750</v>
      </c>
      <c r="I1040" s="99" t="str">
        <f t="shared" si="16"/>
        <v>제주|11</v>
      </c>
      <c r="J1040" s="100">
        <v>2.1</v>
      </c>
      <c r="K1040" s="100">
        <v>2.2999999999999998</v>
      </c>
      <c r="L1040" s="100">
        <v>2.6</v>
      </c>
      <c r="M1040" s="100">
        <v>3</v>
      </c>
      <c r="N1040" s="100">
        <v>2.8</v>
      </c>
      <c r="O1040" s="100">
        <v>4.4000000000000004</v>
      </c>
      <c r="P1040" s="100">
        <v>4.0999999999999996</v>
      </c>
      <c r="Q1040" s="100">
        <v>3.6</v>
      </c>
      <c r="R1040" s="100">
        <v>5.6</v>
      </c>
      <c r="S1040" s="100">
        <v>2.6</v>
      </c>
      <c r="T1040" s="100">
        <v>2.2999999999999998</v>
      </c>
      <c r="U1040" s="100">
        <v>1.6</v>
      </c>
    </row>
    <row r="1041" spans="4:21">
      <c r="D1041" s="97" t="s">
        <v>718</v>
      </c>
      <c r="E1041" s="97" t="s">
        <v>719</v>
      </c>
      <c r="F1041" s="94" t="s">
        <v>720</v>
      </c>
      <c r="G1041" s="97">
        <v>11</v>
      </c>
      <c r="H1041" s="98" t="s">
        <v>750</v>
      </c>
      <c r="I1041" s="99" t="str">
        <f t="shared" si="16"/>
        <v>금산|11</v>
      </c>
      <c r="J1041" s="100">
        <v>0.6</v>
      </c>
      <c r="K1041" s="100">
        <v>1.4</v>
      </c>
      <c r="L1041" s="100">
        <v>2</v>
      </c>
      <c r="M1041" s="100">
        <v>3.3</v>
      </c>
      <c r="N1041" s="100">
        <v>2.7</v>
      </c>
      <c r="O1041" s="100">
        <v>3.7</v>
      </c>
      <c r="P1041" s="100">
        <v>7.6</v>
      </c>
      <c r="Q1041" s="100">
        <v>5.5</v>
      </c>
      <c r="R1041" s="100">
        <v>3.8</v>
      </c>
      <c r="S1041" s="100">
        <v>2.1</v>
      </c>
      <c r="T1041" s="100">
        <v>1.7</v>
      </c>
      <c r="U1041" s="100">
        <v>1.1000000000000001</v>
      </c>
    </row>
    <row r="1042" spans="4:21">
      <c r="D1042" s="97" t="s">
        <v>721</v>
      </c>
      <c r="E1042" s="97" t="s">
        <v>719</v>
      </c>
      <c r="F1042" s="94" t="s">
        <v>722</v>
      </c>
      <c r="G1042" s="97">
        <v>11</v>
      </c>
      <c r="H1042" s="98" t="s">
        <v>750</v>
      </c>
      <c r="I1042" s="99" t="str">
        <f t="shared" si="16"/>
        <v>보령|11</v>
      </c>
      <c r="J1042" s="100">
        <v>0.5</v>
      </c>
      <c r="K1042" s="100">
        <v>1.1000000000000001</v>
      </c>
      <c r="L1042" s="100">
        <v>1.3</v>
      </c>
      <c r="M1042" s="100">
        <v>2.4</v>
      </c>
      <c r="N1042" s="100">
        <v>2.7</v>
      </c>
      <c r="O1042" s="100">
        <v>2.5</v>
      </c>
      <c r="P1042" s="100">
        <v>6.4</v>
      </c>
      <c r="Q1042" s="100">
        <v>4.8</v>
      </c>
      <c r="R1042" s="100">
        <v>2.8</v>
      </c>
      <c r="S1042" s="100">
        <v>2.1</v>
      </c>
      <c r="T1042" s="100">
        <v>1.8</v>
      </c>
      <c r="U1042" s="100">
        <v>0.8</v>
      </c>
    </row>
    <row r="1043" spans="4:21">
      <c r="D1043" s="97" t="s">
        <v>723</v>
      </c>
      <c r="E1043" s="97" t="s">
        <v>719</v>
      </c>
      <c r="F1043" s="94" t="s">
        <v>724</v>
      </c>
      <c r="G1043" s="97">
        <v>11</v>
      </c>
      <c r="H1043" s="98" t="s">
        <v>750</v>
      </c>
      <c r="I1043" s="99" t="str">
        <f t="shared" si="16"/>
        <v>부여|11</v>
      </c>
      <c r="J1043" s="100">
        <v>0.7</v>
      </c>
      <c r="K1043" s="100">
        <v>1.4</v>
      </c>
      <c r="L1043" s="100">
        <v>1.6</v>
      </c>
      <c r="M1043" s="100">
        <v>3.1</v>
      </c>
      <c r="N1043" s="100">
        <v>2.9</v>
      </c>
      <c r="O1043" s="100">
        <v>2.8</v>
      </c>
      <c r="P1043" s="100">
        <v>7.1</v>
      </c>
      <c r="Q1043" s="100">
        <v>5.8</v>
      </c>
      <c r="R1043" s="100">
        <v>3.5</v>
      </c>
      <c r="S1043" s="100">
        <v>2.2999999999999998</v>
      </c>
      <c r="T1043" s="100">
        <v>1.7</v>
      </c>
      <c r="U1043" s="100">
        <v>1.1000000000000001</v>
      </c>
    </row>
    <row r="1044" spans="4:21">
      <c r="D1044" s="97" t="s">
        <v>91</v>
      </c>
      <c r="E1044" s="97" t="s">
        <v>719</v>
      </c>
      <c r="F1044" s="94" t="s">
        <v>725</v>
      </c>
      <c r="G1044" s="97">
        <v>11</v>
      </c>
      <c r="H1044" s="98" t="s">
        <v>750</v>
      </c>
      <c r="I1044" s="99" t="str">
        <f t="shared" si="16"/>
        <v>서산|11</v>
      </c>
      <c r="J1044" s="100">
        <v>0.5</v>
      </c>
      <c r="K1044" s="100">
        <v>1</v>
      </c>
      <c r="L1044" s="100">
        <v>1.2</v>
      </c>
      <c r="M1044" s="100">
        <v>2.4</v>
      </c>
      <c r="N1044" s="100">
        <v>2.9</v>
      </c>
      <c r="O1044" s="100">
        <v>2.6</v>
      </c>
      <c r="P1044" s="100">
        <v>6</v>
      </c>
      <c r="Q1044" s="100">
        <v>5.5</v>
      </c>
      <c r="R1044" s="100">
        <v>3.2</v>
      </c>
      <c r="S1044" s="100">
        <v>2.2000000000000002</v>
      </c>
      <c r="T1044" s="100">
        <v>2.2000000000000002</v>
      </c>
      <c r="U1044" s="100">
        <v>0.9</v>
      </c>
    </row>
    <row r="1045" spans="4:21">
      <c r="D1045" s="97" t="s">
        <v>726</v>
      </c>
      <c r="E1045" s="97" t="s">
        <v>719</v>
      </c>
      <c r="F1045" s="94" t="s">
        <v>727</v>
      </c>
      <c r="G1045" s="97">
        <v>11</v>
      </c>
      <c r="H1045" s="98" t="s">
        <v>750</v>
      </c>
      <c r="I1045" s="99" t="str">
        <f t="shared" si="16"/>
        <v>천안|11</v>
      </c>
      <c r="J1045" s="100">
        <v>0.2</v>
      </c>
      <c r="K1045" s="100">
        <v>1.1000000000000001</v>
      </c>
      <c r="L1045" s="100">
        <v>1.2</v>
      </c>
      <c r="M1045" s="100">
        <v>2.4</v>
      </c>
      <c r="N1045" s="100">
        <v>2.2999999999999998</v>
      </c>
      <c r="O1045" s="100">
        <v>2.2999999999999998</v>
      </c>
      <c r="P1045" s="100">
        <v>6.4</v>
      </c>
      <c r="Q1045" s="100">
        <v>5.8</v>
      </c>
      <c r="R1045" s="100">
        <v>2.9</v>
      </c>
      <c r="S1045" s="100">
        <v>2.1</v>
      </c>
      <c r="T1045" s="100">
        <v>1.8</v>
      </c>
      <c r="U1045" s="100">
        <v>0.9</v>
      </c>
    </row>
    <row r="1046" spans="4:21">
      <c r="D1046" s="97" t="s">
        <v>728</v>
      </c>
      <c r="E1046" s="97" t="s">
        <v>719</v>
      </c>
      <c r="F1046" s="94" t="s">
        <v>729</v>
      </c>
      <c r="G1046" s="97">
        <v>11</v>
      </c>
      <c r="H1046" s="98" t="s">
        <v>750</v>
      </c>
      <c r="I1046" s="99" t="str">
        <f t="shared" si="16"/>
        <v>홍성|11</v>
      </c>
      <c r="J1046" s="100">
        <v>0.6</v>
      </c>
      <c r="K1046" s="100">
        <v>1.3</v>
      </c>
      <c r="L1046" s="100">
        <v>1.4</v>
      </c>
      <c r="M1046" s="100">
        <v>2.6</v>
      </c>
      <c r="N1046" s="100">
        <v>3</v>
      </c>
      <c r="O1046" s="100">
        <v>2.2000000000000002</v>
      </c>
      <c r="P1046" s="100">
        <v>6.3</v>
      </c>
      <c r="Q1046" s="100">
        <v>6.1</v>
      </c>
      <c r="R1046" s="100">
        <v>3.7</v>
      </c>
      <c r="S1046" s="100">
        <v>1.9</v>
      </c>
      <c r="T1046" s="100">
        <v>2</v>
      </c>
      <c r="U1046" s="100">
        <v>1</v>
      </c>
    </row>
    <row r="1047" spans="4:21">
      <c r="D1047" s="97" t="s">
        <v>730</v>
      </c>
      <c r="E1047" s="97" t="s">
        <v>731</v>
      </c>
      <c r="F1047" s="94" t="s">
        <v>732</v>
      </c>
      <c r="G1047" s="97">
        <v>11</v>
      </c>
      <c r="H1047" s="98" t="s">
        <v>750</v>
      </c>
      <c r="I1047" s="99" t="str">
        <f t="shared" si="16"/>
        <v>보은|11</v>
      </c>
      <c r="J1047" s="100">
        <v>0.4</v>
      </c>
      <c r="K1047" s="100">
        <v>1.2</v>
      </c>
      <c r="L1047" s="100">
        <v>1.9</v>
      </c>
      <c r="M1047" s="100">
        <v>3.4</v>
      </c>
      <c r="N1047" s="100">
        <v>2.7</v>
      </c>
      <c r="O1047" s="100">
        <v>2.9</v>
      </c>
      <c r="P1047" s="100">
        <v>8.4</v>
      </c>
      <c r="Q1047" s="100">
        <v>6.7</v>
      </c>
      <c r="R1047" s="100">
        <v>3.6</v>
      </c>
      <c r="S1047" s="100">
        <v>2.2999999999999998</v>
      </c>
      <c r="T1047" s="100">
        <v>1.8</v>
      </c>
      <c r="U1047" s="100">
        <v>1.2</v>
      </c>
    </row>
    <row r="1048" spans="4:21">
      <c r="D1048" s="97" t="s">
        <v>733</v>
      </c>
      <c r="E1048" s="97" t="s">
        <v>731</v>
      </c>
      <c r="F1048" s="94" t="s">
        <v>734</v>
      </c>
      <c r="G1048" s="97">
        <v>11</v>
      </c>
      <c r="H1048" s="98" t="s">
        <v>750</v>
      </c>
      <c r="I1048" s="99" t="str">
        <f t="shared" si="16"/>
        <v>제천|11</v>
      </c>
      <c r="J1048" s="100">
        <v>0.2</v>
      </c>
      <c r="K1048" s="100">
        <v>1.3</v>
      </c>
      <c r="L1048" s="100">
        <v>1.5</v>
      </c>
      <c r="M1048" s="100">
        <v>2.9</v>
      </c>
      <c r="N1048" s="100">
        <v>3</v>
      </c>
      <c r="O1048" s="100">
        <v>3.2</v>
      </c>
      <c r="P1048" s="100">
        <v>7.5</v>
      </c>
      <c r="Q1048" s="100">
        <v>6.8</v>
      </c>
      <c r="R1048" s="100">
        <v>3.8</v>
      </c>
      <c r="S1048" s="100">
        <v>2.2000000000000002</v>
      </c>
      <c r="T1048" s="100">
        <v>1.6</v>
      </c>
      <c r="U1048" s="100">
        <v>0.9</v>
      </c>
    </row>
    <row r="1049" spans="4:21">
      <c r="D1049" s="97" t="s">
        <v>735</v>
      </c>
      <c r="E1049" s="97" t="s">
        <v>731</v>
      </c>
      <c r="F1049" s="94" t="s">
        <v>736</v>
      </c>
      <c r="G1049" s="97">
        <v>11</v>
      </c>
      <c r="H1049" s="98" t="s">
        <v>750</v>
      </c>
      <c r="I1049" s="99" t="str">
        <f t="shared" si="16"/>
        <v>청주|11</v>
      </c>
      <c r="J1049" s="100">
        <v>0.3</v>
      </c>
      <c r="K1049" s="100">
        <v>1.1000000000000001</v>
      </c>
      <c r="L1049" s="100">
        <v>1.1000000000000001</v>
      </c>
      <c r="M1049" s="100">
        <v>2.9</v>
      </c>
      <c r="N1049" s="100">
        <v>2.7</v>
      </c>
      <c r="O1049" s="100">
        <v>2.4</v>
      </c>
      <c r="P1049" s="100">
        <v>8</v>
      </c>
      <c r="Q1049" s="100">
        <v>6.4</v>
      </c>
      <c r="R1049" s="100">
        <v>3.1</v>
      </c>
      <c r="S1049" s="100">
        <v>1.9</v>
      </c>
      <c r="T1049" s="100">
        <v>1.6</v>
      </c>
      <c r="U1049" s="100">
        <v>0.8</v>
      </c>
    </row>
    <row r="1050" spans="4:21">
      <c r="D1050" s="97" t="s">
        <v>737</v>
      </c>
      <c r="E1050" s="97" t="s">
        <v>731</v>
      </c>
      <c r="F1050" s="94" t="s">
        <v>738</v>
      </c>
      <c r="G1050" s="97">
        <v>11</v>
      </c>
      <c r="H1050" s="98" t="s">
        <v>750</v>
      </c>
      <c r="I1050" s="99" t="str">
        <f t="shared" si="16"/>
        <v>추풍령|11</v>
      </c>
      <c r="J1050" s="100">
        <v>0.7</v>
      </c>
      <c r="K1050" s="100">
        <v>1.2</v>
      </c>
      <c r="L1050" s="100">
        <v>2.2000000000000002</v>
      </c>
      <c r="M1050" s="100">
        <v>2.9</v>
      </c>
      <c r="N1050" s="100">
        <v>2.6</v>
      </c>
      <c r="O1050" s="100">
        <v>3.2</v>
      </c>
      <c r="P1050" s="100">
        <v>6.8</v>
      </c>
      <c r="Q1050" s="100">
        <v>4.8</v>
      </c>
      <c r="R1050" s="100">
        <v>3.6</v>
      </c>
      <c r="S1050" s="100">
        <v>1.9</v>
      </c>
      <c r="T1050" s="100">
        <v>1.5</v>
      </c>
      <c r="U1050" s="100">
        <v>0.9</v>
      </c>
    </row>
    <row r="1051" spans="4:21">
      <c r="D1051" s="97" t="s">
        <v>739</v>
      </c>
      <c r="E1051" s="97" t="s">
        <v>731</v>
      </c>
      <c r="F1051" s="94" t="s">
        <v>740</v>
      </c>
      <c r="G1051" s="97">
        <v>11</v>
      </c>
      <c r="H1051" s="98" t="s">
        <v>750</v>
      </c>
      <c r="I1051" s="99" t="str">
        <f t="shared" si="16"/>
        <v>충주|11</v>
      </c>
      <c r="J1051" s="100">
        <v>0.1</v>
      </c>
      <c r="K1051" s="100">
        <v>1.4</v>
      </c>
      <c r="L1051" s="100">
        <v>1.6</v>
      </c>
      <c r="M1051" s="100">
        <v>2.6</v>
      </c>
      <c r="N1051" s="100">
        <v>2.9</v>
      </c>
      <c r="O1051" s="100">
        <v>3</v>
      </c>
      <c r="P1051" s="100">
        <v>8.1999999999999993</v>
      </c>
      <c r="Q1051" s="100">
        <v>6.3</v>
      </c>
      <c r="R1051" s="100">
        <v>3.6</v>
      </c>
      <c r="S1051" s="100">
        <v>2.2999999999999998</v>
      </c>
      <c r="T1051" s="100">
        <v>1.7</v>
      </c>
      <c r="U1051" s="100">
        <v>1</v>
      </c>
    </row>
    <row r="1052" spans="4:21">
      <c r="D1052" s="97" t="s">
        <v>535</v>
      </c>
      <c r="E1052" s="97" t="s">
        <v>536</v>
      </c>
      <c r="F1052" s="94" t="s">
        <v>537</v>
      </c>
      <c r="G1052" s="97">
        <v>12</v>
      </c>
      <c r="H1052" s="98" t="s">
        <v>751</v>
      </c>
      <c r="I1052" s="99" t="str">
        <f t="shared" si="16"/>
        <v>강릉|12</v>
      </c>
      <c r="J1052" s="100">
        <v>0.5</v>
      </c>
      <c r="K1052" s="100">
        <v>0.7</v>
      </c>
      <c r="L1052" s="100">
        <v>0.4</v>
      </c>
      <c r="M1052" s="100">
        <v>1.5</v>
      </c>
      <c r="N1052" s="100">
        <v>1.2</v>
      </c>
      <c r="O1052" s="100">
        <v>1.3</v>
      </c>
      <c r="P1052" s="100">
        <v>3.3</v>
      </c>
      <c r="Q1052" s="100">
        <v>4.5999999999999996</v>
      </c>
      <c r="R1052" s="100">
        <v>3.3</v>
      </c>
      <c r="S1052" s="100">
        <v>2.1</v>
      </c>
      <c r="T1052" s="100">
        <v>1.5</v>
      </c>
      <c r="U1052" s="100">
        <v>0.6</v>
      </c>
    </row>
    <row r="1053" spans="4:21">
      <c r="D1053" s="97" t="s">
        <v>539</v>
      </c>
      <c r="E1053" s="97" t="s">
        <v>536</v>
      </c>
      <c r="F1053" s="94" t="s">
        <v>540</v>
      </c>
      <c r="G1053" s="97">
        <v>12</v>
      </c>
      <c r="H1053" s="98" t="s">
        <v>751</v>
      </c>
      <c r="I1053" s="99" t="str">
        <f t="shared" si="16"/>
        <v>대관령|12</v>
      </c>
      <c r="J1053" s="100">
        <v>0.1</v>
      </c>
      <c r="K1053" s="100">
        <v>0.4</v>
      </c>
      <c r="L1053" s="100">
        <v>0.1</v>
      </c>
      <c r="M1053" s="100">
        <v>0.8</v>
      </c>
      <c r="N1053" s="100">
        <v>1</v>
      </c>
      <c r="O1053" s="100">
        <v>1.8</v>
      </c>
      <c r="P1053" s="100">
        <v>3.9</v>
      </c>
      <c r="Q1053" s="100">
        <v>4.5</v>
      </c>
      <c r="R1053" s="100">
        <v>2.8</v>
      </c>
      <c r="S1053" s="100">
        <v>1.1000000000000001</v>
      </c>
      <c r="T1053" s="100">
        <v>0.8</v>
      </c>
      <c r="U1053" s="100">
        <v>0.2</v>
      </c>
    </row>
    <row r="1054" spans="4:21">
      <c r="D1054" s="97" t="s">
        <v>541</v>
      </c>
      <c r="E1054" s="97" t="s">
        <v>536</v>
      </c>
      <c r="F1054" s="94" t="s">
        <v>542</v>
      </c>
      <c r="G1054" s="97">
        <v>12</v>
      </c>
      <c r="H1054" s="98" t="s">
        <v>751</v>
      </c>
      <c r="I1054" s="99" t="str">
        <f t="shared" si="16"/>
        <v>동해|12</v>
      </c>
      <c r="J1054" s="100">
        <v>0.5</v>
      </c>
      <c r="K1054" s="100">
        <v>0.7</v>
      </c>
      <c r="L1054" s="100">
        <v>0.5</v>
      </c>
      <c r="M1054" s="100">
        <v>0.7</v>
      </c>
      <c r="N1054" s="100">
        <v>0.7</v>
      </c>
      <c r="O1054" s="100">
        <v>0.9</v>
      </c>
      <c r="P1054" s="100">
        <v>3.2</v>
      </c>
      <c r="Q1054" s="100">
        <v>3.7</v>
      </c>
      <c r="R1054" s="100">
        <v>3.5</v>
      </c>
      <c r="S1054" s="100">
        <v>1.9</v>
      </c>
      <c r="T1054" s="100">
        <v>1.3</v>
      </c>
      <c r="U1054" s="100">
        <v>0.5</v>
      </c>
    </row>
    <row r="1055" spans="4:21">
      <c r="D1055" s="97" t="s">
        <v>543</v>
      </c>
      <c r="E1055" s="97" t="s">
        <v>536</v>
      </c>
      <c r="F1055" s="94" t="s">
        <v>544</v>
      </c>
      <c r="G1055" s="97">
        <v>12</v>
      </c>
      <c r="H1055" s="98" t="s">
        <v>751</v>
      </c>
      <c r="I1055" s="99" t="str">
        <f t="shared" si="16"/>
        <v>북강릉|12</v>
      </c>
      <c r="J1055" s="100">
        <v>0.5</v>
      </c>
      <c r="K1055" s="100">
        <v>0.9</v>
      </c>
      <c r="L1055" s="100">
        <v>0.5</v>
      </c>
      <c r="M1055" s="100">
        <v>1.3</v>
      </c>
      <c r="N1055" s="100">
        <v>1.1000000000000001</v>
      </c>
      <c r="O1055" s="100">
        <v>1.2</v>
      </c>
      <c r="P1055" s="100">
        <v>3.1</v>
      </c>
      <c r="Q1055" s="100">
        <v>4.5999999999999996</v>
      </c>
      <c r="R1055" s="100">
        <v>2.8</v>
      </c>
      <c r="S1055" s="100">
        <v>2</v>
      </c>
      <c r="T1055" s="100">
        <v>1.5</v>
      </c>
      <c r="U1055" s="100">
        <v>0.4</v>
      </c>
    </row>
    <row r="1056" spans="4:21">
      <c r="D1056" s="97" t="s">
        <v>545</v>
      </c>
      <c r="E1056" s="97" t="s">
        <v>536</v>
      </c>
      <c r="F1056" s="94" t="s">
        <v>546</v>
      </c>
      <c r="G1056" s="97">
        <v>12</v>
      </c>
      <c r="H1056" s="98" t="s">
        <v>751</v>
      </c>
      <c r="I1056" s="99" t="str">
        <f t="shared" si="16"/>
        <v>북춘천|12</v>
      </c>
      <c r="J1056" s="100">
        <v>0.3</v>
      </c>
      <c r="K1056" s="100">
        <v>0.1</v>
      </c>
      <c r="L1056" s="100">
        <v>0.4</v>
      </c>
      <c r="M1056" s="100">
        <v>0.8</v>
      </c>
      <c r="N1056" s="100">
        <v>1.5</v>
      </c>
      <c r="O1056" s="100">
        <v>2.2999999999999998</v>
      </c>
      <c r="P1056" s="100">
        <v>5.0999999999999996</v>
      </c>
      <c r="Q1056" s="100">
        <v>4.9000000000000004</v>
      </c>
      <c r="R1056" s="100">
        <v>2.1</v>
      </c>
      <c r="S1056" s="100">
        <v>1.1000000000000001</v>
      </c>
      <c r="T1056" s="100">
        <v>0.9</v>
      </c>
      <c r="U1056" s="100">
        <v>0.4</v>
      </c>
    </row>
    <row r="1057" spans="4:21">
      <c r="D1057" s="97" t="s">
        <v>547</v>
      </c>
      <c r="E1057" s="97" t="s">
        <v>536</v>
      </c>
      <c r="F1057" s="94" t="s">
        <v>548</v>
      </c>
      <c r="G1057" s="97">
        <v>12</v>
      </c>
      <c r="H1057" s="98" t="s">
        <v>751</v>
      </c>
      <c r="I1057" s="99" t="str">
        <f t="shared" si="16"/>
        <v>속초|12</v>
      </c>
      <c r="J1057" s="100">
        <v>0.5</v>
      </c>
      <c r="K1057" s="100">
        <v>0.5</v>
      </c>
      <c r="L1057" s="100">
        <v>0.5</v>
      </c>
      <c r="M1057" s="100">
        <v>1</v>
      </c>
      <c r="N1057" s="100">
        <v>1</v>
      </c>
      <c r="O1057" s="100">
        <v>1.5</v>
      </c>
      <c r="P1057" s="100">
        <v>3.3</v>
      </c>
      <c r="Q1057" s="100">
        <v>4.7</v>
      </c>
      <c r="R1057" s="100">
        <v>2.7</v>
      </c>
      <c r="S1057" s="100">
        <v>2.8</v>
      </c>
      <c r="T1057" s="100">
        <v>1.8</v>
      </c>
      <c r="U1057" s="100">
        <v>0.9</v>
      </c>
    </row>
    <row r="1058" spans="4:21">
      <c r="D1058" s="97" t="s">
        <v>549</v>
      </c>
      <c r="E1058" s="97" t="s">
        <v>536</v>
      </c>
      <c r="F1058" s="94" t="s">
        <v>550</v>
      </c>
      <c r="G1058" s="97">
        <v>12</v>
      </c>
      <c r="H1058" s="98" t="s">
        <v>751</v>
      </c>
      <c r="I1058" s="99" t="str">
        <f t="shared" si="16"/>
        <v>영월|12</v>
      </c>
      <c r="J1058" s="100">
        <v>0.1</v>
      </c>
      <c r="K1058" s="100">
        <v>0.2</v>
      </c>
      <c r="L1058" s="100">
        <v>0.2</v>
      </c>
      <c r="M1058" s="100">
        <v>0.6</v>
      </c>
      <c r="N1058" s="100">
        <v>1.2</v>
      </c>
      <c r="O1058" s="100">
        <v>1.8</v>
      </c>
      <c r="P1058" s="100">
        <v>5.3</v>
      </c>
      <c r="Q1058" s="100">
        <v>4.5999999999999996</v>
      </c>
      <c r="R1058" s="100">
        <v>1.9</v>
      </c>
      <c r="S1058" s="100">
        <v>0.8</v>
      </c>
      <c r="T1058" s="100">
        <v>0.4</v>
      </c>
      <c r="U1058" s="100">
        <v>0.2</v>
      </c>
    </row>
    <row r="1059" spans="4:21">
      <c r="D1059" s="97" t="s">
        <v>551</v>
      </c>
      <c r="E1059" s="97" t="s">
        <v>536</v>
      </c>
      <c r="F1059" s="94" t="s">
        <v>552</v>
      </c>
      <c r="G1059" s="97">
        <v>12</v>
      </c>
      <c r="H1059" s="98" t="s">
        <v>751</v>
      </c>
      <c r="I1059" s="99" t="str">
        <f t="shared" si="16"/>
        <v>원주|12</v>
      </c>
      <c r="J1059" s="100">
        <v>0.1</v>
      </c>
      <c r="K1059" s="100">
        <v>0.2</v>
      </c>
      <c r="L1059" s="100">
        <v>0.3</v>
      </c>
      <c r="M1059" s="100">
        <v>0.4</v>
      </c>
      <c r="N1059" s="100">
        <v>1.1000000000000001</v>
      </c>
      <c r="O1059" s="100">
        <v>1.9</v>
      </c>
      <c r="P1059" s="100">
        <v>4.5</v>
      </c>
      <c r="Q1059" s="100">
        <v>4</v>
      </c>
      <c r="R1059" s="100">
        <v>2.4</v>
      </c>
      <c r="S1059" s="100">
        <v>1</v>
      </c>
      <c r="T1059" s="100">
        <v>0.8</v>
      </c>
      <c r="U1059" s="100">
        <v>0.1</v>
      </c>
    </row>
    <row r="1060" spans="4:21">
      <c r="D1060" s="97" t="s">
        <v>553</v>
      </c>
      <c r="E1060" s="97" t="s">
        <v>536</v>
      </c>
      <c r="F1060" s="94" t="s">
        <v>554</v>
      </c>
      <c r="G1060" s="97">
        <v>12</v>
      </c>
      <c r="H1060" s="98" t="s">
        <v>751</v>
      </c>
      <c r="I1060" s="99" t="str">
        <f t="shared" si="16"/>
        <v>인제|12</v>
      </c>
      <c r="J1060" s="100">
        <v>0.3</v>
      </c>
      <c r="K1060" s="100">
        <v>0.1</v>
      </c>
      <c r="L1060" s="100">
        <v>0.4</v>
      </c>
      <c r="M1060" s="100">
        <v>0.7</v>
      </c>
      <c r="N1060" s="100">
        <v>1.1000000000000001</v>
      </c>
      <c r="O1060" s="100">
        <v>1.9</v>
      </c>
      <c r="P1060" s="100">
        <v>4</v>
      </c>
      <c r="Q1060" s="100">
        <v>4</v>
      </c>
      <c r="R1060" s="100">
        <v>1.8</v>
      </c>
      <c r="S1060" s="100">
        <v>1.1000000000000001</v>
      </c>
      <c r="T1060" s="100">
        <v>0.9</v>
      </c>
      <c r="U1060" s="100">
        <v>0.2</v>
      </c>
    </row>
    <row r="1061" spans="4:21">
      <c r="D1061" s="97" t="s">
        <v>555</v>
      </c>
      <c r="E1061" s="97" t="s">
        <v>536</v>
      </c>
      <c r="F1061" s="94" t="s">
        <v>556</v>
      </c>
      <c r="G1061" s="97">
        <v>12</v>
      </c>
      <c r="H1061" s="98" t="s">
        <v>751</v>
      </c>
      <c r="I1061" s="99" t="str">
        <f t="shared" si="16"/>
        <v>정선군|12</v>
      </c>
      <c r="J1061" s="100">
        <v>0.2</v>
      </c>
      <c r="K1061" s="100">
        <v>0.4</v>
      </c>
      <c r="L1061" s="100">
        <v>0.4</v>
      </c>
      <c r="M1061" s="100">
        <v>0.7</v>
      </c>
      <c r="N1061" s="100">
        <v>1</v>
      </c>
      <c r="O1061" s="100">
        <v>1.5</v>
      </c>
      <c r="P1061" s="100">
        <v>4</v>
      </c>
      <c r="Q1061" s="100">
        <v>4.0999999999999996</v>
      </c>
      <c r="R1061" s="100">
        <v>2.6</v>
      </c>
      <c r="S1061" s="100">
        <v>1</v>
      </c>
      <c r="T1061" s="100">
        <v>0.7</v>
      </c>
      <c r="U1061" s="100">
        <v>0.3</v>
      </c>
    </row>
    <row r="1062" spans="4:21">
      <c r="D1062" s="97" t="s">
        <v>557</v>
      </c>
      <c r="E1062" s="97" t="s">
        <v>536</v>
      </c>
      <c r="F1062" s="94" t="s">
        <v>558</v>
      </c>
      <c r="G1062" s="97">
        <v>12</v>
      </c>
      <c r="H1062" s="98" t="s">
        <v>751</v>
      </c>
      <c r="I1062" s="99" t="str">
        <f t="shared" si="16"/>
        <v>철원|12</v>
      </c>
      <c r="J1062" s="100">
        <v>0.3</v>
      </c>
      <c r="K1062" s="100">
        <v>0.1</v>
      </c>
      <c r="L1062" s="100">
        <v>0.4</v>
      </c>
      <c r="M1062" s="100">
        <v>0.9</v>
      </c>
      <c r="N1062" s="100">
        <v>2.1</v>
      </c>
      <c r="O1062" s="100">
        <v>1.6</v>
      </c>
      <c r="P1062" s="100">
        <v>5.4</v>
      </c>
      <c r="Q1062" s="100">
        <v>4.7</v>
      </c>
      <c r="R1062" s="100">
        <v>1.9</v>
      </c>
      <c r="S1062" s="100">
        <v>1</v>
      </c>
      <c r="T1062" s="100">
        <v>0.8</v>
      </c>
      <c r="U1062" s="100">
        <v>0.3</v>
      </c>
    </row>
    <row r="1063" spans="4:21">
      <c r="D1063" s="97" t="s">
        <v>559</v>
      </c>
      <c r="E1063" s="97" t="s">
        <v>536</v>
      </c>
      <c r="F1063" s="94" t="s">
        <v>560</v>
      </c>
      <c r="G1063" s="97">
        <v>12</v>
      </c>
      <c r="H1063" s="98" t="s">
        <v>751</v>
      </c>
      <c r="I1063" s="99" t="str">
        <f t="shared" si="16"/>
        <v>춘천|12</v>
      </c>
      <c r="J1063" s="100">
        <v>0.2</v>
      </c>
      <c r="K1063" s="100">
        <v>0.3</v>
      </c>
      <c r="L1063" s="100">
        <v>0.4</v>
      </c>
      <c r="M1063" s="100">
        <v>1.2</v>
      </c>
      <c r="N1063" s="100">
        <v>1.4</v>
      </c>
      <c r="O1063" s="100">
        <v>2</v>
      </c>
      <c r="P1063" s="100">
        <v>4.8</v>
      </c>
      <c r="Q1063" s="100">
        <v>4.4000000000000004</v>
      </c>
      <c r="R1063" s="100">
        <v>1.8</v>
      </c>
      <c r="S1063" s="100">
        <v>1.2</v>
      </c>
      <c r="T1063" s="100">
        <v>1</v>
      </c>
      <c r="U1063" s="100">
        <v>0.3</v>
      </c>
    </row>
    <row r="1064" spans="4:21">
      <c r="D1064" s="97" t="s">
        <v>561</v>
      </c>
      <c r="E1064" s="97" t="s">
        <v>536</v>
      </c>
      <c r="F1064" s="94" t="s">
        <v>562</v>
      </c>
      <c r="G1064" s="97">
        <v>12</v>
      </c>
      <c r="H1064" s="98" t="s">
        <v>751</v>
      </c>
      <c r="I1064" s="99" t="str">
        <f t="shared" si="16"/>
        <v>태백|12</v>
      </c>
      <c r="J1064" s="100">
        <v>0.1</v>
      </c>
      <c r="K1064" s="100">
        <v>0.3</v>
      </c>
      <c r="L1064" s="100">
        <v>0.7</v>
      </c>
      <c r="M1064" s="100">
        <v>1.3</v>
      </c>
      <c r="N1064" s="100">
        <v>0.9</v>
      </c>
      <c r="O1064" s="100">
        <v>1.7</v>
      </c>
      <c r="P1064" s="100">
        <v>4.0999999999999996</v>
      </c>
      <c r="Q1064" s="100">
        <v>3.8</v>
      </c>
      <c r="R1064" s="100">
        <v>3</v>
      </c>
      <c r="S1064" s="100">
        <v>1</v>
      </c>
      <c r="T1064" s="100">
        <v>0.7</v>
      </c>
      <c r="U1064" s="100">
        <v>0.4</v>
      </c>
    </row>
    <row r="1065" spans="4:21">
      <c r="D1065" s="97" t="s">
        <v>563</v>
      </c>
      <c r="E1065" s="97" t="s">
        <v>536</v>
      </c>
      <c r="F1065" s="94" t="s">
        <v>564</v>
      </c>
      <c r="G1065" s="97">
        <v>12</v>
      </c>
      <c r="H1065" s="98" t="s">
        <v>751</v>
      </c>
      <c r="I1065" s="99" t="str">
        <f t="shared" si="16"/>
        <v>홍천|12</v>
      </c>
      <c r="J1065" s="100">
        <v>0.2</v>
      </c>
      <c r="K1065" s="100">
        <v>0.3</v>
      </c>
      <c r="L1065" s="100">
        <v>0.4</v>
      </c>
      <c r="M1065" s="100">
        <v>0.9</v>
      </c>
      <c r="N1065" s="100">
        <v>1.4</v>
      </c>
      <c r="O1065" s="100">
        <v>1.8</v>
      </c>
      <c r="P1065" s="100">
        <v>4.8</v>
      </c>
      <c r="Q1065" s="100">
        <v>4.7</v>
      </c>
      <c r="R1065" s="100">
        <v>2</v>
      </c>
      <c r="S1065" s="100">
        <v>1</v>
      </c>
      <c r="T1065" s="100">
        <v>1</v>
      </c>
      <c r="U1065" s="100">
        <v>0.3</v>
      </c>
    </row>
    <row r="1066" spans="4:21">
      <c r="D1066" s="97" t="s">
        <v>565</v>
      </c>
      <c r="E1066" s="97" t="s">
        <v>566</v>
      </c>
      <c r="F1066" s="94" t="s">
        <v>567</v>
      </c>
      <c r="G1066" s="97">
        <v>12</v>
      </c>
      <c r="H1066" s="98" t="s">
        <v>751</v>
      </c>
      <c r="I1066" s="99" t="str">
        <f t="shared" si="16"/>
        <v>동두천|12</v>
      </c>
      <c r="J1066" s="100">
        <v>0.2</v>
      </c>
      <c r="K1066" s="100">
        <v>0.3</v>
      </c>
      <c r="L1066" s="100">
        <v>0.4</v>
      </c>
      <c r="M1066" s="100">
        <v>1</v>
      </c>
      <c r="N1066" s="100">
        <v>2.2999999999999998</v>
      </c>
      <c r="O1066" s="100">
        <v>2</v>
      </c>
      <c r="P1066" s="100">
        <v>5</v>
      </c>
      <c r="Q1066" s="100">
        <v>3.8</v>
      </c>
      <c r="R1066" s="100">
        <v>1.6</v>
      </c>
      <c r="S1066" s="100">
        <v>1.4</v>
      </c>
      <c r="T1066" s="100">
        <v>0.7</v>
      </c>
      <c r="U1066" s="100">
        <v>0.4</v>
      </c>
    </row>
    <row r="1067" spans="4:21">
      <c r="D1067" s="97" t="s">
        <v>568</v>
      </c>
      <c r="E1067" s="97" t="s">
        <v>566</v>
      </c>
      <c r="F1067" s="94" t="s">
        <v>569</v>
      </c>
      <c r="G1067" s="97">
        <v>12</v>
      </c>
      <c r="H1067" s="98" t="s">
        <v>751</v>
      </c>
      <c r="I1067" s="99" t="str">
        <f t="shared" si="16"/>
        <v>수원|12</v>
      </c>
      <c r="J1067" s="100">
        <v>0.2</v>
      </c>
      <c r="K1067" s="100">
        <v>0.5</v>
      </c>
      <c r="L1067" s="100">
        <v>0.7</v>
      </c>
      <c r="M1067" s="100">
        <v>0.9</v>
      </c>
      <c r="N1067" s="100">
        <v>1.6</v>
      </c>
      <c r="O1067" s="100">
        <v>1.3</v>
      </c>
      <c r="P1067" s="100">
        <v>4.7</v>
      </c>
      <c r="Q1067" s="100">
        <v>3.8</v>
      </c>
      <c r="R1067" s="100">
        <v>1.9</v>
      </c>
      <c r="S1067" s="100">
        <v>1.3</v>
      </c>
      <c r="T1067" s="100">
        <v>1.3</v>
      </c>
      <c r="U1067" s="100">
        <v>0.3</v>
      </c>
    </row>
    <row r="1068" spans="4:21">
      <c r="D1068" s="97" t="s">
        <v>570</v>
      </c>
      <c r="E1068" s="97" t="s">
        <v>566</v>
      </c>
      <c r="F1068" s="94" t="s">
        <v>571</v>
      </c>
      <c r="G1068" s="97">
        <v>12</v>
      </c>
      <c r="H1068" s="98" t="s">
        <v>751</v>
      </c>
      <c r="I1068" s="99" t="str">
        <f t="shared" si="16"/>
        <v>양평|12</v>
      </c>
      <c r="J1068" s="100">
        <v>0.2</v>
      </c>
      <c r="K1068" s="100">
        <v>0.3</v>
      </c>
      <c r="L1068" s="100">
        <v>0.5</v>
      </c>
      <c r="M1068" s="100">
        <v>1.1000000000000001</v>
      </c>
      <c r="N1068" s="100">
        <v>1.5</v>
      </c>
      <c r="O1068" s="100">
        <v>2</v>
      </c>
      <c r="P1068" s="100">
        <v>5.0999999999999996</v>
      </c>
      <c r="Q1068" s="100">
        <v>4.5999999999999996</v>
      </c>
      <c r="R1068" s="100">
        <v>2.2999999999999998</v>
      </c>
      <c r="S1068" s="100">
        <v>1</v>
      </c>
      <c r="T1068" s="100">
        <v>1.1000000000000001</v>
      </c>
      <c r="U1068" s="100">
        <v>0.2</v>
      </c>
    </row>
    <row r="1069" spans="4:21">
      <c r="D1069" s="97" t="s">
        <v>572</v>
      </c>
      <c r="E1069" s="97" t="s">
        <v>566</v>
      </c>
      <c r="F1069" s="94" t="s">
        <v>573</v>
      </c>
      <c r="G1069" s="97">
        <v>12</v>
      </c>
      <c r="H1069" s="98" t="s">
        <v>751</v>
      </c>
      <c r="I1069" s="99" t="str">
        <f t="shared" si="16"/>
        <v>이천|12</v>
      </c>
      <c r="J1069" s="100">
        <v>0.2</v>
      </c>
      <c r="K1069" s="100">
        <v>0.5</v>
      </c>
      <c r="L1069" s="100">
        <v>0.6</v>
      </c>
      <c r="M1069" s="100">
        <v>0.8</v>
      </c>
      <c r="N1069" s="100">
        <v>1.6</v>
      </c>
      <c r="O1069" s="100">
        <v>1.6</v>
      </c>
      <c r="P1069" s="100">
        <v>5.3</v>
      </c>
      <c r="Q1069" s="100">
        <v>4.4000000000000004</v>
      </c>
      <c r="R1069" s="100">
        <v>2.6</v>
      </c>
      <c r="S1069" s="100">
        <v>1</v>
      </c>
      <c r="T1069" s="100">
        <v>1.2</v>
      </c>
      <c r="U1069" s="100">
        <v>0.3</v>
      </c>
    </row>
    <row r="1070" spans="4:21">
      <c r="D1070" s="97" t="s">
        <v>574</v>
      </c>
      <c r="E1070" s="97" t="s">
        <v>566</v>
      </c>
      <c r="F1070" s="94" t="s">
        <v>575</v>
      </c>
      <c r="G1070" s="97">
        <v>12</v>
      </c>
      <c r="H1070" s="98" t="s">
        <v>751</v>
      </c>
      <c r="I1070" s="99" t="str">
        <f t="shared" si="16"/>
        <v>파주|12</v>
      </c>
      <c r="J1070" s="100">
        <v>0.2</v>
      </c>
      <c r="K1070" s="100">
        <v>0.5</v>
      </c>
      <c r="L1070" s="100">
        <v>0.4</v>
      </c>
      <c r="M1070" s="100">
        <v>0.9</v>
      </c>
      <c r="N1070" s="100">
        <v>1.8</v>
      </c>
      <c r="O1070" s="100">
        <v>1.7</v>
      </c>
      <c r="P1070" s="100">
        <v>4.4000000000000004</v>
      </c>
      <c r="Q1070" s="100">
        <v>3.7</v>
      </c>
      <c r="R1070" s="100">
        <v>1.6</v>
      </c>
      <c r="S1070" s="100">
        <v>1.1000000000000001</v>
      </c>
      <c r="T1070" s="100">
        <v>0.8</v>
      </c>
      <c r="U1070" s="100">
        <v>0.2</v>
      </c>
    </row>
    <row r="1071" spans="4:21">
      <c r="D1071" s="97" t="s">
        <v>576</v>
      </c>
      <c r="E1071" s="97" t="s">
        <v>577</v>
      </c>
      <c r="F1071" s="94" t="s">
        <v>578</v>
      </c>
      <c r="G1071" s="97">
        <v>12</v>
      </c>
      <c r="H1071" s="98" t="s">
        <v>751</v>
      </c>
      <c r="I1071" s="99" t="str">
        <f t="shared" si="16"/>
        <v>거제|12</v>
      </c>
      <c r="J1071" s="100">
        <v>0.7</v>
      </c>
      <c r="K1071" s="100">
        <v>1.2</v>
      </c>
      <c r="L1071" s="100">
        <v>1.8</v>
      </c>
      <c r="M1071" s="100">
        <v>3</v>
      </c>
      <c r="N1071" s="100">
        <v>3.2</v>
      </c>
      <c r="O1071" s="100">
        <v>3.8</v>
      </c>
      <c r="P1071" s="100">
        <v>4.5</v>
      </c>
      <c r="Q1071" s="100">
        <v>3.7</v>
      </c>
      <c r="R1071" s="100">
        <v>4.0999999999999996</v>
      </c>
      <c r="S1071" s="100">
        <v>1.3</v>
      </c>
      <c r="T1071" s="100">
        <v>1.2</v>
      </c>
      <c r="U1071" s="100">
        <v>0.9</v>
      </c>
    </row>
    <row r="1072" spans="4:21">
      <c r="D1072" s="97" t="s">
        <v>579</v>
      </c>
      <c r="E1072" s="97" t="s">
        <v>577</v>
      </c>
      <c r="F1072" s="94" t="s">
        <v>580</v>
      </c>
      <c r="G1072" s="97">
        <v>12</v>
      </c>
      <c r="H1072" s="98" t="s">
        <v>751</v>
      </c>
      <c r="I1072" s="99" t="str">
        <f t="shared" si="16"/>
        <v>거창|12</v>
      </c>
      <c r="J1072" s="100">
        <v>0.4</v>
      </c>
      <c r="K1072" s="100">
        <v>0.5</v>
      </c>
      <c r="L1072" s="100">
        <v>1</v>
      </c>
      <c r="M1072" s="100">
        <v>1.7</v>
      </c>
      <c r="N1072" s="100">
        <v>1.2</v>
      </c>
      <c r="O1072" s="100">
        <v>2.2000000000000002</v>
      </c>
      <c r="P1072" s="100">
        <v>4.5999999999999996</v>
      </c>
      <c r="Q1072" s="100">
        <v>3.1</v>
      </c>
      <c r="R1072" s="100">
        <v>2.1</v>
      </c>
      <c r="S1072" s="100">
        <v>1.4</v>
      </c>
      <c r="T1072" s="100">
        <v>0.4</v>
      </c>
      <c r="U1072" s="100">
        <v>0.4</v>
      </c>
    </row>
    <row r="1073" spans="4:21">
      <c r="D1073" s="97" t="s">
        <v>581</v>
      </c>
      <c r="E1073" s="97" t="s">
        <v>577</v>
      </c>
      <c r="F1073" s="94" t="s">
        <v>582</v>
      </c>
      <c r="G1073" s="97">
        <v>12</v>
      </c>
      <c r="H1073" s="98" t="s">
        <v>751</v>
      </c>
      <c r="I1073" s="99" t="str">
        <f t="shared" si="16"/>
        <v>김해시|12</v>
      </c>
      <c r="J1073" s="100">
        <v>0.4</v>
      </c>
      <c r="K1073" s="100">
        <v>0.8</v>
      </c>
      <c r="L1073" s="100">
        <v>1.5</v>
      </c>
      <c r="M1073" s="100">
        <v>2.4</v>
      </c>
      <c r="N1073" s="100">
        <v>2</v>
      </c>
      <c r="O1073" s="100">
        <v>2.6</v>
      </c>
      <c r="P1073" s="100">
        <v>4.5999999999999996</v>
      </c>
      <c r="Q1073" s="100">
        <v>2.7</v>
      </c>
      <c r="R1073" s="100">
        <v>3.3</v>
      </c>
      <c r="S1073" s="100">
        <v>1.2</v>
      </c>
      <c r="T1073" s="100">
        <v>1</v>
      </c>
      <c r="U1073" s="100">
        <v>0.8</v>
      </c>
    </row>
    <row r="1074" spans="4:21">
      <c r="D1074" s="97" t="s">
        <v>583</v>
      </c>
      <c r="E1074" s="97" t="s">
        <v>577</v>
      </c>
      <c r="F1074" s="94" t="s">
        <v>584</v>
      </c>
      <c r="G1074" s="97">
        <v>12</v>
      </c>
      <c r="H1074" s="98" t="s">
        <v>751</v>
      </c>
      <c r="I1074" s="99" t="str">
        <f t="shared" si="16"/>
        <v>남해|12</v>
      </c>
      <c r="J1074" s="100">
        <v>0.8</v>
      </c>
      <c r="K1074" s="100">
        <v>1.2</v>
      </c>
      <c r="L1074" s="100">
        <v>1.7</v>
      </c>
      <c r="M1074" s="100">
        <v>3.2</v>
      </c>
      <c r="N1074" s="100">
        <v>2.2000000000000002</v>
      </c>
      <c r="O1074" s="100">
        <v>3.4</v>
      </c>
      <c r="P1074" s="100">
        <v>4.8</v>
      </c>
      <c r="Q1074" s="100">
        <v>3.2</v>
      </c>
      <c r="R1074" s="100">
        <v>3.4</v>
      </c>
      <c r="S1074" s="100">
        <v>1.3</v>
      </c>
      <c r="T1074" s="100">
        <v>1</v>
      </c>
      <c r="U1074" s="100">
        <v>0.9</v>
      </c>
    </row>
    <row r="1075" spans="4:21">
      <c r="D1075" s="97" t="s">
        <v>585</v>
      </c>
      <c r="E1075" s="97" t="s">
        <v>577</v>
      </c>
      <c r="F1075" s="94" t="s">
        <v>586</v>
      </c>
      <c r="G1075" s="97">
        <v>12</v>
      </c>
      <c r="H1075" s="98" t="s">
        <v>751</v>
      </c>
      <c r="I1075" s="99" t="str">
        <f t="shared" si="16"/>
        <v>밀양|12</v>
      </c>
      <c r="J1075" s="100">
        <v>0.3</v>
      </c>
      <c r="K1075" s="100">
        <v>0.4</v>
      </c>
      <c r="L1075" s="100">
        <v>1.3</v>
      </c>
      <c r="M1075" s="100">
        <v>1.7</v>
      </c>
      <c r="N1075" s="100">
        <v>1.6</v>
      </c>
      <c r="O1075" s="100">
        <v>2.7</v>
      </c>
      <c r="P1075" s="100">
        <v>4.0999999999999996</v>
      </c>
      <c r="Q1075" s="100">
        <v>2.8</v>
      </c>
      <c r="R1075" s="100">
        <v>2.6</v>
      </c>
      <c r="S1075" s="100">
        <v>1.2</v>
      </c>
      <c r="T1075" s="100">
        <v>0.8</v>
      </c>
      <c r="U1075" s="100">
        <v>0.5</v>
      </c>
    </row>
    <row r="1076" spans="4:21">
      <c r="D1076" s="97" t="s">
        <v>587</v>
      </c>
      <c r="E1076" s="97" t="s">
        <v>577</v>
      </c>
      <c r="F1076" s="94" t="s">
        <v>588</v>
      </c>
      <c r="G1076" s="97">
        <v>12</v>
      </c>
      <c r="H1076" s="98" t="s">
        <v>751</v>
      </c>
      <c r="I1076" s="99" t="str">
        <f t="shared" si="16"/>
        <v>북창원|12</v>
      </c>
      <c r="J1076" s="100">
        <v>0.6</v>
      </c>
      <c r="K1076" s="100">
        <v>0.7</v>
      </c>
      <c r="L1076" s="100">
        <v>1.4</v>
      </c>
      <c r="M1076" s="100">
        <v>2.4</v>
      </c>
      <c r="N1076" s="100">
        <v>1.6</v>
      </c>
      <c r="O1076" s="100">
        <v>2.4</v>
      </c>
      <c r="P1076" s="100">
        <v>5.2</v>
      </c>
      <c r="Q1076" s="100">
        <v>4</v>
      </c>
      <c r="R1076" s="100">
        <v>3.3</v>
      </c>
      <c r="S1076" s="100">
        <v>1.4</v>
      </c>
      <c r="T1076" s="100">
        <v>1</v>
      </c>
      <c r="U1076" s="100">
        <v>0.6</v>
      </c>
    </row>
    <row r="1077" spans="4:21">
      <c r="D1077" s="97" t="s">
        <v>589</v>
      </c>
      <c r="E1077" s="97" t="s">
        <v>577</v>
      </c>
      <c r="F1077" s="94" t="s">
        <v>590</v>
      </c>
      <c r="G1077" s="97">
        <v>12</v>
      </c>
      <c r="H1077" s="98" t="s">
        <v>751</v>
      </c>
      <c r="I1077" s="99" t="str">
        <f t="shared" si="16"/>
        <v>산청|12</v>
      </c>
      <c r="J1077" s="100">
        <v>0.4</v>
      </c>
      <c r="K1077" s="100">
        <v>0.5</v>
      </c>
      <c r="L1077" s="100">
        <v>1</v>
      </c>
      <c r="M1077" s="100">
        <v>2.2000000000000002</v>
      </c>
      <c r="N1077" s="100">
        <v>1.6</v>
      </c>
      <c r="O1077" s="100">
        <v>2.1</v>
      </c>
      <c r="P1077" s="100">
        <v>4.3</v>
      </c>
      <c r="Q1077" s="100">
        <v>4.2</v>
      </c>
      <c r="R1077" s="100">
        <v>3.1</v>
      </c>
      <c r="S1077" s="100">
        <v>1.3</v>
      </c>
      <c r="T1077" s="100">
        <v>1.1000000000000001</v>
      </c>
      <c r="U1077" s="100">
        <v>0.5</v>
      </c>
    </row>
    <row r="1078" spans="4:21">
      <c r="D1078" s="97" t="s">
        <v>591</v>
      </c>
      <c r="E1078" s="97" t="s">
        <v>577</v>
      </c>
      <c r="F1078" s="94" t="s">
        <v>592</v>
      </c>
      <c r="G1078" s="97">
        <v>12</v>
      </c>
      <c r="H1078" s="98" t="s">
        <v>751</v>
      </c>
      <c r="I1078" s="99" t="str">
        <f t="shared" si="16"/>
        <v>양산시|12</v>
      </c>
      <c r="J1078" s="100">
        <v>0.5</v>
      </c>
      <c r="K1078" s="100">
        <v>0.8</v>
      </c>
      <c r="L1078" s="100">
        <v>1.8</v>
      </c>
      <c r="M1078" s="100">
        <v>2.4</v>
      </c>
      <c r="N1078" s="100">
        <v>1.8</v>
      </c>
      <c r="O1078" s="100">
        <v>2.2999999999999998</v>
      </c>
      <c r="P1078" s="100">
        <v>4.4000000000000004</v>
      </c>
      <c r="Q1078" s="100">
        <v>3</v>
      </c>
      <c r="R1078" s="100">
        <v>3.6</v>
      </c>
      <c r="S1078" s="100">
        <v>1.3</v>
      </c>
      <c r="T1078" s="100">
        <v>1.2</v>
      </c>
      <c r="U1078" s="100">
        <v>0.6</v>
      </c>
    </row>
    <row r="1079" spans="4:21">
      <c r="D1079" s="97" t="s">
        <v>593</v>
      </c>
      <c r="E1079" s="97" t="s">
        <v>577</v>
      </c>
      <c r="F1079" s="94" t="s">
        <v>594</v>
      </c>
      <c r="G1079" s="97">
        <v>12</v>
      </c>
      <c r="H1079" s="98" t="s">
        <v>751</v>
      </c>
      <c r="I1079" s="99" t="str">
        <f t="shared" si="16"/>
        <v>의령군|12</v>
      </c>
      <c r="J1079" s="100">
        <v>0.3</v>
      </c>
      <c r="K1079" s="100">
        <v>0.6</v>
      </c>
      <c r="L1079" s="100">
        <v>1.1000000000000001</v>
      </c>
      <c r="M1079" s="100">
        <v>2.2999999999999998</v>
      </c>
      <c r="N1079" s="100">
        <v>1.6</v>
      </c>
      <c r="O1079" s="100">
        <v>2.4</v>
      </c>
      <c r="P1079" s="100">
        <v>4.4000000000000004</v>
      </c>
      <c r="Q1079" s="100">
        <v>3.3</v>
      </c>
      <c r="R1079" s="100">
        <v>2.8</v>
      </c>
      <c r="S1079" s="100">
        <v>1.3</v>
      </c>
      <c r="T1079" s="100">
        <v>0.7</v>
      </c>
      <c r="U1079" s="100">
        <v>0.5</v>
      </c>
    </row>
    <row r="1080" spans="4:21">
      <c r="D1080" s="97" t="s">
        <v>595</v>
      </c>
      <c r="E1080" s="97" t="s">
        <v>577</v>
      </c>
      <c r="F1080" s="94" t="s">
        <v>596</v>
      </c>
      <c r="G1080" s="97">
        <v>12</v>
      </c>
      <c r="H1080" s="98" t="s">
        <v>751</v>
      </c>
      <c r="I1080" s="99" t="str">
        <f t="shared" si="16"/>
        <v>진주|12</v>
      </c>
      <c r="J1080" s="100">
        <v>0.5</v>
      </c>
      <c r="K1080" s="100">
        <v>0.7</v>
      </c>
      <c r="L1080" s="100">
        <v>1.4</v>
      </c>
      <c r="M1080" s="100">
        <v>2.6</v>
      </c>
      <c r="N1080" s="100">
        <v>1.8</v>
      </c>
      <c r="O1080" s="100">
        <v>2.9</v>
      </c>
      <c r="P1080" s="100">
        <v>4.4000000000000004</v>
      </c>
      <c r="Q1080" s="100">
        <v>3.4</v>
      </c>
      <c r="R1080" s="100">
        <v>3.4</v>
      </c>
      <c r="S1080" s="100">
        <v>1.3</v>
      </c>
      <c r="T1080" s="100">
        <v>1</v>
      </c>
      <c r="U1080" s="100">
        <v>0.5</v>
      </c>
    </row>
    <row r="1081" spans="4:21">
      <c r="D1081" s="97" t="s">
        <v>597</v>
      </c>
      <c r="E1081" s="97" t="s">
        <v>577</v>
      </c>
      <c r="F1081" s="94" t="s">
        <v>598</v>
      </c>
      <c r="G1081" s="97">
        <v>12</v>
      </c>
      <c r="H1081" s="98" t="s">
        <v>751</v>
      </c>
      <c r="I1081" s="99" t="str">
        <f t="shared" si="16"/>
        <v>창원|12</v>
      </c>
      <c r="J1081" s="100">
        <v>0.5</v>
      </c>
      <c r="K1081" s="100">
        <v>0.9</v>
      </c>
      <c r="L1081" s="100">
        <v>1.4</v>
      </c>
      <c r="M1081" s="100">
        <v>2.5</v>
      </c>
      <c r="N1081" s="100">
        <v>2</v>
      </c>
      <c r="O1081" s="100">
        <v>2.8</v>
      </c>
      <c r="P1081" s="100">
        <v>4.5999999999999996</v>
      </c>
      <c r="Q1081" s="100">
        <v>3.9</v>
      </c>
      <c r="R1081" s="100">
        <v>3</v>
      </c>
      <c r="S1081" s="100">
        <v>1.1000000000000001</v>
      </c>
      <c r="T1081" s="100">
        <v>1</v>
      </c>
      <c r="U1081" s="100">
        <v>0.6</v>
      </c>
    </row>
    <row r="1082" spans="4:21">
      <c r="D1082" s="97" t="s">
        <v>599</v>
      </c>
      <c r="E1082" s="97" t="s">
        <v>577</v>
      </c>
      <c r="F1082" s="94" t="s">
        <v>600</v>
      </c>
      <c r="G1082" s="97">
        <v>12</v>
      </c>
      <c r="H1082" s="98" t="s">
        <v>751</v>
      </c>
      <c r="I1082" s="99" t="str">
        <f t="shared" si="16"/>
        <v>통영|12</v>
      </c>
      <c r="J1082" s="100">
        <v>0.7</v>
      </c>
      <c r="K1082" s="100">
        <v>1.2</v>
      </c>
      <c r="L1082" s="100">
        <v>1.8</v>
      </c>
      <c r="M1082" s="100">
        <v>3.1</v>
      </c>
      <c r="N1082" s="100">
        <v>2.9</v>
      </c>
      <c r="O1082" s="100">
        <v>3.3</v>
      </c>
      <c r="P1082" s="100">
        <v>4.8</v>
      </c>
      <c r="Q1082" s="100">
        <v>3.2</v>
      </c>
      <c r="R1082" s="100">
        <v>3.8</v>
      </c>
      <c r="S1082" s="100">
        <v>1.3</v>
      </c>
      <c r="T1082" s="100">
        <v>1</v>
      </c>
      <c r="U1082" s="100">
        <v>0.9</v>
      </c>
    </row>
    <row r="1083" spans="4:21">
      <c r="D1083" s="97" t="s">
        <v>601</v>
      </c>
      <c r="E1083" s="97" t="s">
        <v>577</v>
      </c>
      <c r="F1083" s="94" t="s">
        <v>602</v>
      </c>
      <c r="G1083" s="97">
        <v>12</v>
      </c>
      <c r="H1083" s="98" t="s">
        <v>751</v>
      </c>
      <c r="I1083" s="99" t="str">
        <f t="shared" si="16"/>
        <v>함양군|12</v>
      </c>
      <c r="J1083" s="100">
        <v>0.4</v>
      </c>
      <c r="K1083" s="100">
        <v>0.4</v>
      </c>
      <c r="L1083" s="100">
        <v>1.1000000000000001</v>
      </c>
      <c r="M1083" s="100">
        <v>1.5</v>
      </c>
      <c r="N1083" s="100">
        <v>0.9</v>
      </c>
      <c r="O1083" s="100">
        <v>2.5</v>
      </c>
      <c r="P1083" s="100">
        <v>4.3</v>
      </c>
      <c r="Q1083" s="100">
        <v>3.2</v>
      </c>
      <c r="R1083" s="100">
        <v>2</v>
      </c>
      <c r="S1083" s="100">
        <v>1.2</v>
      </c>
      <c r="T1083" s="100">
        <v>0.5</v>
      </c>
      <c r="U1083" s="100">
        <v>0.5</v>
      </c>
    </row>
    <row r="1084" spans="4:21">
      <c r="D1084" s="97" t="s">
        <v>603</v>
      </c>
      <c r="E1084" s="97" t="s">
        <v>577</v>
      </c>
      <c r="F1084" s="94" t="s">
        <v>604</v>
      </c>
      <c r="G1084" s="97">
        <v>12</v>
      </c>
      <c r="H1084" s="98" t="s">
        <v>751</v>
      </c>
      <c r="I1084" s="99" t="str">
        <f t="shared" si="16"/>
        <v>합천|12</v>
      </c>
      <c r="J1084" s="100">
        <v>0.3</v>
      </c>
      <c r="K1084" s="100">
        <v>0.4</v>
      </c>
      <c r="L1084" s="100">
        <v>0.8</v>
      </c>
      <c r="M1084" s="100">
        <v>1.7</v>
      </c>
      <c r="N1084" s="100">
        <v>1.4</v>
      </c>
      <c r="O1084" s="100">
        <v>2.6</v>
      </c>
      <c r="P1084" s="100">
        <v>4.3</v>
      </c>
      <c r="Q1084" s="100">
        <v>3.7</v>
      </c>
      <c r="R1084" s="100">
        <v>2.8</v>
      </c>
      <c r="S1084" s="100">
        <v>1.3</v>
      </c>
      <c r="T1084" s="100">
        <v>0.6</v>
      </c>
      <c r="U1084" s="100">
        <v>0.4</v>
      </c>
    </row>
    <row r="1085" spans="4:21">
      <c r="D1085" s="97" t="s">
        <v>605</v>
      </c>
      <c r="E1085" s="97" t="s">
        <v>606</v>
      </c>
      <c r="F1085" s="94" t="s">
        <v>607</v>
      </c>
      <c r="G1085" s="97">
        <v>12</v>
      </c>
      <c r="H1085" s="98" t="s">
        <v>751</v>
      </c>
      <c r="I1085" s="99" t="str">
        <f t="shared" si="16"/>
        <v>경주시|12</v>
      </c>
      <c r="J1085" s="100">
        <v>0.3</v>
      </c>
      <c r="K1085" s="100">
        <v>0.3</v>
      </c>
      <c r="L1085" s="100">
        <v>0.8</v>
      </c>
      <c r="M1085" s="100">
        <v>1.2</v>
      </c>
      <c r="N1085" s="100">
        <v>0.6</v>
      </c>
      <c r="O1085" s="100">
        <v>1.7</v>
      </c>
      <c r="P1085" s="100">
        <v>3.4</v>
      </c>
      <c r="Q1085" s="100">
        <v>2.9</v>
      </c>
      <c r="R1085" s="100">
        <v>3.2</v>
      </c>
      <c r="S1085" s="100">
        <v>1.2</v>
      </c>
      <c r="T1085" s="100">
        <v>0.4</v>
      </c>
      <c r="U1085" s="100">
        <v>0.5</v>
      </c>
    </row>
    <row r="1086" spans="4:21">
      <c r="D1086" s="97" t="s">
        <v>608</v>
      </c>
      <c r="E1086" s="97" t="s">
        <v>606</v>
      </c>
      <c r="F1086" s="94" t="s">
        <v>609</v>
      </c>
      <c r="G1086" s="97">
        <v>12</v>
      </c>
      <c r="H1086" s="98" t="s">
        <v>751</v>
      </c>
      <c r="I1086" s="99" t="str">
        <f t="shared" si="16"/>
        <v>구미|12</v>
      </c>
      <c r="J1086" s="100">
        <v>0.1</v>
      </c>
      <c r="K1086" s="100">
        <v>0.2</v>
      </c>
      <c r="L1086" s="100">
        <v>1</v>
      </c>
      <c r="M1086" s="100">
        <v>1</v>
      </c>
      <c r="N1086" s="100">
        <v>1</v>
      </c>
      <c r="O1086" s="100">
        <v>1.7</v>
      </c>
      <c r="P1086" s="100">
        <v>4.2</v>
      </c>
      <c r="Q1086" s="100">
        <v>3.3</v>
      </c>
      <c r="R1086" s="100">
        <v>2.5</v>
      </c>
      <c r="S1086" s="100">
        <v>1.1000000000000001</v>
      </c>
      <c r="T1086" s="100">
        <v>0.5</v>
      </c>
      <c r="U1086" s="100">
        <v>0.2</v>
      </c>
    </row>
    <row r="1087" spans="4:21">
      <c r="D1087" s="97" t="s">
        <v>610</v>
      </c>
      <c r="E1087" s="97" t="s">
        <v>606</v>
      </c>
      <c r="F1087" s="94" t="s">
        <v>611</v>
      </c>
      <c r="G1087" s="97">
        <v>12</v>
      </c>
      <c r="H1087" s="98" t="s">
        <v>751</v>
      </c>
      <c r="I1087" s="99" t="str">
        <f t="shared" si="16"/>
        <v>문경|12</v>
      </c>
      <c r="J1087" s="100">
        <v>0.1</v>
      </c>
      <c r="K1087" s="100">
        <v>0.6</v>
      </c>
      <c r="L1087" s="100">
        <v>1</v>
      </c>
      <c r="M1087" s="100">
        <v>1.9</v>
      </c>
      <c r="N1087" s="100">
        <v>1.7</v>
      </c>
      <c r="O1087" s="100">
        <v>1.7</v>
      </c>
      <c r="P1087" s="100">
        <v>6</v>
      </c>
      <c r="Q1087" s="100">
        <v>4.0999999999999996</v>
      </c>
      <c r="R1087" s="100">
        <v>2.5</v>
      </c>
      <c r="S1087" s="100">
        <v>1.1000000000000001</v>
      </c>
      <c r="T1087" s="100">
        <v>0.5</v>
      </c>
      <c r="U1087" s="100">
        <v>0.4</v>
      </c>
    </row>
    <row r="1088" spans="4:21">
      <c r="D1088" s="97" t="s">
        <v>612</v>
      </c>
      <c r="E1088" s="97" t="s">
        <v>606</v>
      </c>
      <c r="F1088" s="94" t="s">
        <v>613</v>
      </c>
      <c r="G1088" s="97">
        <v>12</v>
      </c>
      <c r="H1088" s="98" t="s">
        <v>751</v>
      </c>
      <c r="I1088" s="99" t="str">
        <f t="shared" si="16"/>
        <v>봉화|12</v>
      </c>
      <c r="J1088" s="100">
        <v>0.1</v>
      </c>
      <c r="K1088" s="100">
        <v>0.3</v>
      </c>
      <c r="L1088" s="100">
        <v>0.8</v>
      </c>
      <c r="M1088" s="100">
        <v>1.1000000000000001</v>
      </c>
      <c r="N1088" s="100">
        <v>1.5</v>
      </c>
      <c r="O1088" s="100">
        <v>1.9</v>
      </c>
      <c r="P1088" s="100">
        <v>4.3</v>
      </c>
      <c r="Q1088" s="100">
        <v>3.9</v>
      </c>
      <c r="R1088" s="100">
        <v>2.2999999999999998</v>
      </c>
      <c r="S1088" s="100">
        <v>1</v>
      </c>
      <c r="T1088" s="100">
        <v>0.8</v>
      </c>
      <c r="U1088" s="100">
        <v>0.3</v>
      </c>
    </row>
    <row r="1089" spans="4:21">
      <c r="D1089" s="97" t="s">
        <v>614</v>
      </c>
      <c r="E1089" s="97" t="s">
        <v>606</v>
      </c>
      <c r="F1089" s="94" t="s">
        <v>615</v>
      </c>
      <c r="G1089" s="97">
        <v>12</v>
      </c>
      <c r="H1089" s="98" t="s">
        <v>751</v>
      </c>
      <c r="I1089" s="99" t="str">
        <f t="shared" si="16"/>
        <v>상주|12</v>
      </c>
      <c r="J1089" s="100">
        <v>0.1</v>
      </c>
      <c r="K1089" s="100">
        <v>0.6</v>
      </c>
      <c r="L1089" s="100">
        <v>1</v>
      </c>
      <c r="M1089" s="100">
        <v>1.6</v>
      </c>
      <c r="N1089" s="100">
        <v>1.6</v>
      </c>
      <c r="O1089" s="100">
        <v>1.7</v>
      </c>
      <c r="P1089" s="100">
        <v>5.3</v>
      </c>
      <c r="Q1089" s="100">
        <v>3.5</v>
      </c>
      <c r="R1089" s="100">
        <v>2.2999999999999998</v>
      </c>
      <c r="S1089" s="100">
        <v>1.1000000000000001</v>
      </c>
      <c r="T1089" s="100">
        <v>0.4</v>
      </c>
      <c r="U1089" s="100">
        <v>0.4</v>
      </c>
    </row>
    <row r="1090" spans="4:21">
      <c r="D1090" s="97" t="s">
        <v>616</v>
      </c>
      <c r="E1090" s="97" t="s">
        <v>606</v>
      </c>
      <c r="F1090" s="94" t="s">
        <v>617</v>
      </c>
      <c r="G1090" s="97">
        <v>12</v>
      </c>
      <c r="H1090" s="98" t="s">
        <v>751</v>
      </c>
      <c r="I1090" s="99" t="str">
        <f t="shared" si="16"/>
        <v>안동|12</v>
      </c>
      <c r="J1090" s="100">
        <v>0.1</v>
      </c>
      <c r="K1090" s="100">
        <v>0.3</v>
      </c>
      <c r="L1090" s="100">
        <v>0.9</v>
      </c>
      <c r="M1090" s="100">
        <v>1.5</v>
      </c>
      <c r="N1090" s="100">
        <v>1</v>
      </c>
      <c r="O1090" s="100">
        <v>1.7</v>
      </c>
      <c r="P1090" s="100">
        <v>3.8</v>
      </c>
      <c r="Q1090" s="100">
        <v>3.2</v>
      </c>
      <c r="R1090" s="100">
        <v>2</v>
      </c>
      <c r="S1090" s="100">
        <v>1.1000000000000001</v>
      </c>
      <c r="T1090" s="100">
        <v>0.2</v>
      </c>
      <c r="U1090" s="100">
        <v>0.2</v>
      </c>
    </row>
    <row r="1091" spans="4:21">
      <c r="D1091" s="97" t="s">
        <v>618</v>
      </c>
      <c r="E1091" s="97" t="s">
        <v>606</v>
      </c>
      <c r="F1091" s="94" t="s">
        <v>619</v>
      </c>
      <c r="G1091" s="97">
        <v>12</v>
      </c>
      <c r="H1091" s="98" t="s">
        <v>751</v>
      </c>
      <c r="I1091" s="99" t="str">
        <f t="shared" si="16"/>
        <v>영덕|12</v>
      </c>
      <c r="J1091" s="100">
        <v>0.2</v>
      </c>
      <c r="K1091" s="100">
        <v>0.3</v>
      </c>
      <c r="L1091" s="100">
        <v>0.7</v>
      </c>
      <c r="M1091" s="100">
        <v>1.5</v>
      </c>
      <c r="N1091" s="100">
        <v>0.9</v>
      </c>
      <c r="O1091" s="100">
        <v>1.8</v>
      </c>
      <c r="P1091" s="100">
        <v>3.2</v>
      </c>
      <c r="Q1091" s="100">
        <v>2.5</v>
      </c>
      <c r="R1091" s="100">
        <v>2.5</v>
      </c>
      <c r="S1091" s="100">
        <v>1.6</v>
      </c>
      <c r="T1091" s="100">
        <v>1.2</v>
      </c>
      <c r="U1091" s="100">
        <v>0.2</v>
      </c>
    </row>
    <row r="1092" spans="4:21">
      <c r="D1092" s="97" t="s">
        <v>620</v>
      </c>
      <c r="E1092" s="97" t="s">
        <v>606</v>
      </c>
      <c r="F1092" s="94" t="s">
        <v>621</v>
      </c>
      <c r="G1092" s="97">
        <v>12</v>
      </c>
      <c r="H1092" s="98" t="s">
        <v>751</v>
      </c>
      <c r="I1092" s="99" t="str">
        <f t="shared" si="16"/>
        <v>영주|12</v>
      </c>
      <c r="J1092" s="100">
        <v>0.2</v>
      </c>
      <c r="K1092" s="100">
        <v>0.5</v>
      </c>
      <c r="L1092" s="100">
        <v>1</v>
      </c>
      <c r="M1092" s="100">
        <v>1.6</v>
      </c>
      <c r="N1092" s="100">
        <v>1.8</v>
      </c>
      <c r="O1092" s="100">
        <v>2.4</v>
      </c>
      <c r="P1092" s="100">
        <v>5.3</v>
      </c>
      <c r="Q1092" s="100">
        <v>3.8</v>
      </c>
      <c r="R1092" s="100">
        <v>2.5</v>
      </c>
      <c r="S1092" s="100">
        <v>1.1000000000000001</v>
      </c>
      <c r="T1092" s="100">
        <v>0.9</v>
      </c>
      <c r="U1092" s="100">
        <v>0.5</v>
      </c>
    </row>
    <row r="1093" spans="4:21">
      <c r="D1093" s="97" t="s">
        <v>622</v>
      </c>
      <c r="E1093" s="97" t="s">
        <v>606</v>
      </c>
      <c r="F1093" s="94" t="s">
        <v>623</v>
      </c>
      <c r="G1093" s="97">
        <v>12</v>
      </c>
      <c r="H1093" s="98" t="s">
        <v>751</v>
      </c>
      <c r="I1093" s="99" t="str">
        <f t="shared" si="16"/>
        <v>영천|12</v>
      </c>
      <c r="J1093" s="100">
        <v>0.2</v>
      </c>
      <c r="K1093" s="100">
        <v>0.4</v>
      </c>
      <c r="L1093" s="100">
        <v>0.7</v>
      </c>
      <c r="M1093" s="100">
        <v>1.2</v>
      </c>
      <c r="N1093" s="100">
        <v>0.8</v>
      </c>
      <c r="O1093" s="100">
        <v>2.2999999999999998</v>
      </c>
      <c r="P1093" s="100">
        <v>3.7</v>
      </c>
      <c r="Q1093" s="100">
        <v>2.9</v>
      </c>
      <c r="R1093" s="100">
        <v>2.1</v>
      </c>
      <c r="S1093" s="100">
        <v>1</v>
      </c>
      <c r="T1093" s="100">
        <v>0.5</v>
      </c>
      <c r="U1093" s="100">
        <v>0.4</v>
      </c>
    </row>
    <row r="1094" spans="4:21">
      <c r="D1094" s="97" t="s">
        <v>624</v>
      </c>
      <c r="E1094" s="97" t="s">
        <v>606</v>
      </c>
      <c r="F1094" s="94" t="s">
        <v>625</v>
      </c>
      <c r="G1094" s="97">
        <v>12</v>
      </c>
      <c r="H1094" s="98" t="s">
        <v>751</v>
      </c>
      <c r="I1094" s="99" t="str">
        <f t="shared" si="16"/>
        <v>울릉도|12</v>
      </c>
      <c r="J1094" s="100">
        <v>1.3</v>
      </c>
      <c r="K1094" s="100">
        <v>1.9</v>
      </c>
      <c r="L1094" s="100">
        <v>1.1000000000000001</v>
      </c>
      <c r="M1094" s="100">
        <v>1.1000000000000001</v>
      </c>
      <c r="N1094" s="100">
        <v>0.9</v>
      </c>
      <c r="O1094" s="100">
        <v>1.5</v>
      </c>
      <c r="P1094" s="100">
        <v>2.9</v>
      </c>
      <c r="Q1094" s="100">
        <v>1.5</v>
      </c>
      <c r="R1094" s="100">
        <v>2.6</v>
      </c>
      <c r="S1094" s="100">
        <v>2.7</v>
      </c>
      <c r="T1094" s="100">
        <v>2.5</v>
      </c>
      <c r="U1094" s="100">
        <v>2.5</v>
      </c>
    </row>
    <row r="1095" spans="4:21">
      <c r="D1095" s="97" t="s">
        <v>626</v>
      </c>
      <c r="E1095" s="97" t="s">
        <v>606</v>
      </c>
      <c r="F1095" s="94" t="s">
        <v>627</v>
      </c>
      <c r="G1095" s="97">
        <v>12</v>
      </c>
      <c r="H1095" s="98" t="s">
        <v>751</v>
      </c>
      <c r="I1095" s="99" t="str">
        <f t="shared" ref="I1095:I1158" si="17">$D1095&amp;"|"&amp;$G1095</f>
        <v>울진|12</v>
      </c>
      <c r="J1095" s="100">
        <v>0.5</v>
      </c>
      <c r="K1095" s="100">
        <v>0.4</v>
      </c>
      <c r="L1095" s="100">
        <v>0.6</v>
      </c>
      <c r="M1095" s="100">
        <v>1.3</v>
      </c>
      <c r="N1095" s="100">
        <v>0.4</v>
      </c>
      <c r="O1095" s="100">
        <v>1.1000000000000001</v>
      </c>
      <c r="P1095" s="100">
        <v>3.2</v>
      </c>
      <c r="Q1095" s="100">
        <v>2.8</v>
      </c>
      <c r="R1095" s="100">
        <v>2.6</v>
      </c>
      <c r="S1095" s="100">
        <v>2.1</v>
      </c>
      <c r="T1095" s="100">
        <v>1.2</v>
      </c>
      <c r="U1095" s="100">
        <v>0.4</v>
      </c>
    </row>
    <row r="1096" spans="4:21">
      <c r="D1096" s="97" t="s">
        <v>628</v>
      </c>
      <c r="E1096" s="97" t="s">
        <v>606</v>
      </c>
      <c r="F1096" s="94" t="s">
        <v>629</v>
      </c>
      <c r="G1096" s="97">
        <v>12</v>
      </c>
      <c r="H1096" s="98" t="s">
        <v>751</v>
      </c>
      <c r="I1096" s="99" t="str">
        <f t="shared" si="17"/>
        <v>의성|12</v>
      </c>
      <c r="J1096" s="100">
        <v>0.1</v>
      </c>
      <c r="K1096" s="100">
        <v>0.1</v>
      </c>
      <c r="L1096" s="100">
        <v>0.8</v>
      </c>
      <c r="M1096" s="100">
        <v>1.1000000000000001</v>
      </c>
      <c r="N1096" s="100">
        <v>1.1000000000000001</v>
      </c>
      <c r="O1096" s="100">
        <v>1.7</v>
      </c>
      <c r="P1096" s="100">
        <v>4</v>
      </c>
      <c r="Q1096" s="100">
        <v>2.8</v>
      </c>
      <c r="R1096" s="100">
        <v>2.4</v>
      </c>
      <c r="S1096" s="100">
        <v>1</v>
      </c>
      <c r="T1096" s="100">
        <v>0.5</v>
      </c>
      <c r="U1096" s="100">
        <v>0.2</v>
      </c>
    </row>
    <row r="1097" spans="4:21">
      <c r="D1097" s="97" t="s">
        <v>630</v>
      </c>
      <c r="E1097" s="97" t="s">
        <v>606</v>
      </c>
      <c r="F1097" s="94" t="s">
        <v>631</v>
      </c>
      <c r="G1097" s="97">
        <v>12</v>
      </c>
      <c r="H1097" s="98" t="s">
        <v>751</v>
      </c>
      <c r="I1097" s="99" t="str">
        <f t="shared" si="17"/>
        <v>청송군|12</v>
      </c>
      <c r="J1097" s="100">
        <v>0.2</v>
      </c>
      <c r="K1097" s="100">
        <v>0.1</v>
      </c>
      <c r="L1097" s="100">
        <v>0.8</v>
      </c>
      <c r="M1097" s="100">
        <v>1.2</v>
      </c>
      <c r="N1097" s="100">
        <v>1.2</v>
      </c>
      <c r="O1097" s="100">
        <v>1.7</v>
      </c>
      <c r="P1097" s="100">
        <v>4.0999999999999996</v>
      </c>
      <c r="Q1097" s="100">
        <v>3</v>
      </c>
      <c r="R1097" s="100">
        <v>2.2999999999999998</v>
      </c>
      <c r="S1097" s="100">
        <v>1</v>
      </c>
      <c r="T1097" s="100">
        <v>0.4</v>
      </c>
      <c r="U1097" s="100">
        <v>0.3</v>
      </c>
    </row>
    <row r="1098" spans="4:21">
      <c r="D1098" s="97" t="s">
        <v>632</v>
      </c>
      <c r="E1098" s="97" t="s">
        <v>606</v>
      </c>
      <c r="F1098" s="94" t="s">
        <v>633</v>
      </c>
      <c r="G1098" s="97">
        <v>12</v>
      </c>
      <c r="H1098" s="98" t="s">
        <v>751</v>
      </c>
      <c r="I1098" s="99" t="str">
        <f t="shared" si="17"/>
        <v>포항|12</v>
      </c>
      <c r="J1098" s="100">
        <v>0.3</v>
      </c>
      <c r="K1098" s="100">
        <v>0.4</v>
      </c>
      <c r="L1098" s="100">
        <v>1.1000000000000001</v>
      </c>
      <c r="M1098" s="100">
        <v>1.3</v>
      </c>
      <c r="N1098" s="100">
        <v>0.6</v>
      </c>
      <c r="O1098" s="100">
        <v>1.5</v>
      </c>
      <c r="P1098" s="100">
        <v>2.6</v>
      </c>
      <c r="Q1098" s="100">
        <v>2.9</v>
      </c>
      <c r="R1098" s="100">
        <v>3.1</v>
      </c>
      <c r="S1098" s="100">
        <v>1.4</v>
      </c>
      <c r="T1098" s="100">
        <v>0.6</v>
      </c>
      <c r="U1098" s="100">
        <v>0.5</v>
      </c>
    </row>
    <row r="1099" spans="4:21">
      <c r="D1099" s="97" t="s">
        <v>634</v>
      </c>
      <c r="E1099" s="97" t="s">
        <v>635</v>
      </c>
      <c r="F1099" s="94" t="s">
        <v>636</v>
      </c>
      <c r="G1099" s="97">
        <v>12</v>
      </c>
      <c r="H1099" s="98" t="s">
        <v>751</v>
      </c>
      <c r="I1099" s="99" t="str">
        <f t="shared" si="17"/>
        <v>광주|12</v>
      </c>
      <c r="J1099" s="100">
        <v>0.2</v>
      </c>
      <c r="K1099" s="100">
        <v>0.2</v>
      </c>
      <c r="L1099" s="100">
        <v>1.2</v>
      </c>
      <c r="M1099" s="100">
        <v>1.8</v>
      </c>
      <c r="N1099" s="100">
        <v>1.3</v>
      </c>
      <c r="O1099" s="100">
        <v>2.7</v>
      </c>
      <c r="P1099" s="100">
        <v>4.5999999999999996</v>
      </c>
      <c r="Q1099" s="100">
        <v>3.4</v>
      </c>
      <c r="R1099" s="100">
        <v>2.2999999999999998</v>
      </c>
      <c r="S1099" s="100">
        <v>1.3</v>
      </c>
      <c r="T1099" s="100">
        <v>0.9</v>
      </c>
      <c r="U1099" s="100">
        <v>0.4</v>
      </c>
    </row>
    <row r="1100" spans="4:21">
      <c r="D1100" s="97" t="s">
        <v>637</v>
      </c>
      <c r="E1100" s="97" t="s">
        <v>638</v>
      </c>
      <c r="F1100" s="94" t="s">
        <v>639</v>
      </c>
      <c r="G1100" s="97">
        <v>12</v>
      </c>
      <c r="H1100" s="98" t="s">
        <v>751</v>
      </c>
      <c r="I1100" s="99" t="str">
        <f t="shared" si="17"/>
        <v>대구|12</v>
      </c>
      <c r="J1100" s="100">
        <v>0.1</v>
      </c>
      <c r="K1100" s="100">
        <v>0.2</v>
      </c>
      <c r="L1100" s="100">
        <v>0.5</v>
      </c>
      <c r="M1100" s="100">
        <v>0.7</v>
      </c>
      <c r="N1100" s="100">
        <v>0.6</v>
      </c>
      <c r="O1100" s="100">
        <v>2.1</v>
      </c>
      <c r="P1100" s="100">
        <v>3.4</v>
      </c>
      <c r="Q1100" s="100">
        <v>3.3</v>
      </c>
      <c r="R1100" s="100">
        <v>2.2999999999999998</v>
      </c>
      <c r="S1100" s="100">
        <v>1.1000000000000001</v>
      </c>
      <c r="T1100" s="100">
        <v>0.2</v>
      </c>
      <c r="U1100" s="100">
        <v>0.4</v>
      </c>
    </row>
    <row r="1101" spans="4:21">
      <c r="D1101" s="97" t="s">
        <v>640</v>
      </c>
      <c r="E1101" s="97" t="s">
        <v>641</v>
      </c>
      <c r="F1101" s="94" t="s">
        <v>642</v>
      </c>
      <c r="G1101" s="97">
        <v>12</v>
      </c>
      <c r="H1101" s="98" t="s">
        <v>751</v>
      </c>
      <c r="I1101" s="99" t="str">
        <f t="shared" si="17"/>
        <v>대전|12</v>
      </c>
      <c r="J1101" s="100">
        <v>0.2</v>
      </c>
      <c r="K1101" s="100">
        <v>0.4</v>
      </c>
      <c r="L1101" s="100">
        <v>0.7</v>
      </c>
      <c r="M1101" s="100">
        <v>1.5</v>
      </c>
      <c r="N1101" s="100">
        <v>1.3</v>
      </c>
      <c r="O1101" s="100">
        <v>1.9</v>
      </c>
      <c r="P1101" s="100">
        <v>5.2</v>
      </c>
      <c r="Q1101" s="100">
        <v>4</v>
      </c>
      <c r="R1101" s="100">
        <v>2.6</v>
      </c>
      <c r="S1101" s="100">
        <v>1.4</v>
      </c>
      <c r="T1101" s="100">
        <v>0.8</v>
      </c>
      <c r="U1101" s="100">
        <v>0.5</v>
      </c>
    </row>
    <row r="1102" spans="4:21">
      <c r="D1102" s="97" t="s">
        <v>643</v>
      </c>
      <c r="E1102" s="97" t="s">
        <v>644</v>
      </c>
      <c r="F1102" s="94" t="s">
        <v>645</v>
      </c>
      <c r="G1102" s="97">
        <v>12</v>
      </c>
      <c r="H1102" s="98" t="s">
        <v>751</v>
      </c>
      <c r="I1102" s="99" t="str">
        <f t="shared" si="17"/>
        <v>부산|12</v>
      </c>
      <c r="J1102" s="100">
        <v>0.8</v>
      </c>
      <c r="K1102" s="100">
        <v>1</v>
      </c>
      <c r="L1102" s="100">
        <v>1.8</v>
      </c>
      <c r="M1102" s="100">
        <v>2.5</v>
      </c>
      <c r="N1102" s="100">
        <v>2.5</v>
      </c>
      <c r="O1102" s="100">
        <v>2.7</v>
      </c>
      <c r="P1102" s="100">
        <v>4.2</v>
      </c>
      <c r="Q1102" s="100">
        <v>3.4</v>
      </c>
      <c r="R1102" s="100">
        <v>3.3</v>
      </c>
      <c r="S1102" s="100">
        <v>1.2</v>
      </c>
      <c r="T1102" s="100">
        <v>1.2</v>
      </c>
      <c r="U1102" s="100">
        <v>0.8</v>
      </c>
    </row>
    <row r="1103" spans="4:21">
      <c r="D1103" s="97" t="s">
        <v>64</v>
      </c>
      <c r="E1103" s="97" t="s">
        <v>646</v>
      </c>
      <c r="F1103" s="94" t="s">
        <v>647</v>
      </c>
      <c r="G1103" s="97">
        <v>12</v>
      </c>
      <c r="H1103" s="98" t="s">
        <v>751</v>
      </c>
      <c r="I1103" s="99" t="str">
        <f t="shared" si="17"/>
        <v>서울|12</v>
      </c>
      <c r="J1103" s="100">
        <v>0.2</v>
      </c>
      <c r="K1103" s="100">
        <v>0.2</v>
      </c>
      <c r="L1103" s="100">
        <v>0.5</v>
      </c>
      <c r="M1103" s="100">
        <v>1</v>
      </c>
      <c r="N1103" s="100">
        <v>1.8</v>
      </c>
      <c r="O1103" s="100">
        <v>2</v>
      </c>
      <c r="P1103" s="100">
        <v>4.7</v>
      </c>
      <c r="Q1103" s="100">
        <v>3.8</v>
      </c>
      <c r="R1103" s="100">
        <v>2</v>
      </c>
      <c r="S1103" s="100">
        <v>1.2</v>
      </c>
      <c r="T1103" s="100">
        <v>1.2</v>
      </c>
      <c r="U1103" s="100">
        <v>0.4</v>
      </c>
    </row>
    <row r="1104" spans="4:21">
      <c r="D1104" s="97" t="s">
        <v>648</v>
      </c>
      <c r="E1104" s="97" t="s">
        <v>649</v>
      </c>
      <c r="F1104" s="94" t="s">
        <v>650</v>
      </c>
      <c r="G1104" s="97">
        <v>12</v>
      </c>
      <c r="H1104" s="98" t="s">
        <v>751</v>
      </c>
      <c r="I1104" s="99" t="str">
        <f t="shared" si="17"/>
        <v>세종|12</v>
      </c>
      <c r="J1104" s="100">
        <v>0.2</v>
      </c>
      <c r="K1104" s="100">
        <v>0.5</v>
      </c>
      <c r="L1104" s="100">
        <v>0.5</v>
      </c>
      <c r="M1104" s="100">
        <v>0.2</v>
      </c>
      <c r="N1104" s="100">
        <v>1.5</v>
      </c>
      <c r="O1104" s="100">
        <v>2.2000000000000002</v>
      </c>
      <c r="P1104" s="100">
        <v>5.2</v>
      </c>
      <c r="Q1104" s="100">
        <v>5.8</v>
      </c>
      <c r="R1104" s="100">
        <v>3</v>
      </c>
      <c r="S1104" s="100">
        <v>0.8</v>
      </c>
      <c r="T1104" s="100">
        <v>1</v>
      </c>
      <c r="U1104" s="100">
        <v>0.5</v>
      </c>
    </row>
    <row r="1105" spans="4:21">
      <c r="D1105" s="97" t="s">
        <v>651</v>
      </c>
      <c r="E1105" s="97" t="s">
        <v>652</v>
      </c>
      <c r="F1105" s="94" t="s">
        <v>653</v>
      </c>
      <c r="G1105" s="97">
        <v>12</v>
      </c>
      <c r="H1105" s="98" t="s">
        <v>751</v>
      </c>
      <c r="I1105" s="99" t="str">
        <f t="shared" si="17"/>
        <v>울산|12</v>
      </c>
      <c r="J1105" s="100">
        <v>0.5</v>
      </c>
      <c r="K1105" s="100">
        <v>0.6</v>
      </c>
      <c r="L1105" s="100">
        <v>1.2</v>
      </c>
      <c r="M1105" s="100">
        <v>2.1</v>
      </c>
      <c r="N1105" s="100">
        <v>1.3</v>
      </c>
      <c r="O1105" s="100">
        <v>2.2999999999999998</v>
      </c>
      <c r="P1105" s="100">
        <v>3.2</v>
      </c>
      <c r="Q1105" s="100">
        <v>2.9</v>
      </c>
      <c r="R1105" s="100">
        <v>3.1</v>
      </c>
      <c r="S1105" s="100">
        <v>1.3</v>
      </c>
      <c r="T1105" s="100">
        <v>1.1000000000000001</v>
      </c>
      <c r="U1105" s="100">
        <v>0.7</v>
      </c>
    </row>
    <row r="1106" spans="4:21">
      <c r="D1106" s="97" t="s">
        <v>654</v>
      </c>
      <c r="E1106" s="97" t="s">
        <v>655</v>
      </c>
      <c r="F1106" s="94" t="s">
        <v>656</v>
      </c>
      <c r="G1106" s="97">
        <v>12</v>
      </c>
      <c r="H1106" s="98" t="s">
        <v>751</v>
      </c>
      <c r="I1106" s="99" t="str">
        <f t="shared" si="17"/>
        <v>강화|12</v>
      </c>
      <c r="J1106" s="100">
        <v>0.2</v>
      </c>
      <c r="K1106" s="100">
        <v>0.3</v>
      </c>
      <c r="L1106" s="100">
        <v>0.4</v>
      </c>
      <c r="M1106" s="100">
        <v>1</v>
      </c>
      <c r="N1106" s="100">
        <v>1.8</v>
      </c>
      <c r="O1106" s="100">
        <v>1.5</v>
      </c>
      <c r="P1106" s="100">
        <v>4.0999999999999996</v>
      </c>
      <c r="Q1106" s="100">
        <v>3.1</v>
      </c>
      <c r="R1106" s="100">
        <v>1.7</v>
      </c>
      <c r="S1106" s="100">
        <v>1.2</v>
      </c>
      <c r="T1106" s="100">
        <v>0.7</v>
      </c>
      <c r="U1106" s="100">
        <v>0.5</v>
      </c>
    </row>
    <row r="1107" spans="4:21">
      <c r="D1107" s="97" t="s">
        <v>657</v>
      </c>
      <c r="E1107" s="97" t="s">
        <v>655</v>
      </c>
      <c r="F1107" s="94" t="s">
        <v>658</v>
      </c>
      <c r="G1107" s="97">
        <v>12</v>
      </c>
      <c r="H1107" s="98" t="s">
        <v>751</v>
      </c>
      <c r="I1107" s="99" t="str">
        <f t="shared" si="17"/>
        <v>백령도|12</v>
      </c>
      <c r="J1107" s="100">
        <v>0.1</v>
      </c>
      <c r="K1107" s="100">
        <v>0.2</v>
      </c>
      <c r="L1107" s="100">
        <v>0.5</v>
      </c>
      <c r="M1107" s="100">
        <v>0.7</v>
      </c>
      <c r="N1107" s="100">
        <v>1.3</v>
      </c>
      <c r="O1107" s="100">
        <v>1.2</v>
      </c>
      <c r="P1107" s="100">
        <v>2.4</v>
      </c>
      <c r="Q1107" s="100">
        <v>3.1</v>
      </c>
      <c r="R1107" s="100">
        <v>1.2</v>
      </c>
      <c r="S1107" s="100">
        <v>0.6</v>
      </c>
      <c r="T1107" s="100">
        <v>0.8</v>
      </c>
      <c r="U1107" s="100">
        <v>0.2</v>
      </c>
    </row>
    <row r="1108" spans="4:21">
      <c r="D1108" s="97" t="s">
        <v>659</v>
      </c>
      <c r="E1108" s="97" t="s">
        <v>655</v>
      </c>
      <c r="F1108" s="94" t="s">
        <v>660</v>
      </c>
      <c r="G1108" s="97">
        <v>12</v>
      </c>
      <c r="H1108" s="98" t="s">
        <v>751</v>
      </c>
      <c r="I1108" s="99" t="str">
        <f t="shared" si="17"/>
        <v>인천|12</v>
      </c>
      <c r="J1108" s="100">
        <v>0.2</v>
      </c>
      <c r="K1108" s="100">
        <v>0.2</v>
      </c>
      <c r="L1108" s="100">
        <v>0.5</v>
      </c>
      <c r="M1108" s="100">
        <v>0.7</v>
      </c>
      <c r="N1108" s="100">
        <v>2</v>
      </c>
      <c r="O1108" s="100">
        <v>1.4</v>
      </c>
      <c r="P1108" s="100">
        <v>3.8</v>
      </c>
      <c r="Q1108" s="100">
        <v>3.6</v>
      </c>
      <c r="R1108" s="100">
        <v>1.6</v>
      </c>
      <c r="S1108" s="100">
        <v>0.7</v>
      </c>
      <c r="T1108" s="100">
        <v>1.5</v>
      </c>
      <c r="U1108" s="100">
        <v>0.3</v>
      </c>
    </row>
    <row r="1109" spans="4:21">
      <c r="D1109" s="97" t="s">
        <v>661</v>
      </c>
      <c r="E1109" s="97" t="s">
        <v>662</v>
      </c>
      <c r="F1109" s="94" t="s">
        <v>663</v>
      </c>
      <c r="G1109" s="97">
        <v>12</v>
      </c>
      <c r="H1109" s="98" t="s">
        <v>751</v>
      </c>
      <c r="I1109" s="99" t="str">
        <f t="shared" si="17"/>
        <v>강진군|12</v>
      </c>
      <c r="J1109" s="100">
        <v>0.4</v>
      </c>
      <c r="K1109" s="100">
        <v>0.5</v>
      </c>
      <c r="L1109" s="100">
        <v>1.7</v>
      </c>
      <c r="M1109" s="100">
        <v>2</v>
      </c>
      <c r="N1109" s="100">
        <v>1.9</v>
      </c>
      <c r="O1109" s="100">
        <v>2.7</v>
      </c>
      <c r="P1109" s="100">
        <v>4.3</v>
      </c>
      <c r="Q1109" s="100">
        <v>3</v>
      </c>
      <c r="R1109" s="100">
        <v>2.8</v>
      </c>
      <c r="S1109" s="100">
        <v>1.1000000000000001</v>
      </c>
      <c r="T1109" s="100">
        <v>0.8</v>
      </c>
      <c r="U1109" s="100">
        <v>0.4</v>
      </c>
    </row>
    <row r="1110" spans="4:21">
      <c r="D1110" s="97" t="s">
        <v>664</v>
      </c>
      <c r="E1110" s="97" t="s">
        <v>662</v>
      </c>
      <c r="F1110" s="94" t="s">
        <v>665</v>
      </c>
      <c r="G1110" s="97">
        <v>12</v>
      </c>
      <c r="H1110" s="98" t="s">
        <v>751</v>
      </c>
      <c r="I1110" s="99" t="str">
        <f t="shared" si="17"/>
        <v>고흥|12</v>
      </c>
      <c r="J1110" s="100">
        <v>0.5</v>
      </c>
      <c r="K1110" s="100">
        <v>0.8</v>
      </c>
      <c r="L1110" s="100">
        <v>1.2</v>
      </c>
      <c r="M1110" s="100">
        <v>2.7</v>
      </c>
      <c r="N1110" s="100">
        <v>1.9</v>
      </c>
      <c r="O1110" s="100">
        <v>3</v>
      </c>
      <c r="P1110" s="100">
        <v>4</v>
      </c>
      <c r="Q1110" s="100">
        <v>2.2000000000000002</v>
      </c>
      <c r="R1110" s="100">
        <v>2.9</v>
      </c>
      <c r="S1110" s="100">
        <v>1</v>
      </c>
      <c r="T1110" s="100">
        <v>0.9</v>
      </c>
      <c r="U1110" s="100">
        <v>0.3</v>
      </c>
    </row>
    <row r="1111" spans="4:21">
      <c r="D1111" s="97" t="s">
        <v>666</v>
      </c>
      <c r="E1111" s="97" t="s">
        <v>662</v>
      </c>
      <c r="F1111" s="94" t="s">
        <v>667</v>
      </c>
      <c r="G1111" s="97">
        <v>12</v>
      </c>
      <c r="H1111" s="98" t="s">
        <v>751</v>
      </c>
      <c r="I1111" s="99" t="str">
        <f t="shared" si="17"/>
        <v>광양시|12</v>
      </c>
      <c r="J1111" s="100">
        <v>0.3</v>
      </c>
      <c r="K1111" s="100">
        <v>0.8</v>
      </c>
      <c r="L1111" s="100">
        <v>1.4</v>
      </c>
      <c r="M1111" s="100">
        <v>2.6</v>
      </c>
      <c r="N1111" s="100">
        <v>1.8</v>
      </c>
      <c r="O1111" s="100">
        <v>3</v>
      </c>
      <c r="P1111" s="100">
        <v>4.3</v>
      </c>
      <c r="Q1111" s="100">
        <v>3.1</v>
      </c>
      <c r="R1111" s="100">
        <v>3.3</v>
      </c>
      <c r="S1111" s="100">
        <v>1.4</v>
      </c>
      <c r="T1111" s="100">
        <v>1.2</v>
      </c>
      <c r="U1111" s="100">
        <v>0.2</v>
      </c>
    </row>
    <row r="1112" spans="4:21">
      <c r="D1112" s="97" t="s">
        <v>668</v>
      </c>
      <c r="E1112" s="97" t="s">
        <v>662</v>
      </c>
      <c r="F1112" s="94" t="s">
        <v>669</v>
      </c>
      <c r="G1112" s="97">
        <v>12</v>
      </c>
      <c r="H1112" s="98" t="s">
        <v>751</v>
      </c>
      <c r="I1112" s="99" t="str">
        <f t="shared" si="17"/>
        <v>목포|12</v>
      </c>
      <c r="J1112" s="100">
        <v>0.4</v>
      </c>
      <c r="K1112" s="100">
        <v>0.2</v>
      </c>
      <c r="L1112" s="100">
        <v>0.9</v>
      </c>
      <c r="M1112" s="100">
        <v>2.1</v>
      </c>
      <c r="N1112" s="100">
        <v>1.8</v>
      </c>
      <c r="O1112" s="100">
        <v>2.2999999999999998</v>
      </c>
      <c r="P1112" s="100">
        <v>4</v>
      </c>
      <c r="Q1112" s="100">
        <v>2.4</v>
      </c>
      <c r="R1112" s="100">
        <v>1.9</v>
      </c>
      <c r="S1112" s="100">
        <v>1.4</v>
      </c>
      <c r="T1112" s="100">
        <v>0.5</v>
      </c>
      <c r="U1112" s="100">
        <v>0.3</v>
      </c>
    </row>
    <row r="1113" spans="4:21">
      <c r="D1113" s="97" t="s">
        <v>670</v>
      </c>
      <c r="E1113" s="97" t="s">
        <v>662</v>
      </c>
      <c r="F1113" s="94" t="s">
        <v>671</v>
      </c>
      <c r="G1113" s="97">
        <v>12</v>
      </c>
      <c r="H1113" s="98" t="s">
        <v>751</v>
      </c>
      <c r="I1113" s="99" t="str">
        <f t="shared" si="17"/>
        <v>보성군|12</v>
      </c>
      <c r="J1113" s="100">
        <v>0.3</v>
      </c>
      <c r="K1113" s="100">
        <v>0.7</v>
      </c>
      <c r="L1113" s="100">
        <v>1.5</v>
      </c>
      <c r="M1113" s="100">
        <v>2.5</v>
      </c>
      <c r="N1113" s="100">
        <v>2</v>
      </c>
      <c r="O1113" s="100">
        <v>3.2</v>
      </c>
      <c r="P1113" s="100">
        <v>4</v>
      </c>
      <c r="Q1113" s="100">
        <v>2.7</v>
      </c>
      <c r="R1113" s="100">
        <v>2.2999999999999998</v>
      </c>
      <c r="S1113" s="100">
        <v>1.4</v>
      </c>
      <c r="T1113" s="100">
        <v>1</v>
      </c>
      <c r="U1113" s="100">
        <v>0.4</v>
      </c>
    </row>
    <row r="1114" spans="4:21">
      <c r="D1114" s="97" t="s">
        <v>672</v>
      </c>
      <c r="E1114" s="97" t="s">
        <v>662</v>
      </c>
      <c r="F1114" s="94" t="s">
        <v>673</v>
      </c>
      <c r="G1114" s="97">
        <v>12</v>
      </c>
      <c r="H1114" s="98" t="s">
        <v>751</v>
      </c>
      <c r="I1114" s="99" t="str">
        <f t="shared" si="17"/>
        <v>순천|12</v>
      </c>
      <c r="J1114" s="100">
        <v>0.2</v>
      </c>
      <c r="K1114" s="100">
        <v>0.6</v>
      </c>
      <c r="L1114" s="100">
        <v>1.5</v>
      </c>
      <c r="M1114" s="100">
        <v>1.8</v>
      </c>
      <c r="N1114" s="100">
        <v>1.7</v>
      </c>
      <c r="O1114" s="100">
        <v>2.5</v>
      </c>
      <c r="P1114" s="100">
        <v>4.2</v>
      </c>
      <c r="Q1114" s="100">
        <v>3.3</v>
      </c>
      <c r="R1114" s="100">
        <v>3.3</v>
      </c>
      <c r="S1114" s="100">
        <v>1.3</v>
      </c>
      <c r="T1114" s="100">
        <v>0.9</v>
      </c>
      <c r="U1114" s="100">
        <v>0.5</v>
      </c>
    </row>
    <row r="1115" spans="4:21">
      <c r="D1115" s="97" t="s">
        <v>674</v>
      </c>
      <c r="E1115" s="97" t="s">
        <v>662</v>
      </c>
      <c r="F1115" s="94" t="s">
        <v>675</v>
      </c>
      <c r="G1115" s="97">
        <v>12</v>
      </c>
      <c r="H1115" s="98" t="s">
        <v>751</v>
      </c>
      <c r="I1115" s="99" t="str">
        <f t="shared" si="17"/>
        <v>여수|12</v>
      </c>
      <c r="J1115" s="100">
        <v>0.4</v>
      </c>
      <c r="K1115" s="100">
        <v>0.9</v>
      </c>
      <c r="L1115" s="100">
        <v>1.5</v>
      </c>
      <c r="M1115" s="100">
        <v>2.6</v>
      </c>
      <c r="N1115" s="100">
        <v>2.2999999999999998</v>
      </c>
      <c r="O1115" s="100">
        <v>3</v>
      </c>
      <c r="P1115" s="100">
        <v>4.2</v>
      </c>
      <c r="Q1115" s="100">
        <v>2.4</v>
      </c>
      <c r="R1115" s="100">
        <v>2.7</v>
      </c>
      <c r="S1115" s="100">
        <v>1.2</v>
      </c>
      <c r="T1115" s="100">
        <v>0.6</v>
      </c>
      <c r="U1115" s="100">
        <v>0.4</v>
      </c>
    </row>
    <row r="1116" spans="4:21">
      <c r="D1116" s="97" t="s">
        <v>676</v>
      </c>
      <c r="E1116" s="97" t="s">
        <v>662</v>
      </c>
      <c r="F1116" s="94" t="s">
        <v>677</v>
      </c>
      <c r="G1116" s="97">
        <v>12</v>
      </c>
      <c r="H1116" s="98" t="s">
        <v>751</v>
      </c>
      <c r="I1116" s="99" t="str">
        <f t="shared" si="17"/>
        <v>영광군|12</v>
      </c>
      <c r="J1116" s="100">
        <v>0.1</v>
      </c>
      <c r="K1116" s="100">
        <v>0.4</v>
      </c>
      <c r="L1116" s="100">
        <v>1</v>
      </c>
      <c r="M1116" s="100">
        <v>1.6</v>
      </c>
      <c r="N1116" s="100">
        <v>1.5</v>
      </c>
      <c r="O1116" s="100">
        <v>2.1</v>
      </c>
      <c r="P1116" s="100">
        <v>3.7</v>
      </c>
      <c r="Q1116" s="100">
        <v>3.2</v>
      </c>
      <c r="R1116" s="100">
        <v>2.4</v>
      </c>
      <c r="S1116" s="100">
        <v>1.3</v>
      </c>
      <c r="T1116" s="100">
        <v>1</v>
      </c>
      <c r="U1116" s="100">
        <v>0.3</v>
      </c>
    </row>
    <row r="1117" spans="4:21">
      <c r="D1117" s="97" t="s">
        <v>678</v>
      </c>
      <c r="E1117" s="97" t="s">
        <v>662</v>
      </c>
      <c r="F1117" s="94" t="s">
        <v>679</v>
      </c>
      <c r="G1117" s="97">
        <v>12</v>
      </c>
      <c r="H1117" s="98" t="s">
        <v>751</v>
      </c>
      <c r="I1117" s="99" t="str">
        <f t="shared" si="17"/>
        <v>완도|12</v>
      </c>
      <c r="J1117" s="100">
        <v>0.6</v>
      </c>
      <c r="K1117" s="100">
        <v>0.9</v>
      </c>
      <c r="L1117" s="100">
        <v>1.6</v>
      </c>
      <c r="M1117" s="100">
        <v>2.7</v>
      </c>
      <c r="N1117" s="100">
        <v>2.2000000000000002</v>
      </c>
      <c r="O1117" s="100">
        <v>3.1</v>
      </c>
      <c r="P1117" s="100">
        <v>4.2</v>
      </c>
      <c r="Q1117" s="100">
        <v>1.7</v>
      </c>
      <c r="R1117" s="100">
        <v>3</v>
      </c>
      <c r="S1117" s="100">
        <v>1.1000000000000001</v>
      </c>
      <c r="T1117" s="100">
        <v>0.7</v>
      </c>
      <c r="U1117" s="100">
        <v>0.4</v>
      </c>
    </row>
    <row r="1118" spans="4:21">
      <c r="D1118" s="97" t="s">
        <v>680</v>
      </c>
      <c r="E1118" s="97" t="s">
        <v>662</v>
      </c>
      <c r="F1118" s="94" t="s">
        <v>681</v>
      </c>
      <c r="G1118" s="97">
        <v>12</v>
      </c>
      <c r="H1118" s="98" t="s">
        <v>751</v>
      </c>
      <c r="I1118" s="99" t="str">
        <f t="shared" si="17"/>
        <v>장흥|12</v>
      </c>
      <c r="J1118" s="100">
        <v>0.4</v>
      </c>
      <c r="K1118" s="100">
        <v>0.5</v>
      </c>
      <c r="L1118" s="100">
        <v>1.4</v>
      </c>
      <c r="M1118" s="100">
        <v>1.9</v>
      </c>
      <c r="N1118" s="100">
        <v>2</v>
      </c>
      <c r="O1118" s="100">
        <v>3.1</v>
      </c>
      <c r="P1118" s="100">
        <v>4.0999999999999996</v>
      </c>
      <c r="Q1118" s="100">
        <v>3.3</v>
      </c>
      <c r="R1118" s="100">
        <v>2.4</v>
      </c>
      <c r="S1118" s="100">
        <v>1.3</v>
      </c>
      <c r="T1118" s="100">
        <v>0.4</v>
      </c>
      <c r="U1118" s="100">
        <v>0.3</v>
      </c>
    </row>
    <row r="1119" spans="4:21">
      <c r="D1119" s="97" t="s">
        <v>682</v>
      </c>
      <c r="E1119" s="97" t="s">
        <v>662</v>
      </c>
      <c r="F1119" s="94" t="s">
        <v>683</v>
      </c>
      <c r="G1119" s="97">
        <v>12</v>
      </c>
      <c r="H1119" s="98" t="s">
        <v>751</v>
      </c>
      <c r="I1119" s="99" t="str">
        <f t="shared" si="17"/>
        <v>진도군|12</v>
      </c>
      <c r="J1119" s="100">
        <v>0.4</v>
      </c>
      <c r="K1119" s="100">
        <v>0.7</v>
      </c>
      <c r="L1119" s="100">
        <v>0.9</v>
      </c>
      <c r="M1119" s="100">
        <v>2.1</v>
      </c>
      <c r="N1119" s="100">
        <v>1.9</v>
      </c>
      <c r="O1119" s="100">
        <v>2.5</v>
      </c>
      <c r="P1119" s="100">
        <v>4</v>
      </c>
      <c r="Q1119" s="100">
        <v>2.4</v>
      </c>
      <c r="R1119" s="100">
        <v>2.6</v>
      </c>
      <c r="S1119" s="100">
        <v>1.2</v>
      </c>
      <c r="T1119" s="100">
        <v>0.6</v>
      </c>
      <c r="U1119" s="100">
        <v>0.3</v>
      </c>
    </row>
    <row r="1120" spans="4:21">
      <c r="D1120" s="97" t="s">
        <v>684</v>
      </c>
      <c r="E1120" s="97" t="s">
        <v>662</v>
      </c>
      <c r="F1120" s="94" t="s">
        <v>685</v>
      </c>
      <c r="G1120" s="97">
        <v>12</v>
      </c>
      <c r="H1120" s="98" t="s">
        <v>751</v>
      </c>
      <c r="I1120" s="99" t="str">
        <f t="shared" si="17"/>
        <v>해남|12</v>
      </c>
      <c r="J1120" s="100">
        <v>0.4</v>
      </c>
      <c r="K1120" s="100">
        <v>0.3</v>
      </c>
      <c r="L1120" s="100">
        <v>1.3</v>
      </c>
      <c r="M1120" s="100">
        <v>1.5</v>
      </c>
      <c r="N1120" s="100">
        <v>1.6</v>
      </c>
      <c r="O1120" s="100">
        <v>2.2000000000000002</v>
      </c>
      <c r="P1120" s="100">
        <v>3.3</v>
      </c>
      <c r="Q1120" s="100">
        <v>2.1</v>
      </c>
      <c r="R1120" s="100">
        <v>2.2000000000000002</v>
      </c>
      <c r="S1120" s="100">
        <v>1</v>
      </c>
      <c r="T1120" s="100">
        <v>0.7</v>
      </c>
      <c r="U1120" s="100">
        <v>0.4</v>
      </c>
    </row>
    <row r="1121" spans="4:21">
      <c r="D1121" s="97" t="s">
        <v>686</v>
      </c>
      <c r="E1121" s="97" t="s">
        <v>662</v>
      </c>
      <c r="F1121" s="94" t="s">
        <v>687</v>
      </c>
      <c r="G1121" s="97">
        <v>12</v>
      </c>
      <c r="H1121" s="98" t="s">
        <v>751</v>
      </c>
      <c r="I1121" s="99" t="str">
        <f t="shared" si="17"/>
        <v>흑산도|12</v>
      </c>
      <c r="J1121" s="100">
        <v>0.4</v>
      </c>
      <c r="K1121" s="100">
        <v>0.4</v>
      </c>
      <c r="L1121" s="100">
        <v>0.7</v>
      </c>
      <c r="M1121" s="100">
        <v>1.8</v>
      </c>
      <c r="N1121" s="100">
        <v>1.6</v>
      </c>
      <c r="O1121" s="100">
        <v>2.2999999999999998</v>
      </c>
      <c r="P1121" s="100">
        <v>3.3</v>
      </c>
      <c r="Q1121" s="100">
        <v>2.2999999999999998</v>
      </c>
      <c r="R1121" s="100">
        <v>2.5</v>
      </c>
      <c r="S1121" s="100">
        <v>1.2</v>
      </c>
      <c r="T1121" s="100">
        <v>0.7</v>
      </c>
      <c r="U1121" s="100">
        <v>0.5</v>
      </c>
    </row>
    <row r="1122" spans="4:21">
      <c r="D1122" s="97" t="s">
        <v>688</v>
      </c>
      <c r="E1122" s="97" t="s">
        <v>689</v>
      </c>
      <c r="F1122" s="94" t="s">
        <v>690</v>
      </c>
      <c r="G1122" s="97">
        <v>12</v>
      </c>
      <c r="H1122" s="98" t="s">
        <v>751</v>
      </c>
      <c r="I1122" s="99" t="str">
        <f t="shared" si="17"/>
        <v>고창|12</v>
      </c>
      <c r="J1122" s="100">
        <v>0.1</v>
      </c>
      <c r="K1122" s="100">
        <v>0.2</v>
      </c>
      <c r="L1122" s="100">
        <v>0.7</v>
      </c>
      <c r="M1122" s="100">
        <v>1.1000000000000001</v>
      </c>
      <c r="N1122" s="100">
        <v>1.2</v>
      </c>
      <c r="O1122" s="100">
        <v>2.1</v>
      </c>
      <c r="P1122" s="100">
        <v>3.7</v>
      </c>
      <c r="Q1122" s="100">
        <v>2.7</v>
      </c>
      <c r="R1122" s="100">
        <v>2.2000000000000002</v>
      </c>
      <c r="S1122" s="100">
        <v>1.2</v>
      </c>
      <c r="T1122" s="100">
        <v>0.6</v>
      </c>
      <c r="U1122" s="100">
        <v>0.3</v>
      </c>
    </row>
    <row r="1123" spans="4:21">
      <c r="D1123" s="97" t="s">
        <v>691</v>
      </c>
      <c r="E1123" s="97" t="s">
        <v>689</v>
      </c>
      <c r="F1123" s="94" t="s">
        <v>692</v>
      </c>
      <c r="G1123" s="97">
        <v>12</v>
      </c>
      <c r="H1123" s="98" t="s">
        <v>751</v>
      </c>
      <c r="I1123" s="99" t="str">
        <f t="shared" si="17"/>
        <v>고창군|12</v>
      </c>
      <c r="J1123" s="100">
        <v>0.1</v>
      </c>
      <c r="K1123" s="100">
        <v>0.2</v>
      </c>
      <c r="L1123" s="100">
        <v>0.5</v>
      </c>
      <c r="M1123" s="100">
        <v>1.6</v>
      </c>
      <c r="N1123" s="100">
        <v>1.2</v>
      </c>
      <c r="O1123" s="100">
        <v>1.6</v>
      </c>
      <c r="P1123" s="100">
        <v>4.3</v>
      </c>
      <c r="Q1123" s="100">
        <v>3.1</v>
      </c>
      <c r="R1123" s="100">
        <v>2.5</v>
      </c>
      <c r="S1123" s="100">
        <v>1.4</v>
      </c>
      <c r="T1123" s="100">
        <v>0.6</v>
      </c>
      <c r="U1123" s="100">
        <v>0.4</v>
      </c>
    </row>
    <row r="1124" spans="4:21">
      <c r="D1124" s="97" t="s">
        <v>693</v>
      </c>
      <c r="E1124" s="97" t="s">
        <v>689</v>
      </c>
      <c r="F1124" s="94" t="s">
        <v>694</v>
      </c>
      <c r="G1124" s="97">
        <v>12</v>
      </c>
      <c r="H1124" s="98" t="s">
        <v>751</v>
      </c>
      <c r="I1124" s="99" t="str">
        <f t="shared" si="17"/>
        <v>군산|12</v>
      </c>
      <c r="J1124" s="100">
        <v>0.2</v>
      </c>
      <c r="K1124" s="100">
        <v>0.7</v>
      </c>
      <c r="L1124" s="100">
        <v>0.8</v>
      </c>
      <c r="M1124" s="100">
        <v>1.3</v>
      </c>
      <c r="N1124" s="100">
        <v>1.5</v>
      </c>
      <c r="O1124" s="100">
        <v>1.8</v>
      </c>
      <c r="P1124" s="100">
        <v>4.4000000000000004</v>
      </c>
      <c r="Q1124" s="100">
        <v>2.8</v>
      </c>
      <c r="R1124" s="100">
        <v>2.6</v>
      </c>
      <c r="S1124" s="100">
        <v>1.1000000000000001</v>
      </c>
      <c r="T1124" s="100">
        <v>1.2</v>
      </c>
      <c r="U1124" s="100">
        <v>0.5</v>
      </c>
    </row>
    <row r="1125" spans="4:21">
      <c r="D1125" s="97" t="s">
        <v>695</v>
      </c>
      <c r="E1125" s="97" t="s">
        <v>689</v>
      </c>
      <c r="F1125" s="94" t="s">
        <v>696</v>
      </c>
      <c r="G1125" s="97">
        <v>12</v>
      </c>
      <c r="H1125" s="98" t="s">
        <v>751</v>
      </c>
      <c r="I1125" s="99" t="str">
        <f t="shared" si="17"/>
        <v>남원|12</v>
      </c>
      <c r="J1125" s="100">
        <v>0.2</v>
      </c>
      <c r="K1125" s="100">
        <v>0.7</v>
      </c>
      <c r="L1125" s="100">
        <v>0.9</v>
      </c>
      <c r="M1125" s="100">
        <v>1.4</v>
      </c>
      <c r="N1125" s="100">
        <v>0.8</v>
      </c>
      <c r="O1125" s="100">
        <v>2.5</v>
      </c>
      <c r="P1125" s="100">
        <v>5.3</v>
      </c>
      <c r="Q1125" s="100">
        <v>3.6</v>
      </c>
      <c r="R1125" s="100">
        <v>2.2000000000000002</v>
      </c>
      <c r="S1125" s="100">
        <v>1.6</v>
      </c>
      <c r="T1125" s="100">
        <v>0.7</v>
      </c>
      <c r="U1125" s="100">
        <v>0.5</v>
      </c>
    </row>
    <row r="1126" spans="4:21">
      <c r="D1126" s="97" t="s">
        <v>697</v>
      </c>
      <c r="E1126" s="97" t="s">
        <v>689</v>
      </c>
      <c r="F1126" s="94" t="s">
        <v>698</v>
      </c>
      <c r="G1126" s="97">
        <v>12</v>
      </c>
      <c r="H1126" s="98" t="s">
        <v>751</v>
      </c>
      <c r="I1126" s="99" t="str">
        <f t="shared" si="17"/>
        <v>부안|12</v>
      </c>
      <c r="J1126" s="100">
        <v>0.2</v>
      </c>
      <c r="K1126" s="100">
        <v>0.6</v>
      </c>
      <c r="L1126" s="100">
        <v>0.8</v>
      </c>
      <c r="M1126" s="100">
        <v>1.8</v>
      </c>
      <c r="N1126" s="100">
        <v>1.1000000000000001</v>
      </c>
      <c r="O1126" s="100">
        <v>2</v>
      </c>
      <c r="P1126" s="100">
        <v>5</v>
      </c>
      <c r="Q1126" s="100">
        <v>3</v>
      </c>
      <c r="R1126" s="100">
        <v>2.2000000000000002</v>
      </c>
      <c r="S1126" s="100">
        <v>1.1000000000000001</v>
      </c>
      <c r="T1126" s="100">
        <v>0.9</v>
      </c>
      <c r="U1126" s="100">
        <v>0.4</v>
      </c>
    </row>
    <row r="1127" spans="4:21">
      <c r="D1127" s="97" t="s">
        <v>699</v>
      </c>
      <c r="E1127" s="97" t="s">
        <v>689</v>
      </c>
      <c r="F1127" s="94" t="s">
        <v>700</v>
      </c>
      <c r="G1127" s="97">
        <v>12</v>
      </c>
      <c r="H1127" s="98" t="s">
        <v>751</v>
      </c>
      <c r="I1127" s="99" t="str">
        <f t="shared" si="17"/>
        <v>순창군|12</v>
      </c>
      <c r="J1127" s="100">
        <v>0.2</v>
      </c>
      <c r="K1127" s="100">
        <v>0.5</v>
      </c>
      <c r="L1127" s="100">
        <v>1.4</v>
      </c>
      <c r="M1127" s="100">
        <v>1.9</v>
      </c>
      <c r="N1127" s="100">
        <v>1.2</v>
      </c>
      <c r="O1127" s="100">
        <v>3</v>
      </c>
      <c r="P1127" s="100">
        <v>5.4</v>
      </c>
      <c r="Q1127" s="100">
        <v>3.8</v>
      </c>
      <c r="R1127" s="100">
        <v>2.2000000000000002</v>
      </c>
      <c r="S1127" s="100">
        <v>1.3</v>
      </c>
      <c r="T1127" s="100">
        <v>0.6</v>
      </c>
      <c r="U1127" s="100">
        <v>0.5</v>
      </c>
    </row>
    <row r="1128" spans="4:21">
      <c r="D1128" s="97" t="s">
        <v>701</v>
      </c>
      <c r="E1128" s="97" t="s">
        <v>689</v>
      </c>
      <c r="F1128" s="94" t="s">
        <v>702</v>
      </c>
      <c r="G1128" s="97">
        <v>12</v>
      </c>
      <c r="H1128" s="98" t="s">
        <v>751</v>
      </c>
      <c r="I1128" s="99" t="str">
        <f t="shared" si="17"/>
        <v>임실|12</v>
      </c>
      <c r="J1128" s="100">
        <v>0.2</v>
      </c>
      <c r="K1128" s="100">
        <v>0.1</v>
      </c>
      <c r="L1128" s="100">
        <v>0.7</v>
      </c>
      <c r="M1128" s="100">
        <v>1.5</v>
      </c>
      <c r="N1128" s="100">
        <v>1</v>
      </c>
      <c r="O1128" s="100">
        <v>2.2000000000000002</v>
      </c>
      <c r="P1128" s="100">
        <v>5</v>
      </c>
      <c r="Q1128" s="100">
        <v>4.0999999999999996</v>
      </c>
      <c r="R1128" s="100">
        <v>2.2000000000000002</v>
      </c>
      <c r="S1128" s="100">
        <v>1.2</v>
      </c>
      <c r="T1128" s="100">
        <v>1</v>
      </c>
      <c r="U1128" s="100">
        <v>0.4</v>
      </c>
    </row>
    <row r="1129" spans="4:21">
      <c r="D1129" s="97" t="s">
        <v>703</v>
      </c>
      <c r="E1129" s="97" t="s">
        <v>689</v>
      </c>
      <c r="F1129" s="94" t="s">
        <v>704</v>
      </c>
      <c r="G1129" s="97">
        <v>12</v>
      </c>
      <c r="H1129" s="98" t="s">
        <v>751</v>
      </c>
      <c r="I1129" s="99" t="str">
        <f t="shared" si="17"/>
        <v>장수|12</v>
      </c>
      <c r="J1129" s="100">
        <v>0.3</v>
      </c>
      <c r="K1129" s="100">
        <v>0.9</v>
      </c>
      <c r="L1129" s="100">
        <v>1</v>
      </c>
      <c r="M1129" s="100">
        <v>1.8</v>
      </c>
      <c r="N1129" s="100">
        <v>1.4</v>
      </c>
      <c r="O1129" s="100">
        <v>2.9</v>
      </c>
      <c r="P1129" s="100">
        <v>5.6</v>
      </c>
      <c r="Q1129" s="100">
        <v>3.5</v>
      </c>
      <c r="R1129" s="100">
        <v>2.2000000000000002</v>
      </c>
      <c r="S1129" s="100">
        <v>1.4</v>
      </c>
      <c r="T1129" s="100">
        <v>1.2</v>
      </c>
      <c r="U1129" s="100">
        <v>0.5</v>
      </c>
    </row>
    <row r="1130" spans="4:21">
      <c r="D1130" s="97" t="s">
        <v>705</v>
      </c>
      <c r="E1130" s="97" t="s">
        <v>689</v>
      </c>
      <c r="F1130" s="94" t="s">
        <v>706</v>
      </c>
      <c r="G1130" s="97">
        <v>12</v>
      </c>
      <c r="H1130" s="98" t="s">
        <v>751</v>
      </c>
      <c r="I1130" s="99" t="str">
        <f t="shared" si="17"/>
        <v>전주|12</v>
      </c>
      <c r="J1130" s="100">
        <v>0.2</v>
      </c>
      <c r="K1130" s="100">
        <v>0.4</v>
      </c>
      <c r="L1130" s="100">
        <v>0.8</v>
      </c>
      <c r="M1130" s="100">
        <v>1.4</v>
      </c>
      <c r="N1130" s="100">
        <v>1.1000000000000001</v>
      </c>
      <c r="O1130" s="100">
        <v>2.4</v>
      </c>
      <c r="P1130" s="100">
        <v>5.0999999999999996</v>
      </c>
      <c r="Q1130" s="100">
        <v>3.1</v>
      </c>
      <c r="R1130" s="100">
        <v>2.1</v>
      </c>
      <c r="S1130" s="100">
        <v>1</v>
      </c>
      <c r="T1130" s="100">
        <v>1.1000000000000001</v>
      </c>
      <c r="U1130" s="100">
        <v>0.4</v>
      </c>
    </row>
    <row r="1131" spans="4:21">
      <c r="D1131" s="97" t="s">
        <v>707</v>
      </c>
      <c r="E1131" s="97" t="s">
        <v>689</v>
      </c>
      <c r="F1131" s="94" t="s">
        <v>708</v>
      </c>
      <c r="G1131" s="97">
        <v>12</v>
      </c>
      <c r="H1131" s="98" t="s">
        <v>751</v>
      </c>
      <c r="I1131" s="99" t="str">
        <f t="shared" si="17"/>
        <v>정읍|12</v>
      </c>
      <c r="J1131" s="100">
        <v>0.1</v>
      </c>
      <c r="K1131" s="100">
        <v>0.3</v>
      </c>
      <c r="L1131" s="100">
        <v>0.8</v>
      </c>
      <c r="M1131" s="100">
        <v>1.4</v>
      </c>
      <c r="N1131" s="100">
        <v>1.4</v>
      </c>
      <c r="O1131" s="100">
        <v>2.1</v>
      </c>
      <c r="P1131" s="100">
        <v>4.8</v>
      </c>
      <c r="Q1131" s="100">
        <v>3.6</v>
      </c>
      <c r="R1131" s="100">
        <v>2.2000000000000002</v>
      </c>
      <c r="S1131" s="100">
        <v>1.2</v>
      </c>
      <c r="T1131" s="100">
        <v>1</v>
      </c>
      <c r="U1131" s="100">
        <v>0.7</v>
      </c>
    </row>
    <row r="1132" spans="4:21">
      <c r="D1132" s="97" t="s">
        <v>709</v>
      </c>
      <c r="E1132" s="97" t="s">
        <v>710</v>
      </c>
      <c r="F1132" s="94" t="s">
        <v>711</v>
      </c>
      <c r="G1132" s="97">
        <v>12</v>
      </c>
      <c r="H1132" s="98" t="s">
        <v>751</v>
      </c>
      <c r="I1132" s="99" t="str">
        <f t="shared" si="17"/>
        <v>고산|12</v>
      </c>
      <c r="J1132" s="100">
        <v>0.6</v>
      </c>
      <c r="K1132" s="100">
        <v>0.7</v>
      </c>
      <c r="L1132" s="100">
        <v>1</v>
      </c>
      <c r="M1132" s="100">
        <v>1.4</v>
      </c>
      <c r="N1132" s="100">
        <v>2.2999999999999998</v>
      </c>
      <c r="O1132" s="100">
        <v>3.5</v>
      </c>
      <c r="P1132" s="100">
        <v>2.4</v>
      </c>
      <c r="Q1132" s="100">
        <v>2.6</v>
      </c>
      <c r="R1132" s="100">
        <v>2.8</v>
      </c>
      <c r="S1132" s="100">
        <v>0.9</v>
      </c>
      <c r="T1132" s="100">
        <v>0.7</v>
      </c>
      <c r="U1132" s="100">
        <v>0.6</v>
      </c>
    </row>
    <row r="1133" spans="4:21">
      <c r="D1133" s="97" t="s">
        <v>712</v>
      </c>
      <c r="E1133" s="97" t="s">
        <v>710</v>
      </c>
      <c r="F1133" s="94" t="s">
        <v>713</v>
      </c>
      <c r="G1133" s="97">
        <v>12</v>
      </c>
      <c r="H1133" s="98" t="s">
        <v>751</v>
      </c>
      <c r="I1133" s="99" t="str">
        <f t="shared" si="17"/>
        <v>서귀포|12</v>
      </c>
      <c r="J1133" s="100">
        <v>1</v>
      </c>
      <c r="K1133" s="100">
        <v>0.8</v>
      </c>
      <c r="L1133" s="100">
        <v>1.3</v>
      </c>
      <c r="M1133" s="100">
        <v>3.3</v>
      </c>
      <c r="N1133" s="100">
        <v>2.9</v>
      </c>
      <c r="O1133" s="100">
        <v>4.5</v>
      </c>
      <c r="P1133" s="100">
        <v>3.6</v>
      </c>
      <c r="Q1133" s="100">
        <v>3.6</v>
      </c>
      <c r="R1133" s="100">
        <v>3.8</v>
      </c>
      <c r="S1133" s="100">
        <v>1.6</v>
      </c>
      <c r="T1133" s="100">
        <v>0.7</v>
      </c>
      <c r="U1133" s="100">
        <v>0.6</v>
      </c>
    </row>
    <row r="1134" spans="4:21">
      <c r="D1134" s="97" t="s">
        <v>714</v>
      </c>
      <c r="E1134" s="97" t="s">
        <v>710</v>
      </c>
      <c r="F1134" s="94" t="s">
        <v>715</v>
      </c>
      <c r="G1134" s="97">
        <v>12</v>
      </c>
      <c r="H1134" s="98" t="s">
        <v>751</v>
      </c>
      <c r="I1134" s="99" t="str">
        <f t="shared" si="17"/>
        <v>성산|12</v>
      </c>
      <c r="J1134" s="100">
        <v>1</v>
      </c>
      <c r="K1134" s="100">
        <v>1.6</v>
      </c>
      <c r="L1134" s="100">
        <v>2.6</v>
      </c>
      <c r="M1134" s="100">
        <v>3.5</v>
      </c>
      <c r="N1134" s="100">
        <v>2.6</v>
      </c>
      <c r="O1134" s="100">
        <v>4</v>
      </c>
      <c r="P1134" s="100">
        <v>4.3</v>
      </c>
      <c r="Q1134" s="100">
        <v>3.2</v>
      </c>
      <c r="R1134" s="100">
        <v>4.7</v>
      </c>
      <c r="S1134" s="100">
        <v>2</v>
      </c>
      <c r="T1134" s="100">
        <v>1.3</v>
      </c>
      <c r="U1134" s="100">
        <v>0.8</v>
      </c>
    </row>
    <row r="1135" spans="4:21">
      <c r="D1135" s="97" t="s">
        <v>716</v>
      </c>
      <c r="E1135" s="97" t="s">
        <v>710</v>
      </c>
      <c r="F1135" s="94" t="s">
        <v>717</v>
      </c>
      <c r="G1135" s="97">
        <v>12</v>
      </c>
      <c r="H1135" s="98" t="s">
        <v>751</v>
      </c>
      <c r="I1135" s="99" t="str">
        <f t="shared" si="17"/>
        <v>제주|12</v>
      </c>
      <c r="J1135" s="100">
        <v>0.8</v>
      </c>
      <c r="K1135" s="100">
        <v>0.9</v>
      </c>
      <c r="L1135" s="100">
        <v>1.2</v>
      </c>
      <c r="M1135" s="100">
        <v>1.2</v>
      </c>
      <c r="N1135" s="100">
        <v>1.6</v>
      </c>
      <c r="O1135" s="100">
        <v>3.1</v>
      </c>
      <c r="P1135" s="100">
        <v>2.8</v>
      </c>
      <c r="Q1135" s="100">
        <v>2.6</v>
      </c>
      <c r="R1135" s="100">
        <v>3.7</v>
      </c>
      <c r="S1135" s="100">
        <v>1.5</v>
      </c>
      <c r="T1135" s="100">
        <v>0.8</v>
      </c>
      <c r="U1135" s="100">
        <v>0.5</v>
      </c>
    </row>
    <row r="1136" spans="4:21">
      <c r="D1136" s="97" t="s">
        <v>718</v>
      </c>
      <c r="E1136" s="97" t="s">
        <v>719</v>
      </c>
      <c r="F1136" s="94" t="s">
        <v>720</v>
      </c>
      <c r="G1136" s="97">
        <v>12</v>
      </c>
      <c r="H1136" s="98" t="s">
        <v>751</v>
      </c>
      <c r="I1136" s="99" t="str">
        <f t="shared" si="17"/>
        <v>금산|12</v>
      </c>
      <c r="J1136" s="100">
        <v>0.2</v>
      </c>
      <c r="K1136" s="100">
        <v>0.6</v>
      </c>
      <c r="L1136" s="100">
        <v>0.7</v>
      </c>
      <c r="M1136" s="100">
        <v>1.1000000000000001</v>
      </c>
      <c r="N1136" s="100">
        <v>1.3</v>
      </c>
      <c r="O1136" s="100">
        <v>2.4</v>
      </c>
      <c r="P1136" s="100">
        <v>5.9</v>
      </c>
      <c r="Q1136" s="100">
        <v>3.4</v>
      </c>
      <c r="R1136" s="100">
        <v>2.6</v>
      </c>
      <c r="S1136" s="100">
        <v>0.9</v>
      </c>
      <c r="T1136" s="100">
        <v>0.6</v>
      </c>
      <c r="U1136" s="100">
        <v>0.4</v>
      </c>
    </row>
    <row r="1137" spans="4:21">
      <c r="D1137" s="97" t="s">
        <v>721</v>
      </c>
      <c r="E1137" s="97" t="s">
        <v>719</v>
      </c>
      <c r="F1137" s="94" t="s">
        <v>722</v>
      </c>
      <c r="G1137" s="97">
        <v>12</v>
      </c>
      <c r="H1137" s="98" t="s">
        <v>751</v>
      </c>
      <c r="I1137" s="99" t="str">
        <f t="shared" si="17"/>
        <v>보령|12</v>
      </c>
      <c r="J1137" s="100">
        <v>0.1</v>
      </c>
      <c r="K1137" s="100">
        <v>0.4</v>
      </c>
      <c r="L1137" s="100">
        <v>0.4</v>
      </c>
      <c r="M1137" s="100">
        <v>1.2</v>
      </c>
      <c r="N1137" s="100">
        <v>1.7</v>
      </c>
      <c r="O1137" s="100">
        <v>1.3</v>
      </c>
      <c r="P1137" s="100">
        <v>4.5</v>
      </c>
      <c r="Q1137" s="100">
        <v>3.1</v>
      </c>
      <c r="R1137" s="100">
        <v>2.5</v>
      </c>
      <c r="S1137" s="100">
        <v>1.2</v>
      </c>
      <c r="T1137" s="100">
        <v>0.9</v>
      </c>
      <c r="U1137" s="100">
        <v>0.4</v>
      </c>
    </row>
    <row r="1138" spans="4:21">
      <c r="D1138" s="97" t="s">
        <v>723</v>
      </c>
      <c r="E1138" s="97" t="s">
        <v>719</v>
      </c>
      <c r="F1138" s="94" t="s">
        <v>724</v>
      </c>
      <c r="G1138" s="97">
        <v>12</v>
      </c>
      <c r="H1138" s="98" t="s">
        <v>751</v>
      </c>
      <c r="I1138" s="99" t="str">
        <f t="shared" si="17"/>
        <v>부여|12</v>
      </c>
      <c r="J1138" s="100">
        <v>0.2</v>
      </c>
      <c r="K1138" s="100">
        <v>0.9</v>
      </c>
      <c r="L1138" s="100">
        <v>0.6</v>
      </c>
      <c r="M1138" s="100">
        <v>1.3</v>
      </c>
      <c r="N1138" s="100">
        <v>1.8</v>
      </c>
      <c r="O1138" s="100">
        <v>1.5</v>
      </c>
      <c r="P1138" s="100">
        <v>4.8</v>
      </c>
      <c r="Q1138" s="100">
        <v>3.9</v>
      </c>
      <c r="R1138" s="100">
        <v>2.4</v>
      </c>
      <c r="S1138" s="100">
        <v>1.4</v>
      </c>
      <c r="T1138" s="100">
        <v>1</v>
      </c>
      <c r="U1138" s="100">
        <v>0.4</v>
      </c>
    </row>
    <row r="1139" spans="4:21">
      <c r="D1139" s="97" t="s">
        <v>91</v>
      </c>
      <c r="E1139" s="97" t="s">
        <v>719</v>
      </c>
      <c r="F1139" s="94" t="s">
        <v>725</v>
      </c>
      <c r="G1139" s="97">
        <v>12</v>
      </c>
      <c r="H1139" s="98" t="s">
        <v>751</v>
      </c>
      <c r="I1139" s="99" t="str">
        <f t="shared" si="17"/>
        <v>서산|12</v>
      </c>
      <c r="J1139" s="100">
        <v>0.3</v>
      </c>
      <c r="K1139" s="100">
        <v>0.4</v>
      </c>
      <c r="L1139" s="100">
        <v>0.5</v>
      </c>
      <c r="M1139" s="100">
        <v>1.2</v>
      </c>
      <c r="N1139" s="100">
        <v>1.8</v>
      </c>
      <c r="O1139" s="100">
        <v>1.4</v>
      </c>
      <c r="P1139" s="100">
        <v>4</v>
      </c>
      <c r="Q1139" s="100">
        <v>3.1</v>
      </c>
      <c r="R1139" s="100">
        <v>2.2999999999999998</v>
      </c>
      <c r="S1139" s="100">
        <v>1.1000000000000001</v>
      </c>
      <c r="T1139" s="100">
        <v>1.1000000000000001</v>
      </c>
      <c r="U1139" s="100">
        <v>0.4</v>
      </c>
    </row>
    <row r="1140" spans="4:21">
      <c r="D1140" s="97" t="s">
        <v>726</v>
      </c>
      <c r="E1140" s="97" t="s">
        <v>719</v>
      </c>
      <c r="F1140" s="94" t="s">
        <v>727</v>
      </c>
      <c r="G1140" s="97">
        <v>12</v>
      </c>
      <c r="H1140" s="98" t="s">
        <v>751</v>
      </c>
      <c r="I1140" s="99" t="str">
        <f t="shared" si="17"/>
        <v>천안|12</v>
      </c>
      <c r="J1140" s="100">
        <v>0.1</v>
      </c>
      <c r="K1140" s="100">
        <v>0.4</v>
      </c>
      <c r="L1140" s="100">
        <v>0.2</v>
      </c>
      <c r="M1140" s="100">
        <v>0.8</v>
      </c>
      <c r="N1140" s="100">
        <v>1</v>
      </c>
      <c r="O1140" s="100">
        <v>1.5</v>
      </c>
      <c r="P1140" s="100">
        <v>4.8</v>
      </c>
      <c r="Q1140" s="100">
        <v>3.4</v>
      </c>
      <c r="R1140" s="100">
        <v>2.2999999999999998</v>
      </c>
      <c r="S1140" s="100">
        <v>0.8</v>
      </c>
      <c r="T1140" s="100">
        <v>1</v>
      </c>
      <c r="U1140" s="100">
        <v>0.3</v>
      </c>
    </row>
    <row r="1141" spans="4:21">
      <c r="D1141" s="97" t="s">
        <v>728</v>
      </c>
      <c r="E1141" s="97" t="s">
        <v>719</v>
      </c>
      <c r="F1141" s="94" t="s">
        <v>729</v>
      </c>
      <c r="G1141" s="97">
        <v>12</v>
      </c>
      <c r="H1141" s="98" t="s">
        <v>751</v>
      </c>
      <c r="I1141" s="99" t="str">
        <f t="shared" si="17"/>
        <v>홍성|12</v>
      </c>
      <c r="J1141" s="100">
        <v>0.2</v>
      </c>
      <c r="K1141" s="100">
        <v>0.4</v>
      </c>
      <c r="L1141" s="100">
        <v>0.6</v>
      </c>
      <c r="M1141" s="100">
        <v>1.2</v>
      </c>
      <c r="N1141" s="100">
        <v>1.6</v>
      </c>
      <c r="O1141" s="100">
        <v>1.4</v>
      </c>
      <c r="P1141" s="100">
        <v>4.2</v>
      </c>
      <c r="Q1141" s="100">
        <v>4.0999999999999996</v>
      </c>
      <c r="R1141" s="100">
        <v>2.9</v>
      </c>
      <c r="S1141" s="100">
        <v>1.1000000000000001</v>
      </c>
      <c r="T1141" s="100">
        <v>1.2</v>
      </c>
      <c r="U1141" s="100">
        <v>0.4</v>
      </c>
    </row>
    <row r="1142" spans="4:21">
      <c r="D1142" s="97" t="s">
        <v>730</v>
      </c>
      <c r="E1142" s="97" t="s">
        <v>731</v>
      </c>
      <c r="F1142" s="94" t="s">
        <v>732</v>
      </c>
      <c r="G1142" s="97">
        <v>12</v>
      </c>
      <c r="H1142" s="98" t="s">
        <v>751</v>
      </c>
      <c r="I1142" s="99" t="str">
        <f t="shared" si="17"/>
        <v>보은|12</v>
      </c>
      <c r="J1142" s="100">
        <v>0.1</v>
      </c>
      <c r="K1142" s="100">
        <v>0.6</v>
      </c>
      <c r="L1142" s="100">
        <v>0.6</v>
      </c>
      <c r="M1142" s="100">
        <v>1</v>
      </c>
      <c r="N1142" s="100">
        <v>1.4</v>
      </c>
      <c r="O1142" s="100">
        <v>1.6</v>
      </c>
      <c r="P1142" s="100">
        <v>5.7</v>
      </c>
      <c r="Q1142" s="100">
        <v>4.5999999999999996</v>
      </c>
      <c r="R1142" s="100">
        <v>2.5</v>
      </c>
      <c r="S1142" s="100">
        <v>1.2</v>
      </c>
      <c r="T1142" s="100">
        <v>0.6</v>
      </c>
      <c r="U1142" s="100">
        <v>0.3</v>
      </c>
    </row>
    <row r="1143" spans="4:21">
      <c r="D1143" s="97" t="s">
        <v>733</v>
      </c>
      <c r="E1143" s="97" t="s">
        <v>731</v>
      </c>
      <c r="F1143" s="94" t="s">
        <v>734</v>
      </c>
      <c r="G1143" s="97">
        <v>12</v>
      </c>
      <c r="H1143" s="98" t="s">
        <v>751</v>
      </c>
      <c r="I1143" s="99" t="str">
        <f t="shared" si="17"/>
        <v>제천|12</v>
      </c>
      <c r="J1143" s="100">
        <v>0.1</v>
      </c>
      <c r="K1143" s="100">
        <v>0.7</v>
      </c>
      <c r="L1143" s="100">
        <v>0.4</v>
      </c>
      <c r="M1143" s="100">
        <v>1.1000000000000001</v>
      </c>
      <c r="N1143" s="100">
        <v>1.3</v>
      </c>
      <c r="O1143" s="100">
        <v>1.9</v>
      </c>
      <c r="P1143" s="100">
        <v>5.3</v>
      </c>
      <c r="Q1143" s="100">
        <v>4.3</v>
      </c>
      <c r="R1143" s="100">
        <v>2.8</v>
      </c>
      <c r="S1143" s="100">
        <v>0.8</v>
      </c>
      <c r="T1143" s="100">
        <v>0.8</v>
      </c>
      <c r="U1143" s="100">
        <v>0.3</v>
      </c>
    </row>
    <row r="1144" spans="4:21">
      <c r="D1144" s="97" t="s">
        <v>735</v>
      </c>
      <c r="E1144" s="97" t="s">
        <v>731</v>
      </c>
      <c r="F1144" s="94" t="s">
        <v>736</v>
      </c>
      <c r="G1144" s="97">
        <v>12</v>
      </c>
      <c r="H1144" s="98" t="s">
        <v>751</v>
      </c>
      <c r="I1144" s="99" t="str">
        <f t="shared" si="17"/>
        <v>청주|12</v>
      </c>
      <c r="J1144" s="100">
        <v>0.1</v>
      </c>
      <c r="K1144" s="100">
        <v>0.4</v>
      </c>
      <c r="L1144" s="100">
        <v>0.3</v>
      </c>
      <c r="M1144" s="100">
        <v>0.9</v>
      </c>
      <c r="N1144" s="100">
        <v>1</v>
      </c>
      <c r="O1144" s="100">
        <v>1.4</v>
      </c>
      <c r="P1144" s="100">
        <v>5.3</v>
      </c>
      <c r="Q1144" s="100">
        <v>3.7</v>
      </c>
      <c r="R1144" s="100">
        <v>2.4</v>
      </c>
      <c r="S1144" s="100">
        <v>0.8</v>
      </c>
      <c r="T1144" s="100">
        <v>0.7</v>
      </c>
      <c r="U1144" s="100">
        <v>0.3</v>
      </c>
    </row>
    <row r="1145" spans="4:21">
      <c r="D1145" s="97" t="s">
        <v>737</v>
      </c>
      <c r="E1145" s="97" t="s">
        <v>731</v>
      </c>
      <c r="F1145" s="94" t="s">
        <v>738</v>
      </c>
      <c r="G1145" s="97">
        <v>12</v>
      </c>
      <c r="H1145" s="98" t="s">
        <v>751</v>
      </c>
      <c r="I1145" s="99" t="str">
        <f t="shared" si="17"/>
        <v>추풍령|12</v>
      </c>
      <c r="J1145" s="100">
        <v>0.2</v>
      </c>
      <c r="K1145" s="100">
        <v>0.4</v>
      </c>
      <c r="L1145" s="100">
        <v>0.7</v>
      </c>
      <c r="M1145" s="100">
        <v>1</v>
      </c>
      <c r="N1145" s="100">
        <v>0.9</v>
      </c>
      <c r="O1145" s="100">
        <v>1.9</v>
      </c>
      <c r="P1145" s="100">
        <v>4.9000000000000004</v>
      </c>
      <c r="Q1145" s="100">
        <v>3.6</v>
      </c>
      <c r="R1145" s="100">
        <v>2.1</v>
      </c>
      <c r="S1145" s="100">
        <v>1</v>
      </c>
      <c r="T1145" s="100">
        <v>0.5</v>
      </c>
      <c r="U1145" s="100">
        <v>0.3</v>
      </c>
    </row>
    <row r="1146" spans="4:21">
      <c r="D1146" s="97" t="s">
        <v>739</v>
      </c>
      <c r="E1146" s="97" t="s">
        <v>731</v>
      </c>
      <c r="F1146" s="94" t="s">
        <v>740</v>
      </c>
      <c r="G1146" s="97">
        <v>12</v>
      </c>
      <c r="H1146" s="98" t="s">
        <v>751</v>
      </c>
      <c r="I1146" s="99" t="str">
        <f t="shared" si="17"/>
        <v>충주|12</v>
      </c>
      <c r="J1146" s="100">
        <v>0.1</v>
      </c>
      <c r="K1146" s="100">
        <v>0.3</v>
      </c>
      <c r="L1146" s="100">
        <v>0.4</v>
      </c>
      <c r="M1146" s="100">
        <v>0.5</v>
      </c>
      <c r="N1146" s="100">
        <v>1.4</v>
      </c>
      <c r="O1146" s="100">
        <v>2.2000000000000002</v>
      </c>
      <c r="P1146" s="100">
        <v>5.6</v>
      </c>
      <c r="Q1146" s="100">
        <v>4.0999999999999996</v>
      </c>
      <c r="R1146" s="100">
        <v>2.2999999999999998</v>
      </c>
      <c r="S1146" s="100">
        <v>0.9</v>
      </c>
      <c r="T1146" s="100">
        <v>0.7</v>
      </c>
      <c r="U1146" s="100">
        <v>0.1</v>
      </c>
    </row>
    <row r="1147" spans="4:21">
      <c r="D1147" s="97" t="s">
        <v>535</v>
      </c>
      <c r="E1147" s="97" t="s">
        <v>536</v>
      </c>
      <c r="F1147" s="94" t="s">
        <v>537</v>
      </c>
      <c r="G1147" s="97">
        <v>13</v>
      </c>
      <c r="H1147" s="98" t="s">
        <v>752</v>
      </c>
      <c r="I1147" s="99" t="str">
        <f t="shared" si="17"/>
        <v>강릉|13</v>
      </c>
      <c r="J1147" s="100">
        <v>2.1</v>
      </c>
      <c r="K1147" s="100">
        <v>2</v>
      </c>
      <c r="L1147" s="100">
        <v>2.6</v>
      </c>
      <c r="M1147" s="100">
        <v>2.2999999999999998</v>
      </c>
      <c r="N1147" s="100">
        <v>2.6</v>
      </c>
      <c r="O1147" s="100">
        <v>0.5</v>
      </c>
      <c r="P1147" s="100">
        <v>0.9</v>
      </c>
      <c r="Q1147" s="100">
        <v>0.6</v>
      </c>
      <c r="R1147" s="100">
        <v>0.4</v>
      </c>
      <c r="S1147" s="100">
        <v>0.9</v>
      </c>
      <c r="T1147" s="100">
        <v>1.5</v>
      </c>
      <c r="U1147" s="100">
        <v>1.4</v>
      </c>
    </row>
    <row r="1148" spans="4:21">
      <c r="D1148" s="97" t="s">
        <v>539</v>
      </c>
      <c r="E1148" s="97" t="s">
        <v>536</v>
      </c>
      <c r="F1148" s="94" t="s">
        <v>540</v>
      </c>
      <c r="G1148" s="97">
        <v>13</v>
      </c>
      <c r="H1148" s="98" t="s">
        <v>752</v>
      </c>
      <c r="I1148" s="99" t="str">
        <f t="shared" si="17"/>
        <v>대관령|13</v>
      </c>
      <c r="J1148" s="100">
        <v>8.3000000000000007</v>
      </c>
      <c r="K1148" s="100">
        <v>7.1</v>
      </c>
      <c r="L1148" s="100">
        <v>7.7</v>
      </c>
      <c r="M1148" s="100">
        <v>7.4</v>
      </c>
      <c r="N1148" s="100">
        <v>6.5</v>
      </c>
      <c r="O1148" s="100">
        <v>2.4</v>
      </c>
      <c r="P1148" s="100">
        <v>2.6</v>
      </c>
      <c r="Q1148" s="100">
        <v>2.2999999999999998</v>
      </c>
      <c r="R1148" s="100">
        <v>1.5</v>
      </c>
      <c r="S1148" s="100">
        <v>3</v>
      </c>
      <c r="T1148" s="100">
        <v>7.7</v>
      </c>
      <c r="U1148" s="100">
        <v>10.3</v>
      </c>
    </row>
    <row r="1149" spans="4:21">
      <c r="D1149" s="97" t="s">
        <v>541</v>
      </c>
      <c r="E1149" s="97" t="s">
        <v>536</v>
      </c>
      <c r="F1149" s="94" t="s">
        <v>542</v>
      </c>
      <c r="G1149" s="97">
        <v>13</v>
      </c>
      <c r="H1149" s="98" t="s">
        <v>752</v>
      </c>
      <c r="I1149" s="99" t="str">
        <f t="shared" si="17"/>
        <v>동해|13</v>
      </c>
      <c r="J1149" s="100">
        <v>2.1</v>
      </c>
      <c r="K1149" s="100">
        <v>1.7</v>
      </c>
      <c r="L1149" s="100">
        <v>1.7</v>
      </c>
      <c r="M1149" s="100">
        <v>2.7</v>
      </c>
      <c r="N1149" s="100">
        <v>2.2999999999999998</v>
      </c>
      <c r="O1149" s="100">
        <v>0.3</v>
      </c>
      <c r="P1149" s="100">
        <v>0.4</v>
      </c>
      <c r="Q1149" s="100">
        <v>0.5</v>
      </c>
      <c r="R1149" s="100">
        <v>1</v>
      </c>
      <c r="S1149" s="100">
        <v>0.6</v>
      </c>
      <c r="T1149" s="100">
        <v>1.6</v>
      </c>
      <c r="U1149" s="100">
        <v>2.1</v>
      </c>
    </row>
    <row r="1150" spans="4:21">
      <c r="D1150" s="97" t="s">
        <v>543</v>
      </c>
      <c r="E1150" s="97" t="s">
        <v>536</v>
      </c>
      <c r="F1150" s="94" t="s">
        <v>544</v>
      </c>
      <c r="G1150" s="97">
        <v>13</v>
      </c>
      <c r="H1150" s="98" t="s">
        <v>752</v>
      </c>
      <c r="I1150" s="99" t="str">
        <f t="shared" si="17"/>
        <v>북강릉|13</v>
      </c>
      <c r="J1150" s="100">
        <v>0.7</v>
      </c>
      <c r="K1150" s="100">
        <v>0.9</v>
      </c>
      <c r="L1150" s="100">
        <v>1.4</v>
      </c>
      <c r="M1150" s="100">
        <v>2.4</v>
      </c>
      <c r="N1150" s="100">
        <v>1.8</v>
      </c>
      <c r="O1150" s="100">
        <v>0.1</v>
      </c>
      <c r="P1150" s="100">
        <v>0.2</v>
      </c>
      <c r="Q1150" s="100">
        <v>0</v>
      </c>
      <c r="R1150" s="100">
        <v>0.3</v>
      </c>
      <c r="S1150" s="100">
        <v>0.5</v>
      </c>
      <c r="T1150" s="100">
        <v>1.4</v>
      </c>
      <c r="U1150" s="100">
        <v>1</v>
      </c>
    </row>
    <row r="1151" spans="4:21">
      <c r="D1151" s="97" t="s">
        <v>545</v>
      </c>
      <c r="E1151" s="97" t="s">
        <v>536</v>
      </c>
      <c r="F1151" s="94" t="s">
        <v>546</v>
      </c>
      <c r="G1151" s="97">
        <v>13</v>
      </c>
      <c r="H1151" s="98" t="s">
        <v>752</v>
      </c>
      <c r="I1151" s="99" t="str">
        <f t="shared" si="17"/>
        <v>북춘천|13</v>
      </c>
      <c r="J1151" s="100">
        <v>0.1</v>
      </c>
      <c r="K1151" s="100">
        <v>0</v>
      </c>
      <c r="L1151" s="100">
        <v>0.3</v>
      </c>
      <c r="M1151" s="100">
        <v>0.4</v>
      </c>
      <c r="N1151" s="100">
        <v>0.6</v>
      </c>
      <c r="O1151" s="100">
        <v>0.3</v>
      </c>
      <c r="P1151" s="100">
        <v>0.3</v>
      </c>
      <c r="Q1151" s="100">
        <v>0</v>
      </c>
      <c r="R1151" s="100">
        <v>0.4</v>
      </c>
      <c r="S1151" s="100">
        <v>0</v>
      </c>
      <c r="T1151" s="100">
        <v>0.3</v>
      </c>
      <c r="U1151" s="100">
        <v>0</v>
      </c>
    </row>
    <row r="1152" spans="4:21">
      <c r="D1152" s="97" t="s">
        <v>547</v>
      </c>
      <c r="E1152" s="97" t="s">
        <v>536</v>
      </c>
      <c r="F1152" s="94" t="s">
        <v>548</v>
      </c>
      <c r="G1152" s="97">
        <v>13</v>
      </c>
      <c r="H1152" s="98" t="s">
        <v>752</v>
      </c>
      <c r="I1152" s="99" t="str">
        <f t="shared" si="17"/>
        <v>속초|13</v>
      </c>
      <c r="J1152" s="100">
        <v>1.9</v>
      </c>
      <c r="K1152" s="100">
        <v>1.3</v>
      </c>
      <c r="L1152" s="100">
        <v>2.1</v>
      </c>
      <c r="M1152" s="100">
        <v>2.5</v>
      </c>
      <c r="N1152" s="100">
        <v>2.2999999999999998</v>
      </c>
      <c r="O1152" s="100">
        <v>0.4</v>
      </c>
      <c r="P1152" s="100">
        <v>1.2</v>
      </c>
      <c r="Q1152" s="100">
        <v>0.8</v>
      </c>
      <c r="R1152" s="100">
        <v>0.5</v>
      </c>
      <c r="S1152" s="100">
        <v>0.8</v>
      </c>
      <c r="T1152" s="100">
        <v>2.5</v>
      </c>
      <c r="U1152" s="100">
        <v>3.1</v>
      </c>
    </row>
    <row r="1153" spans="4:21">
      <c r="D1153" s="97" t="s">
        <v>549</v>
      </c>
      <c r="E1153" s="97" t="s">
        <v>536</v>
      </c>
      <c r="F1153" s="94" t="s">
        <v>550</v>
      </c>
      <c r="G1153" s="97">
        <v>13</v>
      </c>
      <c r="H1153" s="98" t="s">
        <v>752</v>
      </c>
      <c r="I1153" s="99" t="str">
        <f t="shared" si="17"/>
        <v>영월|13</v>
      </c>
      <c r="J1153" s="100">
        <v>0.3</v>
      </c>
      <c r="K1153" s="100">
        <v>0.3</v>
      </c>
      <c r="L1153" s="100">
        <v>0.5</v>
      </c>
      <c r="M1153" s="100">
        <v>0.8</v>
      </c>
      <c r="N1153" s="100">
        <v>0.8</v>
      </c>
      <c r="O1153" s="100">
        <v>0</v>
      </c>
      <c r="P1153" s="100">
        <v>0.2</v>
      </c>
      <c r="Q1153" s="100">
        <v>0.1</v>
      </c>
      <c r="R1153" s="100">
        <v>0.3</v>
      </c>
      <c r="S1153" s="100">
        <v>0</v>
      </c>
      <c r="T1153" s="100">
        <v>0.1</v>
      </c>
      <c r="U1153" s="100">
        <v>0.4</v>
      </c>
    </row>
    <row r="1154" spans="4:21">
      <c r="D1154" s="97" t="s">
        <v>551</v>
      </c>
      <c r="E1154" s="97" t="s">
        <v>536</v>
      </c>
      <c r="F1154" s="94" t="s">
        <v>552</v>
      </c>
      <c r="G1154" s="97">
        <v>13</v>
      </c>
      <c r="H1154" s="98" t="s">
        <v>752</v>
      </c>
      <c r="I1154" s="99" t="str">
        <f t="shared" si="17"/>
        <v>원주|13</v>
      </c>
      <c r="J1154" s="100">
        <v>0.1</v>
      </c>
      <c r="K1154" s="100">
        <v>0</v>
      </c>
      <c r="L1154" s="100">
        <v>0.2</v>
      </c>
      <c r="M1154" s="100">
        <v>0</v>
      </c>
      <c r="N1154" s="100">
        <v>0</v>
      </c>
      <c r="O1154" s="100">
        <v>0</v>
      </c>
      <c r="P1154" s="100">
        <v>0</v>
      </c>
      <c r="Q1154" s="100">
        <v>0.1</v>
      </c>
      <c r="R1154" s="100">
        <v>0.3</v>
      </c>
      <c r="S1154" s="100">
        <v>0</v>
      </c>
      <c r="T1154" s="100">
        <v>0.1</v>
      </c>
      <c r="U1154" s="100">
        <v>0</v>
      </c>
    </row>
    <row r="1155" spans="4:21">
      <c r="D1155" s="97" t="s">
        <v>553</v>
      </c>
      <c r="E1155" s="97" t="s">
        <v>536</v>
      </c>
      <c r="F1155" s="94" t="s">
        <v>554</v>
      </c>
      <c r="G1155" s="97">
        <v>13</v>
      </c>
      <c r="H1155" s="98" t="s">
        <v>752</v>
      </c>
      <c r="I1155" s="99" t="str">
        <f t="shared" si="17"/>
        <v>인제|13</v>
      </c>
      <c r="J1155" s="100">
        <v>0.1</v>
      </c>
      <c r="K1155" s="100">
        <v>0.3</v>
      </c>
      <c r="L1155" s="100">
        <v>0.6</v>
      </c>
      <c r="M1155" s="100">
        <v>0.7</v>
      </c>
      <c r="N1155" s="100">
        <v>0.9</v>
      </c>
      <c r="O1155" s="100">
        <v>0.1</v>
      </c>
      <c r="P1155" s="100">
        <v>0.1</v>
      </c>
      <c r="Q1155" s="100">
        <v>0.1</v>
      </c>
      <c r="R1155" s="100">
        <v>0.4</v>
      </c>
      <c r="S1155" s="100">
        <v>0.1</v>
      </c>
      <c r="T1155" s="100">
        <v>1</v>
      </c>
      <c r="U1155" s="100">
        <v>0.1</v>
      </c>
    </row>
    <row r="1156" spans="4:21">
      <c r="D1156" s="97" t="s">
        <v>555</v>
      </c>
      <c r="E1156" s="97" t="s">
        <v>536</v>
      </c>
      <c r="F1156" s="94" t="s">
        <v>556</v>
      </c>
      <c r="G1156" s="97">
        <v>13</v>
      </c>
      <c r="H1156" s="98" t="s">
        <v>752</v>
      </c>
      <c r="I1156" s="99" t="str">
        <f t="shared" si="17"/>
        <v>정선군|13</v>
      </c>
      <c r="J1156" s="100">
        <v>4.5</v>
      </c>
      <c r="K1156" s="100">
        <v>5.2</v>
      </c>
      <c r="L1156" s="100">
        <v>5.2</v>
      </c>
      <c r="M1156" s="100">
        <v>6.1</v>
      </c>
      <c r="N1156" s="100">
        <v>4</v>
      </c>
      <c r="O1156" s="100">
        <v>0.7</v>
      </c>
      <c r="P1156" s="100">
        <v>0.4</v>
      </c>
      <c r="Q1156" s="100">
        <v>0.4</v>
      </c>
      <c r="R1156" s="100">
        <v>0.8</v>
      </c>
      <c r="S1156" s="100">
        <v>1.6</v>
      </c>
      <c r="T1156" s="100">
        <v>2.9</v>
      </c>
      <c r="U1156" s="100">
        <v>3.8</v>
      </c>
    </row>
    <row r="1157" spans="4:21">
      <c r="D1157" s="97" t="s">
        <v>557</v>
      </c>
      <c r="E1157" s="97" t="s">
        <v>536</v>
      </c>
      <c r="F1157" s="94" t="s">
        <v>558</v>
      </c>
      <c r="G1157" s="97">
        <v>13</v>
      </c>
      <c r="H1157" s="98" t="s">
        <v>752</v>
      </c>
      <c r="I1157" s="99" t="str">
        <f t="shared" si="17"/>
        <v>철원|13</v>
      </c>
      <c r="J1157" s="100">
        <v>0.1</v>
      </c>
      <c r="K1157" s="100">
        <v>0</v>
      </c>
      <c r="L1157" s="100">
        <v>0.2</v>
      </c>
      <c r="M1157" s="100">
        <v>0.2</v>
      </c>
      <c r="N1157" s="100">
        <v>0.4</v>
      </c>
      <c r="O1157" s="100">
        <v>0.3</v>
      </c>
      <c r="P1157" s="100">
        <v>0.2</v>
      </c>
      <c r="Q1157" s="100">
        <v>0.3</v>
      </c>
      <c r="R1157" s="100">
        <v>0.3</v>
      </c>
      <c r="S1157" s="100">
        <v>0.1</v>
      </c>
      <c r="T1157" s="100">
        <v>0.3</v>
      </c>
      <c r="U1157" s="100">
        <v>0.2</v>
      </c>
    </row>
    <row r="1158" spans="4:21">
      <c r="D1158" s="97" t="s">
        <v>559</v>
      </c>
      <c r="E1158" s="97" t="s">
        <v>536</v>
      </c>
      <c r="F1158" s="94" t="s">
        <v>560</v>
      </c>
      <c r="G1158" s="97">
        <v>13</v>
      </c>
      <c r="H1158" s="98" t="s">
        <v>752</v>
      </c>
      <c r="I1158" s="99" t="str">
        <f t="shared" si="17"/>
        <v>춘천|13</v>
      </c>
      <c r="J1158" s="100">
        <v>0</v>
      </c>
      <c r="K1158" s="100">
        <v>0</v>
      </c>
      <c r="L1158" s="100">
        <v>0</v>
      </c>
      <c r="M1158" s="100">
        <v>0.1</v>
      </c>
      <c r="N1158" s="100">
        <v>0.1</v>
      </c>
      <c r="O1158" s="100">
        <v>0</v>
      </c>
      <c r="P1158" s="100">
        <v>0.1</v>
      </c>
      <c r="Q1158" s="100">
        <v>0.1</v>
      </c>
      <c r="R1158" s="100">
        <v>0.1</v>
      </c>
      <c r="S1158" s="100">
        <v>0</v>
      </c>
      <c r="T1158" s="100">
        <v>0.2</v>
      </c>
      <c r="U1158" s="100">
        <v>0</v>
      </c>
    </row>
    <row r="1159" spans="4:21">
      <c r="D1159" s="97" t="s">
        <v>561</v>
      </c>
      <c r="E1159" s="97" t="s">
        <v>536</v>
      </c>
      <c r="F1159" s="94" t="s">
        <v>562</v>
      </c>
      <c r="G1159" s="97">
        <v>13</v>
      </c>
      <c r="H1159" s="98" t="s">
        <v>752</v>
      </c>
      <c r="I1159" s="99" t="str">
        <f t="shared" ref="I1159:I1222" si="18">$D1159&amp;"|"&amp;$G1159</f>
        <v>태백|13</v>
      </c>
      <c r="J1159" s="100">
        <v>1</v>
      </c>
      <c r="K1159" s="100">
        <v>0.9</v>
      </c>
      <c r="L1159" s="100">
        <v>0.7</v>
      </c>
      <c r="M1159" s="100">
        <v>1.4</v>
      </c>
      <c r="N1159" s="100">
        <v>1.4</v>
      </c>
      <c r="O1159" s="100">
        <v>0.2</v>
      </c>
      <c r="P1159" s="100">
        <v>0.6</v>
      </c>
      <c r="Q1159" s="100">
        <v>0.4</v>
      </c>
      <c r="R1159" s="100">
        <v>0.8</v>
      </c>
      <c r="S1159" s="100">
        <v>0.6</v>
      </c>
      <c r="T1159" s="100">
        <v>1.1000000000000001</v>
      </c>
      <c r="U1159" s="100">
        <v>0.7</v>
      </c>
    </row>
    <row r="1160" spans="4:21">
      <c r="D1160" s="97" t="s">
        <v>563</v>
      </c>
      <c r="E1160" s="97" t="s">
        <v>536</v>
      </c>
      <c r="F1160" s="94" t="s">
        <v>564</v>
      </c>
      <c r="G1160" s="97">
        <v>13</v>
      </c>
      <c r="H1160" s="98" t="s">
        <v>752</v>
      </c>
      <c r="I1160" s="99" t="str">
        <f t="shared" si="18"/>
        <v>홍천|13</v>
      </c>
      <c r="J1160" s="100">
        <v>0.1</v>
      </c>
      <c r="K1160" s="100">
        <v>0</v>
      </c>
      <c r="L1160" s="100">
        <v>0</v>
      </c>
      <c r="M1160" s="100">
        <v>0</v>
      </c>
      <c r="N1160" s="100">
        <v>0.1</v>
      </c>
      <c r="O1160" s="100">
        <v>0</v>
      </c>
      <c r="P1160" s="100">
        <v>0.1</v>
      </c>
      <c r="Q1160" s="100">
        <v>0</v>
      </c>
      <c r="R1160" s="100">
        <v>0</v>
      </c>
      <c r="S1160" s="100">
        <v>0</v>
      </c>
      <c r="T1160" s="100">
        <v>0.1</v>
      </c>
      <c r="U1160" s="100">
        <v>0</v>
      </c>
    </row>
    <row r="1161" spans="4:21">
      <c r="D1161" s="97" t="s">
        <v>565</v>
      </c>
      <c r="E1161" s="97" t="s">
        <v>566</v>
      </c>
      <c r="F1161" s="94" t="s">
        <v>567</v>
      </c>
      <c r="G1161" s="97">
        <v>13</v>
      </c>
      <c r="H1161" s="98" t="s">
        <v>752</v>
      </c>
      <c r="I1161" s="99" t="str">
        <f t="shared" si="18"/>
        <v>동두천|13</v>
      </c>
      <c r="J1161" s="100">
        <v>0.3</v>
      </c>
      <c r="K1161" s="100">
        <v>0.2</v>
      </c>
      <c r="L1161" s="100">
        <v>1.2</v>
      </c>
      <c r="M1161" s="100">
        <v>1.2</v>
      </c>
      <c r="N1161" s="100">
        <v>1.1000000000000001</v>
      </c>
      <c r="O1161" s="100">
        <v>0.4</v>
      </c>
      <c r="P1161" s="100">
        <v>0.5</v>
      </c>
      <c r="Q1161" s="100">
        <v>0.1</v>
      </c>
      <c r="R1161" s="100">
        <v>0.5</v>
      </c>
      <c r="S1161" s="100">
        <v>0.1</v>
      </c>
      <c r="T1161" s="100">
        <v>0.4</v>
      </c>
      <c r="U1161" s="100">
        <v>0.2</v>
      </c>
    </row>
    <row r="1162" spans="4:21">
      <c r="D1162" s="97" t="s">
        <v>568</v>
      </c>
      <c r="E1162" s="97" t="s">
        <v>566</v>
      </c>
      <c r="F1162" s="94" t="s">
        <v>569</v>
      </c>
      <c r="G1162" s="97">
        <v>13</v>
      </c>
      <c r="H1162" s="98" t="s">
        <v>752</v>
      </c>
      <c r="I1162" s="99" t="str">
        <f t="shared" si="18"/>
        <v>수원|13</v>
      </c>
      <c r="J1162" s="100">
        <v>0.3</v>
      </c>
      <c r="K1162" s="100">
        <v>0.2</v>
      </c>
      <c r="L1162" s="100">
        <v>0.4</v>
      </c>
      <c r="M1162" s="100">
        <v>0.5</v>
      </c>
      <c r="N1162" s="100">
        <v>0.2</v>
      </c>
      <c r="O1162" s="100">
        <v>0.1</v>
      </c>
      <c r="P1162" s="100">
        <v>0.2</v>
      </c>
      <c r="Q1162" s="100">
        <v>0.5</v>
      </c>
      <c r="R1162" s="100">
        <v>0.2</v>
      </c>
      <c r="S1162" s="100">
        <v>0</v>
      </c>
      <c r="T1162" s="100">
        <v>0.5</v>
      </c>
      <c r="U1162" s="100">
        <v>0.3</v>
      </c>
    </row>
    <row r="1163" spans="4:21">
      <c r="D1163" s="97" t="s">
        <v>570</v>
      </c>
      <c r="E1163" s="97" t="s">
        <v>566</v>
      </c>
      <c r="F1163" s="94" t="s">
        <v>571</v>
      </c>
      <c r="G1163" s="97">
        <v>13</v>
      </c>
      <c r="H1163" s="98" t="s">
        <v>752</v>
      </c>
      <c r="I1163" s="99" t="str">
        <f t="shared" si="18"/>
        <v>양평|13</v>
      </c>
      <c r="J1163" s="100">
        <v>0.1</v>
      </c>
      <c r="K1163" s="100">
        <v>0</v>
      </c>
      <c r="L1163" s="100">
        <v>0.3</v>
      </c>
      <c r="M1163" s="100">
        <v>0.3</v>
      </c>
      <c r="N1163" s="100">
        <v>0.3</v>
      </c>
      <c r="O1163" s="100">
        <v>0.2</v>
      </c>
      <c r="P1163" s="100">
        <v>0.1</v>
      </c>
      <c r="Q1163" s="100">
        <v>0.3</v>
      </c>
      <c r="R1163" s="100">
        <v>0.3</v>
      </c>
      <c r="S1163" s="100">
        <v>0</v>
      </c>
      <c r="T1163" s="100">
        <v>0.3</v>
      </c>
      <c r="U1163" s="100">
        <v>0.1</v>
      </c>
    </row>
    <row r="1164" spans="4:21">
      <c r="D1164" s="97" t="s">
        <v>572</v>
      </c>
      <c r="E1164" s="97" t="s">
        <v>566</v>
      </c>
      <c r="F1164" s="94" t="s">
        <v>573</v>
      </c>
      <c r="G1164" s="97">
        <v>13</v>
      </c>
      <c r="H1164" s="98" t="s">
        <v>752</v>
      </c>
      <c r="I1164" s="99" t="str">
        <f t="shared" si="18"/>
        <v>이천|13</v>
      </c>
      <c r="J1164" s="100">
        <v>0.2</v>
      </c>
      <c r="K1164" s="100">
        <v>0.2</v>
      </c>
      <c r="L1164" s="100">
        <v>0.4</v>
      </c>
      <c r="M1164" s="100">
        <v>0.2</v>
      </c>
      <c r="N1164" s="100">
        <v>0</v>
      </c>
      <c r="O1164" s="100">
        <v>0</v>
      </c>
      <c r="P1164" s="100">
        <v>0</v>
      </c>
      <c r="Q1164" s="100">
        <v>0</v>
      </c>
      <c r="R1164" s="100">
        <v>0.2</v>
      </c>
      <c r="S1164" s="100">
        <v>0</v>
      </c>
      <c r="T1164" s="100">
        <v>0</v>
      </c>
      <c r="U1164" s="100">
        <v>0.1</v>
      </c>
    </row>
    <row r="1165" spans="4:21">
      <c r="D1165" s="97" t="s">
        <v>574</v>
      </c>
      <c r="E1165" s="97" t="s">
        <v>566</v>
      </c>
      <c r="F1165" s="94" t="s">
        <v>575</v>
      </c>
      <c r="G1165" s="97">
        <v>13</v>
      </c>
      <c r="H1165" s="98" t="s">
        <v>752</v>
      </c>
      <c r="I1165" s="99" t="str">
        <f t="shared" si="18"/>
        <v>파주|13</v>
      </c>
      <c r="J1165" s="100">
        <v>0.2</v>
      </c>
      <c r="K1165" s="100">
        <v>0</v>
      </c>
      <c r="L1165" s="100">
        <v>0.3</v>
      </c>
      <c r="M1165" s="100">
        <v>0.4</v>
      </c>
      <c r="N1165" s="100">
        <v>0.3</v>
      </c>
      <c r="O1165" s="100">
        <v>0.2</v>
      </c>
      <c r="P1165" s="100">
        <v>0</v>
      </c>
      <c r="Q1165" s="100">
        <v>0.2</v>
      </c>
      <c r="R1165" s="100">
        <v>0.1</v>
      </c>
      <c r="S1165" s="100">
        <v>0</v>
      </c>
      <c r="T1165" s="100">
        <v>0.2</v>
      </c>
      <c r="U1165" s="100">
        <v>0</v>
      </c>
    </row>
    <row r="1166" spans="4:21">
      <c r="D1166" s="97" t="s">
        <v>576</v>
      </c>
      <c r="E1166" s="97" t="s">
        <v>577</v>
      </c>
      <c r="F1166" s="94" t="s">
        <v>578</v>
      </c>
      <c r="G1166" s="97">
        <v>13</v>
      </c>
      <c r="H1166" s="98" t="s">
        <v>752</v>
      </c>
      <c r="I1166" s="99" t="str">
        <f t="shared" si="18"/>
        <v>거제|13</v>
      </c>
      <c r="J1166" s="100">
        <v>0.4</v>
      </c>
      <c r="K1166" s="100">
        <v>0.2</v>
      </c>
      <c r="L1166" s="100">
        <v>0.8</v>
      </c>
      <c r="M1166" s="100">
        <v>1.1000000000000001</v>
      </c>
      <c r="N1166" s="100">
        <v>1.1000000000000001</v>
      </c>
      <c r="O1166" s="100">
        <v>0.5</v>
      </c>
      <c r="P1166" s="100">
        <v>0.6</v>
      </c>
      <c r="Q1166" s="100">
        <v>1.2</v>
      </c>
      <c r="R1166" s="100">
        <v>0.6</v>
      </c>
      <c r="S1166" s="100">
        <v>0.5</v>
      </c>
      <c r="T1166" s="100">
        <v>0.3</v>
      </c>
      <c r="U1166" s="100">
        <v>0.3</v>
      </c>
    </row>
    <row r="1167" spans="4:21">
      <c r="D1167" s="97" t="s">
        <v>579</v>
      </c>
      <c r="E1167" s="97" t="s">
        <v>577</v>
      </c>
      <c r="F1167" s="94" t="s">
        <v>580</v>
      </c>
      <c r="G1167" s="97">
        <v>13</v>
      </c>
      <c r="H1167" s="98" t="s">
        <v>752</v>
      </c>
      <c r="I1167" s="99" t="str">
        <f t="shared" si="18"/>
        <v>거창|13</v>
      </c>
      <c r="J1167" s="100">
        <v>0.5</v>
      </c>
      <c r="K1167" s="100">
        <v>0.5</v>
      </c>
      <c r="L1167" s="100">
        <v>1.3</v>
      </c>
      <c r="M1167" s="100">
        <v>0.4</v>
      </c>
      <c r="N1167" s="100">
        <v>0.7</v>
      </c>
      <c r="O1167" s="100">
        <v>0</v>
      </c>
      <c r="P1167" s="100">
        <v>0.3</v>
      </c>
      <c r="Q1167" s="100">
        <v>0.1</v>
      </c>
      <c r="R1167" s="100">
        <v>0.1</v>
      </c>
      <c r="S1167" s="100">
        <v>0.1</v>
      </c>
      <c r="T1167" s="100">
        <v>0.1</v>
      </c>
      <c r="U1167" s="100">
        <v>0.5</v>
      </c>
    </row>
    <row r="1168" spans="4:21">
      <c r="D1168" s="97" t="s">
        <v>581</v>
      </c>
      <c r="E1168" s="97" t="s">
        <v>577</v>
      </c>
      <c r="F1168" s="94" t="s">
        <v>582</v>
      </c>
      <c r="G1168" s="97">
        <v>13</v>
      </c>
      <c r="H1168" s="98" t="s">
        <v>752</v>
      </c>
      <c r="I1168" s="99" t="str">
        <f t="shared" si="18"/>
        <v>김해시|13</v>
      </c>
      <c r="J1168" s="100">
        <v>1.4</v>
      </c>
      <c r="K1168" s="100">
        <v>1</v>
      </c>
      <c r="L1168" s="100">
        <v>1</v>
      </c>
      <c r="M1168" s="100">
        <v>0.8</v>
      </c>
      <c r="N1168" s="100">
        <v>0.8</v>
      </c>
      <c r="O1168" s="100">
        <v>0</v>
      </c>
      <c r="P1168" s="100">
        <v>0.3</v>
      </c>
      <c r="Q1168" s="100">
        <v>0.5</v>
      </c>
      <c r="R1168" s="100">
        <v>0.9</v>
      </c>
      <c r="S1168" s="100">
        <v>0.6</v>
      </c>
      <c r="T1168" s="100">
        <v>0.6</v>
      </c>
      <c r="U1168" s="100">
        <v>1</v>
      </c>
    </row>
    <row r="1169" spans="4:21">
      <c r="D1169" s="97" t="s">
        <v>583</v>
      </c>
      <c r="E1169" s="97" t="s">
        <v>577</v>
      </c>
      <c r="F1169" s="94" t="s">
        <v>584</v>
      </c>
      <c r="G1169" s="97">
        <v>13</v>
      </c>
      <c r="H1169" s="98" t="s">
        <v>752</v>
      </c>
      <c r="I1169" s="99" t="str">
        <f t="shared" si="18"/>
        <v>남해|13</v>
      </c>
      <c r="J1169" s="100">
        <v>0.7</v>
      </c>
      <c r="K1169" s="100">
        <v>0.2</v>
      </c>
      <c r="L1169" s="100">
        <v>0.5</v>
      </c>
      <c r="M1169" s="100">
        <v>0.2</v>
      </c>
      <c r="N1169" s="100">
        <v>0.3</v>
      </c>
      <c r="O1169" s="100">
        <v>0.1</v>
      </c>
      <c r="P1169" s="100">
        <v>0.4</v>
      </c>
      <c r="Q1169" s="100">
        <v>0.6</v>
      </c>
      <c r="R1169" s="100">
        <v>0.5</v>
      </c>
      <c r="S1169" s="100">
        <v>0.1</v>
      </c>
      <c r="T1169" s="100">
        <v>0.5</v>
      </c>
      <c r="U1169" s="100">
        <v>0.7</v>
      </c>
    </row>
    <row r="1170" spans="4:21">
      <c r="D1170" s="97" t="s">
        <v>585</v>
      </c>
      <c r="E1170" s="97" t="s">
        <v>577</v>
      </c>
      <c r="F1170" s="94" t="s">
        <v>586</v>
      </c>
      <c r="G1170" s="97">
        <v>13</v>
      </c>
      <c r="H1170" s="98" t="s">
        <v>752</v>
      </c>
      <c r="I1170" s="99" t="str">
        <f t="shared" si="18"/>
        <v>밀양|13</v>
      </c>
      <c r="J1170" s="100">
        <v>0.1</v>
      </c>
      <c r="K1170" s="100">
        <v>0</v>
      </c>
      <c r="L1170" s="100">
        <v>0.1</v>
      </c>
      <c r="M1170" s="100">
        <v>0.1</v>
      </c>
      <c r="N1170" s="100">
        <v>0.1</v>
      </c>
      <c r="O1170" s="100">
        <v>0</v>
      </c>
      <c r="P1170" s="100">
        <v>0.1</v>
      </c>
      <c r="Q1170" s="100">
        <v>0</v>
      </c>
      <c r="R1170" s="100">
        <v>0.4</v>
      </c>
      <c r="S1170" s="100">
        <v>0.1</v>
      </c>
      <c r="T1170" s="100">
        <v>0</v>
      </c>
      <c r="U1170" s="100">
        <v>0</v>
      </c>
    </row>
    <row r="1171" spans="4:21">
      <c r="D1171" s="97" t="s">
        <v>587</v>
      </c>
      <c r="E1171" s="97" t="s">
        <v>577</v>
      </c>
      <c r="F1171" s="94" t="s">
        <v>588</v>
      </c>
      <c r="G1171" s="97">
        <v>13</v>
      </c>
      <c r="H1171" s="98" t="s">
        <v>752</v>
      </c>
      <c r="I1171" s="99" t="str">
        <f t="shared" si="18"/>
        <v>북창원|13</v>
      </c>
      <c r="J1171" s="100">
        <v>0.6</v>
      </c>
      <c r="K1171" s="100">
        <v>0.1</v>
      </c>
      <c r="L1171" s="100">
        <v>0.3</v>
      </c>
      <c r="M1171" s="100">
        <v>0.5</v>
      </c>
      <c r="N1171" s="100">
        <v>0.1</v>
      </c>
      <c r="O1171" s="100">
        <v>0.2</v>
      </c>
      <c r="P1171" s="100">
        <v>0.5</v>
      </c>
      <c r="Q1171" s="100">
        <v>0.3</v>
      </c>
      <c r="R1171" s="100">
        <v>0.9</v>
      </c>
      <c r="S1171" s="100">
        <v>0.5</v>
      </c>
      <c r="T1171" s="100">
        <v>0.2</v>
      </c>
      <c r="U1171" s="100">
        <v>0.4</v>
      </c>
    </row>
    <row r="1172" spans="4:21">
      <c r="D1172" s="97" t="s">
        <v>589</v>
      </c>
      <c r="E1172" s="97" t="s">
        <v>577</v>
      </c>
      <c r="F1172" s="94" t="s">
        <v>590</v>
      </c>
      <c r="G1172" s="97">
        <v>13</v>
      </c>
      <c r="H1172" s="98" t="s">
        <v>752</v>
      </c>
      <c r="I1172" s="99" t="str">
        <f t="shared" si="18"/>
        <v>산청|13</v>
      </c>
      <c r="J1172" s="100">
        <v>2.2000000000000002</v>
      </c>
      <c r="K1172" s="100">
        <v>2.8</v>
      </c>
      <c r="L1172" s="100">
        <v>2.9</v>
      </c>
      <c r="M1172" s="100">
        <v>1.6</v>
      </c>
      <c r="N1172" s="100">
        <v>1.2</v>
      </c>
      <c r="O1172" s="100">
        <v>0.2</v>
      </c>
      <c r="P1172" s="100">
        <v>0.1</v>
      </c>
      <c r="Q1172" s="100">
        <v>0.1</v>
      </c>
      <c r="R1172" s="100">
        <v>0.5</v>
      </c>
      <c r="S1172" s="100">
        <v>0.7</v>
      </c>
      <c r="T1172" s="100">
        <v>2.2999999999999998</v>
      </c>
      <c r="U1172" s="100">
        <v>3.6</v>
      </c>
    </row>
    <row r="1173" spans="4:21">
      <c r="D1173" s="97" t="s">
        <v>591</v>
      </c>
      <c r="E1173" s="97" t="s">
        <v>577</v>
      </c>
      <c r="F1173" s="94" t="s">
        <v>592</v>
      </c>
      <c r="G1173" s="97">
        <v>13</v>
      </c>
      <c r="H1173" s="98" t="s">
        <v>752</v>
      </c>
      <c r="I1173" s="99" t="str">
        <f t="shared" si="18"/>
        <v>양산시|13</v>
      </c>
      <c r="J1173" s="100">
        <v>1.2</v>
      </c>
      <c r="K1173" s="100">
        <v>1</v>
      </c>
      <c r="L1173" s="100">
        <v>1.1000000000000001</v>
      </c>
      <c r="M1173" s="100">
        <v>1.5</v>
      </c>
      <c r="N1173" s="100">
        <v>0.4</v>
      </c>
      <c r="O1173" s="100">
        <v>0.1</v>
      </c>
      <c r="P1173" s="100">
        <v>0.6</v>
      </c>
      <c r="Q1173" s="100">
        <v>0.7</v>
      </c>
      <c r="R1173" s="100">
        <v>1.3</v>
      </c>
      <c r="S1173" s="100">
        <v>0.8</v>
      </c>
      <c r="T1173" s="100">
        <v>0.4</v>
      </c>
      <c r="U1173" s="100">
        <v>0.8</v>
      </c>
    </row>
    <row r="1174" spans="4:21">
      <c r="D1174" s="97" t="s">
        <v>593</v>
      </c>
      <c r="E1174" s="97" t="s">
        <v>577</v>
      </c>
      <c r="F1174" s="94" t="s">
        <v>594</v>
      </c>
      <c r="G1174" s="97">
        <v>13</v>
      </c>
      <c r="H1174" s="98" t="s">
        <v>752</v>
      </c>
      <c r="I1174" s="99" t="str">
        <f t="shared" si="18"/>
        <v>의령군|13</v>
      </c>
      <c r="J1174" s="100">
        <v>0.6</v>
      </c>
      <c r="K1174" s="100">
        <v>0.5</v>
      </c>
      <c r="L1174" s="100">
        <v>0.5</v>
      </c>
      <c r="M1174" s="100">
        <v>0.4</v>
      </c>
      <c r="N1174" s="100">
        <v>0.7</v>
      </c>
      <c r="O1174" s="100">
        <v>0.1</v>
      </c>
      <c r="P1174" s="100">
        <v>0</v>
      </c>
      <c r="Q1174" s="100">
        <v>0.2</v>
      </c>
      <c r="R1174" s="100">
        <v>0.4</v>
      </c>
      <c r="S1174" s="100">
        <v>0.4</v>
      </c>
      <c r="T1174" s="100">
        <v>0.3</v>
      </c>
      <c r="U1174" s="100">
        <v>0.8</v>
      </c>
    </row>
    <row r="1175" spans="4:21">
      <c r="D1175" s="97" t="s">
        <v>595</v>
      </c>
      <c r="E1175" s="97" t="s">
        <v>577</v>
      </c>
      <c r="F1175" s="94" t="s">
        <v>596</v>
      </c>
      <c r="G1175" s="97">
        <v>13</v>
      </c>
      <c r="H1175" s="98" t="s">
        <v>752</v>
      </c>
      <c r="I1175" s="99" t="str">
        <f t="shared" si="18"/>
        <v>진주|13</v>
      </c>
      <c r="J1175" s="100">
        <v>0.2</v>
      </c>
      <c r="K1175" s="100">
        <v>0</v>
      </c>
      <c r="L1175" s="100">
        <v>0.4</v>
      </c>
      <c r="M1175" s="100">
        <v>0.2</v>
      </c>
      <c r="N1175" s="100">
        <v>0.2</v>
      </c>
      <c r="O1175" s="100">
        <v>0</v>
      </c>
      <c r="P1175" s="100">
        <v>0.1</v>
      </c>
      <c r="Q1175" s="100">
        <v>0.1</v>
      </c>
      <c r="R1175" s="100">
        <v>0.3</v>
      </c>
      <c r="S1175" s="100">
        <v>0.1</v>
      </c>
      <c r="T1175" s="100">
        <v>0</v>
      </c>
      <c r="U1175" s="100">
        <v>0</v>
      </c>
    </row>
    <row r="1176" spans="4:21">
      <c r="D1176" s="97" t="s">
        <v>597</v>
      </c>
      <c r="E1176" s="97" t="s">
        <v>577</v>
      </c>
      <c r="F1176" s="94" t="s">
        <v>598</v>
      </c>
      <c r="G1176" s="97">
        <v>13</v>
      </c>
      <c r="H1176" s="98" t="s">
        <v>752</v>
      </c>
      <c r="I1176" s="99" t="str">
        <f t="shared" si="18"/>
        <v>창원|13</v>
      </c>
      <c r="J1176" s="100">
        <v>0.4</v>
      </c>
      <c r="K1176" s="100">
        <v>0</v>
      </c>
      <c r="L1176" s="100">
        <v>0.5</v>
      </c>
      <c r="M1176" s="100">
        <v>0.6</v>
      </c>
      <c r="N1176" s="100">
        <v>0.3</v>
      </c>
      <c r="O1176" s="100">
        <v>0.1</v>
      </c>
      <c r="P1176" s="100">
        <v>0.4</v>
      </c>
      <c r="Q1176" s="100">
        <v>0.4</v>
      </c>
      <c r="R1176" s="100">
        <v>0.5</v>
      </c>
      <c r="S1176" s="100">
        <v>0.5</v>
      </c>
      <c r="T1176" s="100">
        <v>0.3</v>
      </c>
      <c r="U1176" s="100">
        <v>0.4</v>
      </c>
    </row>
    <row r="1177" spans="4:21">
      <c r="D1177" s="97" t="s">
        <v>599</v>
      </c>
      <c r="E1177" s="97" t="s">
        <v>577</v>
      </c>
      <c r="F1177" s="94" t="s">
        <v>600</v>
      </c>
      <c r="G1177" s="97">
        <v>13</v>
      </c>
      <c r="H1177" s="98" t="s">
        <v>752</v>
      </c>
      <c r="I1177" s="99" t="str">
        <f t="shared" si="18"/>
        <v>통영|13</v>
      </c>
      <c r="J1177" s="100">
        <v>0.7</v>
      </c>
      <c r="K1177" s="100">
        <v>0.9</v>
      </c>
      <c r="L1177" s="100">
        <v>1.6</v>
      </c>
      <c r="M1177" s="100">
        <v>1.7</v>
      </c>
      <c r="N1177" s="100">
        <v>1.4</v>
      </c>
      <c r="O1177" s="100">
        <v>1.5</v>
      </c>
      <c r="P1177" s="100">
        <v>2.4</v>
      </c>
      <c r="Q1177" s="100">
        <v>1.7</v>
      </c>
      <c r="R1177" s="100">
        <v>1.3</v>
      </c>
      <c r="S1177" s="100">
        <v>1.1000000000000001</v>
      </c>
      <c r="T1177" s="100">
        <v>0.9</v>
      </c>
      <c r="U1177" s="100">
        <v>0.7</v>
      </c>
    </row>
    <row r="1178" spans="4:21">
      <c r="D1178" s="97" t="s">
        <v>601</v>
      </c>
      <c r="E1178" s="97" t="s">
        <v>577</v>
      </c>
      <c r="F1178" s="94" t="s">
        <v>602</v>
      </c>
      <c r="G1178" s="97">
        <v>13</v>
      </c>
      <c r="H1178" s="98" t="s">
        <v>752</v>
      </c>
      <c r="I1178" s="99" t="str">
        <f t="shared" si="18"/>
        <v>함양군|13</v>
      </c>
      <c r="J1178" s="100">
        <v>0.8</v>
      </c>
      <c r="K1178" s="100">
        <v>0.6</v>
      </c>
      <c r="L1178" s="100">
        <v>1</v>
      </c>
      <c r="M1178" s="100">
        <v>1</v>
      </c>
      <c r="N1178" s="100">
        <v>0.7</v>
      </c>
      <c r="O1178" s="100">
        <v>0</v>
      </c>
      <c r="P1178" s="100">
        <v>0.1</v>
      </c>
      <c r="Q1178" s="100">
        <v>0.2</v>
      </c>
      <c r="R1178" s="100">
        <v>0.2</v>
      </c>
      <c r="S1178" s="100">
        <v>0</v>
      </c>
      <c r="T1178" s="100">
        <v>0.1</v>
      </c>
      <c r="U1178" s="100">
        <v>0.4</v>
      </c>
    </row>
    <row r="1179" spans="4:21">
      <c r="D1179" s="97" t="s">
        <v>603</v>
      </c>
      <c r="E1179" s="97" t="s">
        <v>577</v>
      </c>
      <c r="F1179" s="94" t="s">
        <v>604</v>
      </c>
      <c r="G1179" s="97">
        <v>13</v>
      </c>
      <c r="H1179" s="98" t="s">
        <v>752</v>
      </c>
      <c r="I1179" s="99" t="str">
        <f t="shared" si="18"/>
        <v>합천|13</v>
      </c>
      <c r="J1179" s="100">
        <v>0.1</v>
      </c>
      <c r="K1179" s="100">
        <v>0</v>
      </c>
      <c r="L1179" s="100">
        <v>0.3</v>
      </c>
      <c r="M1179" s="100">
        <v>0</v>
      </c>
      <c r="N1179" s="100">
        <v>0</v>
      </c>
      <c r="O1179" s="100">
        <v>0</v>
      </c>
      <c r="P1179" s="100">
        <v>0</v>
      </c>
      <c r="Q1179" s="100">
        <v>0.2</v>
      </c>
      <c r="R1179" s="100">
        <v>0.2</v>
      </c>
      <c r="S1179" s="100">
        <v>0</v>
      </c>
      <c r="T1179" s="100">
        <v>0</v>
      </c>
      <c r="U1179" s="100">
        <v>0</v>
      </c>
    </row>
    <row r="1180" spans="4:21">
      <c r="D1180" s="97" t="s">
        <v>605</v>
      </c>
      <c r="E1180" s="97" t="s">
        <v>606</v>
      </c>
      <c r="F1180" s="94" t="s">
        <v>607</v>
      </c>
      <c r="G1180" s="97">
        <v>13</v>
      </c>
      <c r="H1180" s="98" t="s">
        <v>752</v>
      </c>
      <c r="I1180" s="99" t="str">
        <f t="shared" si="18"/>
        <v>경주시|13</v>
      </c>
      <c r="J1180" s="100">
        <v>3.3</v>
      </c>
      <c r="K1180" s="100">
        <v>3.4</v>
      </c>
      <c r="L1180" s="100">
        <v>3.4</v>
      </c>
      <c r="M1180" s="100">
        <v>2.1</v>
      </c>
      <c r="N1180" s="100">
        <v>1.5</v>
      </c>
      <c r="O1180" s="100">
        <v>0.1</v>
      </c>
      <c r="P1180" s="100">
        <v>0.5</v>
      </c>
      <c r="Q1180" s="100">
        <v>0.3</v>
      </c>
      <c r="R1180" s="100">
        <v>1.1000000000000001</v>
      </c>
      <c r="S1180" s="100">
        <v>0.9</v>
      </c>
      <c r="T1180" s="100">
        <v>2.4</v>
      </c>
      <c r="U1180" s="100">
        <v>4.0999999999999996</v>
      </c>
    </row>
    <row r="1181" spans="4:21">
      <c r="D1181" s="97" t="s">
        <v>608</v>
      </c>
      <c r="E1181" s="97" t="s">
        <v>606</v>
      </c>
      <c r="F1181" s="94" t="s">
        <v>609</v>
      </c>
      <c r="G1181" s="97">
        <v>13</v>
      </c>
      <c r="H1181" s="98" t="s">
        <v>752</v>
      </c>
      <c r="I1181" s="99" t="str">
        <f t="shared" si="18"/>
        <v>구미|13</v>
      </c>
      <c r="J1181" s="100">
        <v>0</v>
      </c>
      <c r="K1181" s="100">
        <v>0</v>
      </c>
      <c r="L1181" s="100">
        <v>0.2</v>
      </c>
      <c r="M1181" s="100">
        <v>0.1</v>
      </c>
      <c r="N1181" s="100">
        <v>0.2</v>
      </c>
      <c r="O1181" s="100">
        <v>0</v>
      </c>
      <c r="P1181" s="100">
        <v>0</v>
      </c>
      <c r="Q1181" s="100">
        <v>0</v>
      </c>
      <c r="R1181" s="100">
        <v>0</v>
      </c>
      <c r="S1181" s="100">
        <v>0</v>
      </c>
      <c r="T1181" s="100">
        <v>0</v>
      </c>
      <c r="U1181" s="100">
        <v>0</v>
      </c>
    </row>
    <row r="1182" spans="4:21">
      <c r="D1182" s="97" t="s">
        <v>610</v>
      </c>
      <c r="E1182" s="97" t="s">
        <v>606</v>
      </c>
      <c r="F1182" s="94" t="s">
        <v>611</v>
      </c>
      <c r="G1182" s="97">
        <v>13</v>
      </c>
      <c r="H1182" s="98" t="s">
        <v>752</v>
      </c>
      <c r="I1182" s="99" t="str">
        <f t="shared" si="18"/>
        <v>문경|13</v>
      </c>
      <c r="J1182" s="100">
        <v>0.9</v>
      </c>
      <c r="K1182" s="100">
        <v>1.5</v>
      </c>
      <c r="L1182" s="100">
        <v>2</v>
      </c>
      <c r="M1182" s="100">
        <v>1</v>
      </c>
      <c r="N1182" s="100">
        <v>0.9</v>
      </c>
      <c r="O1182" s="100">
        <v>0.1</v>
      </c>
      <c r="P1182" s="100">
        <v>0.1</v>
      </c>
      <c r="Q1182" s="100">
        <v>0.3</v>
      </c>
      <c r="R1182" s="100">
        <v>0.3</v>
      </c>
      <c r="S1182" s="100">
        <v>0.2</v>
      </c>
      <c r="T1182" s="100">
        <v>1</v>
      </c>
      <c r="U1182" s="100">
        <v>1.9</v>
      </c>
    </row>
    <row r="1183" spans="4:21">
      <c r="D1183" s="97" t="s">
        <v>612</v>
      </c>
      <c r="E1183" s="97" t="s">
        <v>606</v>
      </c>
      <c r="F1183" s="94" t="s">
        <v>613</v>
      </c>
      <c r="G1183" s="97">
        <v>13</v>
      </c>
      <c r="H1183" s="98" t="s">
        <v>752</v>
      </c>
      <c r="I1183" s="99" t="str">
        <f t="shared" si="18"/>
        <v>봉화|13</v>
      </c>
      <c r="J1183" s="100">
        <v>0.4</v>
      </c>
      <c r="K1183" s="100">
        <v>0.1</v>
      </c>
      <c r="L1183" s="100">
        <v>0.4</v>
      </c>
      <c r="M1183" s="100">
        <v>0.3</v>
      </c>
      <c r="N1183" s="100">
        <v>0.7</v>
      </c>
      <c r="O1183" s="100">
        <v>0</v>
      </c>
      <c r="P1183" s="100">
        <v>0</v>
      </c>
      <c r="Q1183" s="100">
        <v>0.2</v>
      </c>
      <c r="R1183" s="100">
        <v>0.6</v>
      </c>
      <c r="S1183" s="100">
        <v>0.4</v>
      </c>
      <c r="T1183" s="100">
        <v>0.4</v>
      </c>
      <c r="U1183" s="100">
        <v>0.4</v>
      </c>
    </row>
    <row r="1184" spans="4:21">
      <c r="D1184" s="97" t="s">
        <v>614</v>
      </c>
      <c r="E1184" s="97" t="s">
        <v>606</v>
      </c>
      <c r="F1184" s="94" t="s">
        <v>615</v>
      </c>
      <c r="G1184" s="97">
        <v>13</v>
      </c>
      <c r="H1184" s="98" t="s">
        <v>752</v>
      </c>
      <c r="I1184" s="99" t="str">
        <f t="shared" si="18"/>
        <v>상주|13</v>
      </c>
      <c r="J1184" s="100">
        <v>1.2</v>
      </c>
      <c r="K1184" s="100">
        <v>1.3</v>
      </c>
      <c r="L1184" s="100">
        <v>1.9</v>
      </c>
      <c r="M1184" s="100">
        <v>0.8</v>
      </c>
      <c r="N1184" s="100">
        <v>0.4</v>
      </c>
      <c r="O1184" s="100">
        <v>0</v>
      </c>
      <c r="P1184" s="100">
        <v>0.1</v>
      </c>
      <c r="Q1184" s="100">
        <v>0.2</v>
      </c>
      <c r="R1184" s="100">
        <v>0.2</v>
      </c>
      <c r="S1184" s="100">
        <v>0.1</v>
      </c>
      <c r="T1184" s="100">
        <v>0.6</v>
      </c>
      <c r="U1184" s="100">
        <v>1.3</v>
      </c>
    </row>
    <row r="1185" spans="4:21">
      <c r="D1185" s="97" t="s">
        <v>616</v>
      </c>
      <c r="E1185" s="97" t="s">
        <v>606</v>
      </c>
      <c r="F1185" s="94" t="s">
        <v>617</v>
      </c>
      <c r="G1185" s="97">
        <v>13</v>
      </c>
      <c r="H1185" s="98" t="s">
        <v>752</v>
      </c>
      <c r="I1185" s="99" t="str">
        <f t="shared" si="18"/>
        <v>안동|13</v>
      </c>
      <c r="J1185" s="100">
        <v>0.6</v>
      </c>
      <c r="K1185" s="100">
        <v>0.8</v>
      </c>
      <c r="L1185" s="100">
        <v>1.1000000000000001</v>
      </c>
      <c r="M1185" s="100">
        <v>0.6</v>
      </c>
      <c r="N1185" s="100">
        <v>0.6</v>
      </c>
      <c r="O1185" s="100">
        <v>0.1</v>
      </c>
      <c r="P1185" s="100">
        <v>0.1</v>
      </c>
      <c r="Q1185" s="100">
        <v>0</v>
      </c>
      <c r="R1185" s="100">
        <v>0.1</v>
      </c>
      <c r="S1185" s="100">
        <v>0.1</v>
      </c>
      <c r="T1185" s="100">
        <v>0.4</v>
      </c>
      <c r="U1185" s="100">
        <v>0.5</v>
      </c>
    </row>
    <row r="1186" spans="4:21">
      <c r="D1186" s="97" t="s">
        <v>618</v>
      </c>
      <c r="E1186" s="97" t="s">
        <v>606</v>
      </c>
      <c r="F1186" s="94" t="s">
        <v>619</v>
      </c>
      <c r="G1186" s="97">
        <v>13</v>
      </c>
      <c r="H1186" s="98" t="s">
        <v>752</v>
      </c>
      <c r="I1186" s="99" t="str">
        <f t="shared" si="18"/>
        <v>영덕|13</v>
      </c>
      <c r="J1186" s="100">
        <v>4.9000000000000004</v>
      </c>
      <c r="K1186" s="100">
        <v>5.4</v>
      </c>
      <c r="L1186" s="100">
        <v>4.9000000000000004</v>
      </c>
      <c r="M1186" s="100">
        <v>4.8</v>
      </c>
      <c r="N1186" s="100">
        <v>2.8</v>
      </c>
      <c r="O1186" s="100">
        <v>0.7</v>
      </c>
      <c r="P1186" s="100">
        <v>1</v>
      </c>
      <c r="Q1186" s="100">
        <v>1</v>
      </c>
      <c r="R1186" s="100">
        <v>2.4</v>
      </c>
      <c r="S1186" s="100">
        <v>2.5</v>
      </c>
      <c r="T1186" s="100">
        <v>3.2</v>
      </c>
      <c r="U1186" s="100">
        <v>6.6</v>
      </c>
    </row>
    <row r="1187" spans="4:21">
      <c r="D1187" s="97" t="s">
        <v>620</v>
      </c>
      <c r="E1187" s="97" t="s">
        <v>606</v>
      </c>
      <c r="F1187" s="94" t="s">
        <v>621</v>
      </c>
      <c r="G1187" s="97">
        <v>13</v>
      </c>
      <c r="H1187" s="98" t="s">
        <v>752</v>
      </c>
      <c r="I1187" s="99" t="str">
        <f t="shared" si="18"/>
        <v>영주|13</v>
      </c>
      <c r="J1187" s="100">
        <v>3.3</v>
      </c>
      <c r="K1187" s="100">
        <v>3.6</v>
      </c>
      <c r="L1187" s="100">
        <v>2.6</v>
      </c>
      <c r="M1187" s="100">
        <v>1.5</v>
      </c>
      <c r="N1187" s="100">
        <v>1.1000000000000001</v>
      </c>
      <c r="O1187" s="100">
        <v>0.1</v>
      </c>
      <c r="P1187" s="100">
        <v>0.1</v>
      </c>
      <c r="Q1187" s="100">
        <v>0.1</v>
      </c>
      <c r="R1187" s="100">
        <v>0.4</v>
      </c>
      <c r="S1187" s="100">
        <v>0.5</v>
      </c>
      <c r="T1187" s="100">
        <v>2.8</v>
      </c>
      <c r="U1187" s="100">
        <v>4.3</v>
      </c>
    </row>
    <row r="1188" spans="4:21">
      <c r="D1188" s="97" t="s">
        <v>622</v>
      </c>
      <c r="E1188" s="97" t="s">
        <v>606</v>
      </c>
      <c r="F1188" s="94" t="s">
        <v>623</v>
      </c>
      <c r="G1188" s="97">
        <v>13</v>
      </c>
      <c r="H1188" s="98" t="s">
        <v>752</v>
      </c>
      <c r="I1188" s="99" t="str">
        <f t="shared" si="18"/>
        <v>영천|13</v>
      </c>
      <c r="J1188" s="100">
        <v>1.3</v>
      </c>
      <c r="K1188" s="100">
        <v>0.8</v>
      </c>
      <c r="L1188" s="100">
        <v>1</v>
      </c>
      <c r="M1188" s="100">
        <v>0.3</v>
      </c>
      <c r="N1188" s="100">
        <v>0.7</v>
      </c>
      <c r="O1188" s="100">
        <v>0</v>
      </c>
      <c r="P1188" s="100">
        <v>0.1</v>
      </c>
      <c r="Q1188" s="100">
        <v>0.2</v>
      </c>
      <c r="R1188" s="100">
        <v>0.5</v>
      </c>
      <c r="S1188" s="100">
        <v>0</v>
      </c>
      <c r="T1188" s="100">
        <v>0.6</v>
      </c>
      <c r="U1188" s="100">
        <v>0.8</v>
      </c>
    </row>
    <row r="1189" spans="4:21">
      <c r="D1189" s="97" t="s">
        <v>624</v>
      </c>
      <c r="E1189" s="97" t="s">
        <v>606</v>
      </c>
      <c r="F1189" s="94" t="s">
        <v>625</v>
      </c>
      <c r="G1189" s="97">
        <v>13</v>
      </c>
      <c r="H1189" s="98" t="s">
        <v>752</v>
      </c>
      <c r="I1189" s="99" t="str">
        <f t="shared" si="18"/>
        <v>울릉도|13</v>
      </c>
      <c r="J1189" s="100">
        <v>14.3</v>
      </c>
      <c r="K1189" s="100">
        <v>12.8</v>
      </c>
      <c r="L1189" s="100">
        <v>14.1</v>
      </c>
      <c r="M1189" s="100">
        <v>14.5</v>
      </c>
      <c r="N1189" s="100">
        <v>13.1</v>
      </c>
      <c r="O1189" s="100">
        <v>6.1</v>
      </c>
      <c r="P1189" s="100">
        <v>7.9</v>
      </c>
      <c r="Q1189" s="100">
        <v>5.9</v>
      </c>
      <c r="R1189" s="100">
        <v>5.5</v>
      </c>
      <c r="S1189" s="100">
        <v>10</v>
      </c>
      <c r="T1189" s="100">
        <v>11.5</v>
      </c>
      <c r="U1189" s="100">
        <v>14.1</v>
      </c>
    </row>
    <row r="1190" spans="4:21">
      <c r="D1190" s="97" t="s">
        <v>626</v>
      </c>
      <c r="E1190" s="97" t="s">
        <v>606</v>
      </c>
      <c r="F1190" s="94" t="s">
        <v>627</v>
      </c>
      <c r="G1190" s="97">
        <v>13</v>
      </c>
      <c r="H1190" s="98" t="s">
        <v>752</v>
      </c>
      <c r="I1190" s="99" t="str">
        <f t="shared" si="18"/>
        <v>울진|13</v>
      </c>
      <c r="J1190" s="100">
        <v>1.2</v>
      </c>
      <c r="K1190" s="100">
        <v>1.1000000000000001</v>
      </c>
      <c r="L1190" s="100">
        <v>1.4</v>
      </c>
      <c r="M1190" s="100">
        <v>1.8</v>
      </c>
      <c r="N1190" s="100">
        <v>0.9</v>
      </c>
      <c r="O1190" s="100">
        <v>0.4</v>
      </c>
      <c r="P1190" s="100">
        <v>0.4</v>
      </c>
      <c r="Q1190" s="100">
        <v>0.6</v>
      </c>
      <c r="R1190" s="100">
        <v>1.1000000000000001</v>
      </c>
      <c r="S1190" s="100">
        <v>0.8</v>
      </c>
      <c r="T1190" s="100">
        <v>0.9</v>
      </c>
      <c r="U1190" s="100">
        <v>1.3</v>
      </c>
    </row>
    <row r="1191" spans="4:21">
      <c r="D1191" s="97" t="s">
        <v>628</v>
      </c>
      <c r="E1191" s="97" t="s">
        <v>606</v>
      </c>
      <c r="F1191" s="94" t="s">
        <v>629</v>
      </c>
      <c r="G1191" s="97">
        <v>13</v>
      </c>
      <c r="H1191" s="98" t="s">
        <v>752</v>
      </c>
      <c r="I1191" s="99" t="str">
        <f t="shared" si="18"/>
        <v>의성|13</v>
      </c>
      <c r="J1191" s="100">
        <v>0.3</v>
      </c>
      <c r="K1191" s="100">
        <v>0.3</v>
      </c>
      <c r="L1191" s="100">
        <v>0.4</v>
      </c>
      <c r="M1191" s="100">
        <v>0.3</v>
      </c>
      <c r="N1191" s="100">
        <v>0.3</v>
      </c>
      <c r="O1191" s="100">
        <v>0</v>
      </c>
      <c r="P1191" s="100">
        <v>0.1</v>
      </c>
      <c r="Q1191" s="100">
        <v>0</v>
      </c>
      <c r="R1191" s="100">
        <v>0.1</v>
      </c>
      <c r="S1191" s="100">
        <v>0</v>
      </c>
      <c r="T1191" s="100">
        <v>0</v>
      </c>
      <c r="U1191" s="100">
        <v>0.2</v>
      </c>
    </row>
    <row r="1192" spans="4:21">
      <c r="D1192" s="97" t="s">
        <v>630</v>
      </c>
      <c r="E1192" s="97" t="s">
        <v>606</v>
      </c>
      <c r="F1192" s="94" t="s">
        <v>631</v>
      </c>
      <c r="G1192" s="97">
        <v>13</v>
      </c>
      <c r="H1192" s="98" t="s">
        <v>752</v>
      </c>
      <c r="I1192" s="99" t="str">
        <f t="shared" si="18"/>
        <v>청송군|13</v>
      </c>
      <c r="J1192" s="100">
        <v>1.4</v>
      </c>
      <c r="K1192" s="100">
        <v>1</v>
      </c>
      <c r="L1192" s="100">
        <v>0.5</v>
      </c>
      <c r="M1192" s="100">
        <v>0.5</v>
      </c>
      <c r="N1192" s="100">
        <v>0.5</v>
      </c>
      <c r="O1192" s="100">
        <v>0.1</v>
      </c>
      <c r="P1192" s="100">
        <v>0.2</v>
      </c>
      <c r="Q1192" s="100">
        <v>0</v>
      </c>
      <c r="R1192" s="100">
        <v>0.2</v>
      </c>
      <c r="S1192" s="100">
        <v>0.2</v>
      </c>
      <c r="T1192" s="100">
        <v>1</v>
      </c>
      <c r="U1192" s="100">
        <v>1.6</v>
      </c>
    </row>
    <row r="1193" spans="4:21">
      <c r="D1193" s="97" t="s">
        <v>632</v>
      </c>
      <c r="E1193" s="97" t="s">
        <v>606</v>
      </c>
      <c r="F1193" s="94" t="s">
        <v>633</v>
      </c>
      <c r="G1193" s="97">
        <v>13</v>
      </c>
      <c r="H1193" s="98" t="s">
        <v>752</v>
      </c>
      <c r="I1193" s="99" t="str">
        <f t="shared" si="18"/>
        <v>포항|13</v>
      </c>
      <c r="J1193" s="100">
        <v>0.5</v>
      </c>
      <c r="K1193" s="100">
        <v>0.2</v>
      </c>
      <c r="L1193" s="100">
        <v>0.7</v>
      </c>
      <c r="M1193" s="100">
        <v>0.5</v>
      </c>
      <c r="N1193" s="100">
        <v>0.3</v>
      </c>
      <c r="O1193" s="100">
        <v>0</v>
      </c>
      <c r="P1193" s="100">
        <v>0.1</v>
      </c>
      <c r="Q1193" s="100">
        <v>0.3</v>
      </c>
      <c r="R1193" s="100">
        <v>0.4</v>
      </c>
      <c r="S1193" s="100">
        <v>0.7</v>
      </c>
      <c r="T1193" s="100">
        <v>0.6</v>
      </c>
      <c r="U1193" s="100">
        <v>0.4</v>
      </c>
    </row>
    <row r="1194" spans="4:21">
      <c r="D1194" s="97" t="s">
        <v>634</v>
      </c>
      <c r="E1194" s="97" t="s">
        <v>635</v>
      </c>
      <c r="F1194" s="94" t="s">
        <v>636</v>
      </c>
      <c r="G1194" s="97">
        <v>13</v>
      </c>
      <c r="H1194" s="98" t="s">
        <v>752</v>
      </c>
      <c r="I1194" s="99" t="str">
        <f t="shared" si="18"/>
        <v>광주|13</v>
      </c>
      <c r="J1194" s="100">
        <v>0.1</v>
      </c>
      <c r="K1194" s="100">
        <v>0.1</v>
      </c>
      <c r="L1194" s="100">
        <v>0.2</v>
      </c>
      <c r="M1194" s="100">
        <v>0.9</v>
      </c>
      <c r="N1194" s="100">
        <v>0.1</v>
      </c>
      <c r="O1194" s="100">
        <v>0.3</v>
      </c>
      <c r="P1194" s="100">
        <v>0.3</v>
      </c>
      <c r="Q1194" s="100">
        <v>0.7</v>
      </c>
      <c r="R1194" s="100">
        <v>0.3</v>
      </c>
      <c r="S1194" s="100">
        <v>0.4</v>
      </c>
      <c r="T1194" s="100">
        <v>0.2</v>
      </c>
      <c r="U1194" s="100">
        <v>0.2</v>
      </c>
    </row>
    <row r="1195" spans="4:21">
      <c r="D1195" s="97" t="s">
        <v>637</v>
      </c>
      <c r="E1195" s="97" t="s">
        <v>638</v>
      </c>
      <c r="F1195" s="94" t="s">
        <v>639</v>
      </c>
      <c r="G1195" s="97">
        <v>13</v>
      </c>
      <c r="H1195" s="98" t="s">
        <v>752</v>
      </c>
      <c r="I1195" s="99" t="str">
        <f t="shared" si="18"/>
        <v>대구|13</v>
      </c>
      <c r="J1195" s="100">
        <v>0.9</v>
      </c>
      <c r="K1195" s="100">
        <v>0.6</v>
      </c>
      <c r="L1195" s="100">
        <v>0.6</v>
      </c>
      <c r="M1195" s="100">
        <v>0.2</v>
      </c>
      <c r="N1195" s="100">
        <v>0.6</v>
      </c>
      <c r="O1195" s="100">
        <v>0</v>
      </c>
      <c r="P1195" s="100">
        <v>0.3</v>
      </c>
      <c r="Q1195" s="100">
        <v>0.5</v>
      </c>
      <c r="R1195" s="100">
        <v>0.2</v>
      </c>
      <c r="S1195" s="100">
        <v>0.2</v>
      </c>
      <c r="T1195" s="100">
        <v>0.2</v>
      </c>
      <c r="U1195" s="100">
        <v>0.6</v>
      </c>
    </row>
    <row r="1196" spans="4:21">
      <c r="D1196" s="97" t="s">
        <v>640</v>
      </c>
      <c r="E1196" s="97" t="s">
        <v>641</v>
      </c>
      <c r="F1196" s="94" t="s">
        <v>642</v>
      </c>
      <c r="G1196" s="97">
        <v>13</v>
      </c>
      <c r="H1196" s="98" t="s">
        <v>752</v>
      </c>
      <c r="I1196" s="99" t="str">
        <f t="shared" si="18"/>
        <v>대전|13</v>
      </c>
      <c r="J1196" s="100">
        <v>0.2</v>
      </c>
      <c r="K1196" s="100">
        <v>0</v>
      </c>
      <c r="L1196" s="100">
        <v>0.3</v>
      </c>
      <c r="M1196" s="100">
        <v>0.6</v>
      </c>
      <c r="N1196" s="100">
        <v>0</v>
      </c>
      <c r="O1196" s="100">
        <v>0</v>
      </c>
      <c r="P1196" s="100">
        <v>0.1</v>
      </c>
      <c r="Q1196" s="100">
        <v>0.2</v>
      </c>
      <c r="R1196" s="100">
        <v>0.3</v>
      </c>
      <c r="S1196" s="100">
        <v>0.1</v>
      </c>
      <c r="T1196" s="100">
        <v>0</v>
      </c>
      <c r="U1196" s="100">
        <v>0.1</v>
      </c>
    </row>
    <row r="1197" spans="4:21">
      <c r="D1197" s="97" t="s">
        <v>643</v>
      </c>
      <c r="E1197" s="97" t="s">
        <v>644</v>
      </c>
      <c r="F1197" s="94" t="s">
        <v>645</v>
      </c>
      <c r="G1197" s="97">
        <v>13</v>
      </c>
      <c r="H1197" s="98" t="s">
        <v>752</v>
      </c>
      <c r="I1197" s="99" t="str">
        <f t="shared" si="18"/>
        <v>부산|13</v>
      </c>
      <c r="J1197" s="100">
        <v>5</v>
      </c>
      <c r="K1197" s="100">
        <v>4.5999999999999996</v>
      </c>
      <c r="L1197" s="100">
        <v>4.7</v>
      </c>
      <c r="M1197" s="100">
        <v>3.4</v>
      </c>
      <c r="N1197" s="100">
        <v>4.2</v>
      </c>
      <c r="O1197" s="100">
        <v>2.1</v>
      </c>
      <c r="P1197" s="100">
        <v>3.6</v>
      </c>
      <c r="Q1197" s="100">
        <v>3.3</v>
      </c>
      <c r="R1197" s="100">
        <v>2.2000000000000002</v>
      </c>
      <c r="S1197" s="100">
        <v>2.8</v>
      </c>
      <c r="T1197" s="100">
        <v>3.4</v>
      </c>
      <c r="U1197" s="100">
        <v>3.8</v>
      </c>
    </row>
    <row r="1198" spans="4:21">
      <c r="D1198" s="97" t="s">
        <v>64</v>
      </c>
      <c r="E1198" s="97" t="s">
        <v>646</v>
      </c>
      <c r="F1198" s="94" t="s">
        <v>647</v>
      </c>
      <c r="G1198" s="97">
        <v>13</v>
      </c>
      <c r="H1198" s="98" t="s">
        <v>752</v>
      </c>
      <c r="I1198" s="99" t="str">
        <f t="shared" si="18"/>
        <v>서울|13</v>
      </c>
      <c r="J1198" s="100">
        <v>0.4</v>
      </c>
      <c r="K1198" s="100">
        <v>0.2</v>
      </c>
      <c r="L1198" s="100">
        <v>1</v>
      </c>
      <c r="M1198" s="100">
        <v>1</v>
      </c>
      <c r="N1198" s="100">
        <v>1</v>
      </c>
      <c r="O1198" s="100">
        <v>0.3</v>
      </c>
      <c r="P1198" s="100">
        <v>0.6</v>
      </c>
      <c r="Q1198" s="100">
        <v>0.7</v>
      </c>
      <c r="R1198" s="100">
        <v>0.6</v>
      </c>
      <c r="S1198" s="100">
        <v>0.2</v>
      </c>
      <c r="T1198" s="100">
        <v>0.5</v>
      </c>
      <c r="U1198" s="100">
        <v>0.5</v>
      </c>
    </row>
    <row r="1199" spans="4:21">
      <c r="D1199" s="97" t="s">
        <v>648</v>
      </c>
      <c r="E1199" s="97" t="s">
        <v>649</v>
      </c>
      <c r="F1199" s="94" t="s">
        <v>650</v>
      </c>
      <c r="G1199" s="97">
        <v>13</v>
      </c>
      <c r="H1199" s="98" t="s">
        <v>752</v>
      </c>
      <c r="I1199" s="99" t="str">
        <f t="shared" si="18"/>
        <v>세종|13</v>
      </c>
      <c r="J1199" s="100">
        <v>0</v>
      </c>
      <c r="K1199" s="100">
        <v>0</v>
      </c>
      <c r="L1199" s="100">
        <v>0.2</v>
      </c>
      <c r="M1199" s="100">
        <v>0</v>
      </c>
      <c r="N1199" s="100">
        <v>0</v>
      </c>
      <c r="O1199" s="100">
        <v>0</v>
      </c>
      <c r="P1199" s="100">
        <v>0.2</v>
      </c>
      <c r="Q1199" s="100">
        <v>0.2</v>
      </c>
      <c r="R1199" s="100">
        <v>0.2</v>
      </c>
      <c r="S1199" s="100">
        <v>0</v>
      </c>
      <c r="T1199" s="100">
        <v>0</v>
      </c>
      <c r="U1199" s="100">
        <v>0</v>
      </c>
    </row>
    <row r="1200" spans="4:21">
      <c r="D1200" s="97" t="s">
        <v>651</v>
      </c>
      <c r="E1200" s="97" t="s">
        <v>652</v>
      </c>
      <c r="F1200" s="94" t="s">
        <v>653</v>
      </c>
      <c r="G1200" s="97">
        <v>13</v>
      </c>
      <c r="H1200" s="98" t="s">
        <v>752</v>
      </c>
      <c r="I1200" s="99" t="str">
        <f t="shared" si="18"/>
        <v>울산|13</v>
      </c>
      <c r="J1200" s="100">
        <v>0.6</v>
      </c>
      <c r="K1200" s="100">
        <v>0.1</v>
      </c>
      <c r="L1200" s="100">
        <v>0.6</v>
      </c>
      <c r="M1200" s="100">
        <v>0.7</v>
      </c>
      <c r="N1200" s="100">
        <v>0.5</v>
      </c>
      <c r="O1200" s="100">
        <v>0</v>
      </c>
      <c r="P1200" s="100">
        <v>0.6</v>
      </c>
      <c r="Q1200" s="100">
        <v>0.6</v>
      </c>
      <c r="R1200" s="100">
        <v>0.5</v>
      </c>
      <c r="S1200" s="100">
        <v>0.2</v>
      </c>
      <c r="T1200" s="100">
        <v>0.1</v>
      </c>
      <c r="U1200" s="100">
        <v>0</v>
      </c>
    </row>
    <row r="1201" spans="4:21">
      <c r="D1201" s="97" t="s">
        <v>654</v>
      </c>
      <c r="E1201" s="97" t="s">
        <v>655</v>
      </c>
      <c r="F1201" s="94" t="s">
        <v>656</v>
      </c>
      <c r="G1201" s="97">
        <v>13</v>
      </c>
      <c r="H1201" s="98" t="s">
        <v>752</v>
      </c>
      <c r="I1201" s="99" t="str">
        <f t="shared" si="18"/>
        <v>강화|13</v>
      </c>
      <c r="J1201" s="100">
        <v>0.3</v>
      </c>
      <c r="K1201" s="100">
        <v>0.4</v>
      </c>
      <c r="L1201" s="100">
        <v>0.5</v>
      </c>
      <c r="M1201" s="100">
        <v>0.9</v>
      </c>
      <c r="N1201" s="100">
        <v>0.6</v>
      </c>
      <c r="O1201" s="100">
        <v>0.5</v>
      </c>
      <c r="P1201" s="100">
        <v>1.1000000000000001</v>
      </c>
      <c r="Q1201" s="100">
        <v>0.9</v>
      </c>
      <c r="R1201" s="100">
        <v>0.3</v>
      </c>
      <c r="S1201" s="100">
        <v>0.3</v>
      </c>
      <c r="T1201" s="100">
        <v>0.7</v>
      </c>
      <c r="U1201" s="100">
        <v>0.4</v>
      </c>
    </row>
    <row r="1202" spans="4:21">
      <c r="D1202" s="97" t="s">
        <v>657</v>
      </c>
      <c r="E1202" s="97" t="s">
        <v>655</v>
      </c>
      <c r="F1202" s="94" t="s">
        <v>658</v>
      </c>
      <c r="G1202" s="97">
        <v>13</v>
      </c>
      <c r="H1202" s="98" t="s">
        <v>752</v>
      </c>
      <c r="I1202" s="99" t="str">
        <f t="shared" si="18"/>
        <v>백령도|13</v>
      </c>
      <c r="J1202" s="100">
        <v>8.1</v>
      </c>
      <c r="K1202" s="100">
        <v>8</v>
      </c>
      <c r="L1202" s="100">
        <v>6.3</v>
      </c>
      <c r="M1202" s="100">
        <v>6.1</v>
      </c>
      <c r="N1202" s="100">
        <v>5.8</v>
      </c>
      <c r="O1202" s="100">
        <v>2.2000000000000002</v>
      </c>
      <c r="P1202" s="100">
        <v>3.2</v>
      </c>
      <c r="Q1202" s="100">
        <v>1.9</v>
      </c>
      <c r="R1202" s="100">
        <v>1.9</v>
      </c>
      <c r="S1202" s="100">
        <v>6.4</v>
      </c>
      <c r="T1202" s="100">
        <v>9.8000000000000007</v>
      </c>
      <c r="U1202" s="100">
        <v>12.5</v>
      </c>
    </row>
    <row r="1203" spans="4:21">
      <c r="D1203" s="97" t="s">
        <v>659</v>
      </c>
      <c r="E1203" s="97" t="s">
        <v>655</v>
      </c>
      <c r="F1203" s="94" t="s">
        <v>660</v>
      </c>
      <c r="G1203" s="97">
        <v>13</v>
      </c>
      <c r="H1203" s="98" t="s">
        <v>752</v>
      </c>
      <c r="I1203" s="99" t="str">
        <f t="shared" si="18"/>
        <v>인천|13</v>
      </c>
      <c r="J1203" s="100">
        <v>1.6</v>
      </c>
      <c r="K1203" s="100">
        <v>1.2</v>
      </c>
      <c r="L1203" s="100">
        <v>2.5</v>
      </c>
      <c r="M1203" s="100">
        <v>1.1000000000000001</v>
      </c>
      <c r="N1203" s="100">
        <v>1.1000000000000001</v>
      </c>
      <c r="O1203" s="100">
        <v>0.9</v>
      </c>
      <c r="P1203" s="100">
        <v>1.5</v>
      </c>
      <c r="Q1203" s="100">
        <v>1.5</v>
      </c>
      <c r="R1203" s="100">
        <v>0.7</v>
      </c>
      <c r="S1203" s="100">
        <v>1.2</v>
      </c>
      <c r="T1203" s="100">
        <v>1.8</v>
      </c>
      <c r="U1203" s="100">
        <v>1.7</v>
      </c>
    </row>
    <row r="1204" spans="4:21">
      <c r="D1204" s="97" t="s">
        <v>661</v>
      </c>
      <c r="E1204" s="97" t="s">
        <v>662</v>
      </c>
      <c r="F1204" s="94" t="s">
        <v>663</v>
      </c>
      <c r="G1204" s="97">
        <v>13</v>
      </c>
      <c r="H1204" s="98" t="s">
        <v>752</v>
      </c>
      <c r="I1204" s="99" t="str">
        <f t="shared" si="18"/>
        <v>강진군|13</v>
      </c>
      <c r="J1204" s="100">
        <v>0.9</v>
      </c>
      <c r="K1204" s="100">
        <v>1.5</v>
      </c>
      <c r="L1204" s="100">
        <v>1.6</v>
      </c>
      <c r="M1204" s="100">
        <v>1.3</v>
      </c>
      <c r="N1204" s="100">
        <v>0.6</v>
      </c>
      <c r="O1204" s="100">
        <v>0.3</v>
      </c>
      <c r="P1204" s="100">
        <v>0.6</v>
      </c>
      <c r="Q1204" s="100">
        <v>0.8</v>
      </c>
      <c r="R1204" s="100">
        <v>0.7</v>
      </c>
      <c r="S1204" s="100">
        <v>0.9</v>
      </c>
      <c r="T1204" s="100">
        <v>1</v>
      </c>
      <c r="U1204" s="100">
        <v>1.3</v>
      </c>
    </row>
    <row r="1205" spans="4:21">
      <c r="D1205" s="97" t="s">
        <v>664</v>
      </c>
      <c r="E1205" s="97" t="s">
        <v>662</v>
      </c>
      <c r="F1205" s="94" t="s">
        <v>665</v>
      </c>
      <c r="G1205" s="97">
        <v>13</v>
      </c>
      <c r="H1205" s="98" t="s">
        <v>752</v>
      </c>
      <c r="I1205" s="99" t="str">
        <f t="shared" si="18"/>
        <v>고흥|13</v>
      </c>
      <c r="J1205" s="100">
        <v>1.5</v>
      </c>
      <c r="K1205" s="100">
        <v>0.9</v>
      </c>
      <c r="L1205" s="100">
        <v>1.5</v>
      </c>
      <c r="M1205" s="100">
        <v>0.8</v>
      </c>
      <c r="N1205" s="100">
        <v>0.9</v>
      </c>
      <c r="O1205" s="100">
        <v>0.1</v>
      </c>
      <c r="P1205" s="100">
        <v>0.3</v>
      </c>
      <c r="Q1205" s="100">
        <v>0.4</v>
      </c>
      <c r="R1205" s="100">
        <v>0.8</v>
      </c>
      <c r="S1205" s="100">
        <v>0.4</v>
      </c>
      <c r="T1205" s="100">
        <v>1</v>
      </c>
      <c r="U1205" s="100">
        <v>1</v>
      </c>
    </row>
    <row r="1206" spans="4:21">
      <c r="D1206" s="97" t="s">
        <v>666</v>
      </c>
      <c r="E1206" s="97" t="s">
        <v>662</v>
      </c>
      <c r="F1206" s="94" t="s">
        <v>667</v>
      </c>
      <c r="G1206" s="97">
        <v>13</v>
      </c>
      <c r="H1206" s="98" t="s">
        <v>752</v>
      </c>
      <c r="I1206" s="99" t="str">
        <f t="shared" si="18"/>
        <v>광양시|13</v>
      </c>
      <c r="J1206" s="100">
        <v>0.5</v>
      </c>
      <c r="K1206" s="100">
        <v>0.6</v>
      </c>
      <c r="L1206" s="100">
        <v>0.9</v>
      </c>
      <c r="M1206" s="100">
        <v>0</v>
      </c>
      <c r="N1206" s="100">
        <v>0.2</v>
      </c>
      <c r="O1206" s="100">
        <v>0</v>
      </c>
      <c r="P1206" s="100">
        <v>0</v>
      </c>
      <c r="Q1206" s="100">
        <v>0.1</v>
      </c>
      <c r="R1206" s="100">
        <v>0.5</v>
      </c>
      <c r="S1206" s="100">
        <v>0.1</v>
      </c>
      <c r="T1206" s="100">
        <v>0.3</v>
      </c>
      <c r="U1206" s="100">
        <v>0.4</v>
      </c>
    </row>
    <row r="1207" spans="4:21">
      <c r="D1207" s="97" t="s">
        <v>668</v>
      </c>
      <c r="E1207" s="97" t="s">
        <v>662</v>
      </c>
      <c r="F1207" s="94" t="s">
        <v>669</v>
      </c>
      <c r="G1207" s="97">
        <v>13</v>
      </c>
      <c r="H1207" s="98" t="s">
        <v>752</v>
      </c>
      <c r="I1207" s="99" t="str">
        <f t="shared" si="18"/>
        <v>목포|13</v>
      </c>
      <c r="J1207" s="100">
        <v>6.3</v>
      </c>
      <c r="K1207" s="100">
        <v>5.3</v>
      </c>
      <c r="L1207" s="100">
        <v>4.8</v>
      </c>
      <c r="M1207" s="100">
        <v>2.5</v>
      </c>
      <c r="N1207" s="100">
        <v>1.3</v>
      </c>
      <c r="O1207" s="100">
        <v>0.8</v>
      </c>
      <c r="P1207" s="100">
        <v>1.4</v>
      </c>
      <c r="Q1207" s="100">
        <v>1.1000000000000001</v>
      </c>
      <c r="R1207" s="100">
        <v>1.5</v>
      </c>
      <c r="S1207" s="100">
        <v>3.5</v>
      </c>
      <c r="T1207" s="100">
        <v>5.7</v>
      </c>
      <c r="U1207" s="100">
        <v>7.1</v>
      </c>
    </row>
    <row r="1208" spans="4:21">
      <c r="D1208" s="97" t="s">
        <v>670</v>
      </c>
      <c r="E1208" s="97" t="s">
        <v>662</v>
      </c>
      <c r="F1208" s="94" t="s">
        <v>671</v>
      </c>
      <c r="G1208" s="97">
        <v>13</v>
      </c>
      <c r="H1208" s="98" t="s">
        <v>752</v>
      </c>
      <c r="I1208" s="99" t="str">
        <f t="shared" si="18"/>
        <v>보성군|13</v>
      </c>
      <c r="J1208" s="100">
        <v>3.5</v>
      </c>
      <c r="K1208" s="100">
        <v>4.7</v>
      </c>
      <c r="L1208" s="100">
        <v>3.7</v>
      </c>
      <c r="M1208" s="100">
        <v>1.3</v>
      </c>
      <c r="N1208" s="100">
        <v>1.4</v>
      </c>
      <c r="O1208" s="100">
        <v>0.2</v>
      </c>
      <c r="P1208" s="100">
        <v>0.7</v>
      </c>
      <c r="Q1208" s="100">
        <v>0.5</v>
      </c>
      <c r="R1208" s="100">
        <v>1</v>
      </c>
      <c r="S1208" s="100">
        <v>1.8</v>
      </c>
      <c r="T1208" s="100">
        <v>2.6</v>
      </c>
      <c r="U1208" s="100">
        <v>4.2</v>
      </c>
    </row>
    <row r="1209" spans="4:21">
      <c r="D1209" s="97" t="s">
        <v>672</v>
      </c>
      <c r="E1209" s="97" t="s">
        <v>662</v>
      </c>
      <c r="F1209" s="94" t="s">
        <v>673</v>
      </c>
      <c r="G1209" s="97">
        <v>13</v>
      </c>
      <c r="H1209" s="98" t="s">
        <v>752</v>
      </c>
      <c r="I1209" s="99" t="str">
        <f t="shared" si="18"/>
        <v>순천|13</v>
      </c>
      <c r="J1209" s="100">
        <v>2.6</v>
      </c>
      <c r="K1209" s="100">
        <v>2.6</v>
      </c>
      <c r="L1209" s="100">
        <v>2.8</v>
      </c>
      <c r="M1209" s="100">
        <v>2.1</v>
      </c>
      <c r="N1209" s="100">
        <v>1.6</v>
      </c>
      <c r="O1209" s="100">
        <v>0.2</v>
      </c>
      <c r="P1209" s="100">
        <v>0.4</v>
      </c>
      <c r="Q1209" s="100">
        <v>0.6</v>
      </c>
      <c r="R1209" s="100">
        <v>0.9</v>
      </c>
      <c r="S1209" s="100">
        <v>0.5</v>
      </c>
      <c r="T1209" s="100">
        <v>1.8</v>
      </c>
      <c r="U1209" s="100">
        <v>2.2999999999999998</v>
      </c>
    </row>
    <row r="1210" spans="4:21">
      <c r="D1210" s="97" t="s">
        <v>674</v>
      </c>
      <c r="E1210" s="97" t="s">
        <v>662</v>
      </c>
      <c r="F1210" s="94" t="s">
        <v>675</v>
      </c>
      <c r="G1210" s="97">
        <v>13</v>
      </c>
      <c r="H1210" s="98" t="s">
        <v>752</v>
      </c>
      <c r="I1210" s="99" t="str">
        <f t="shared" si="18"/>
        <v>여수|13</v>
      </c>
      <c r="J1210" s="100">
        <v>12.4</v>
      </c>
      <c r="K1210" s="100">
        <v>11.9</v>
      </c>
      <c r="L1210" s="100">
        <v>9.1999999999999993</v>
      </c>
      <c r="M1210" s="100">
        <v>6.6</v>
      </c>
      <c r="N1210" s="100">
        <v>5</v>
      </c>
      <c r="O1210" s="100">
        <v>2.5</v>
      </c>
      <c r="P1210" s="100">
        <v>2.9</v>
      </c>
      <c r="Q1210" s="100">
        <v>3.6</v>
      </c>
      <c r="R1210" s="100">
        <v>5.6</v>
      </c>
      <c r="S1210" s="100">
        <v>6.8</v>
      </c>
      <c r="T1210" s="100">
        <v>8.1999999999999993</v>
      </c>
      <c r="U1210" s="100">
        <v>12.7</v>
      </c>
    </row>
    <row r="1211" spans="4:21">
      <c r="D1211" s="97" t="s">
        <v>676</v>
      </c>
      <c r="E1211" s="97" t="s">
        <v>662</v>
      </c>
      <c r="F1211" s="94" t="s">
        <v>677</v>
      </c>
      <c r="G1211" s="97">
        <v>13</v>
      </c>
      <c r="H1211" s="98" t="s">
        <v>752</v>
      </c>
      <c r="I1211" s="99" t="str">
        <f t="shared" si="18"/>
        <v>영광군|13</v>
      </c>
      <c r="J1211" s="100">
        <v>1.8</v>
      </c>
      <c r="K1211" s="100">
        <v>1.6</v>
      </c>
      <c r="L1211" s="100">
        <v>1</v>
      </c>
      <c r="M1211" s="100">
        <v>0.9</v>
      </c>
      <c r="N1211" s="100">
        <v>0.6</v>
      </c>
      <c r="O1211" s="100">
        <v>0.1</v>
      </c>
      <c r="P1211" s="100">
        <v>0.5</v>
      </c>
      <c r="Q1211" s="100">
        <v>0.5</v>
      </c>
      <c r="R1211" s="100">
        <v>0.7</v>
      </c>
      <c r="S1211" s="100">
        <v>0.9</v>
      </c>
      <c r="T1211" s="100">
        <v>1.3</v>
      </c>
      <c r="U1211" s="100">
        <v>1.7</v>
      </c>
    </row>
    <row r="1212" spans="4:21">
      <c r="D1212" s="97" t="s">
        <v>678</v>
      </c>
      <c r="E1212" s="97" t="s">
        <v>662</v>
      </c>
      <c r="F1212" s="94" t="s">
        <v>679</v>
      </c>
      <c r="G1212" s="97">
        <v>13</v>
      </c>
      <c r="H1212" s="98" t="s">
        <v>752</v>
      </c>
      <c r="I1212" s="99" t="str">
        <f t="shared" si="18"/>
        <v>완도|13</v>
      </c>
      <c r="J1212" s="100">
        <v>2.8</v>
      </c>
      <c r="K1212" s="100">
        <v>2.4</v>
      </c>
      <c r="L1212" s="100">
        <v>2.5</v>
      </c>
      <c r="M1212" s="100">
        <v>3.1</v>
      </c>
      <c r="N1212" s="100">
        <v>2.4</v>
      </c>
      <c r="O1212" s="100">
        <v>1.3</v>
      </c>
      <c r="P1212" s="100">
        <v>2.1</v>
      </c>
      <c r="Q1212" s="100">
        <v>1.8</v>
      </c>
      <c r="R1212" s="100">
        <v>1.3</v>
      </c>
      <c r="S1212" s="100">
        <v>1</v>
      </c>
      <c r="T1212" s="100">
        <v>1.7</v>
      </c>
      <c r="U1212" s="100">
        <v>2.9</v>
      </c>
    </row>
    <row r="1213" spans="4:21">
      <c r="D1213" s="97" t="s">
        <v>680</v>
      </c>
      <c r="E1213" s="97" t="s">
        <v>662</v>
      </c>
      <c r="F1213" s="94" t="s">
        <v>681</v>
      </c>
      <c r="G1213" s="97">
        <v>13</v>
      </c>
      <c r="H1213" s="98" t="s">
        <v>752</v>
      </c>
      <c r="I1213" s="99" t="str">
        <f t="shared" si="18"/>
        <v>장흥|13</v>
      </c>
      <c r="J1213" s="100">
        <v>1.4</v>
      </c>
      <c r="K1213" s="100">
        <v>1.1000000000000001</v>
      </c>
      <c r="L1213" s="100">
        <v>1.4</v>
      </c>
      <c r="M1213" s="100">
        <v>0.5</v>
      </c>
      <c r="N1213" s="100">
        <v>0.8</v>
      </c>
      <c r="O1213" s="100">
        <v>0</v>
      </c>
      <c r="P1213" s="100">
        <v>0.6</v>
      </c>
      <c r="Q1213" s="100">
        <v>0.5</v>
      </c>
      <c r="R1213" s="100">
        <v>0.6</v>
      </c>
      <c r="S1213" s="100">
        <v>0.6</v>
      </c>
      <c r="T1213" s="100">
        <v>0.4</v>
      </c>
      <c r="U1213" s="100">
        <v>0.9</v>
      </c>
    </row>
    <row r="1214" spans="4:21">
      <c r="D1214" s="97" t="s">
        <v>682</v>
      </c>
      <c r="E1214" s="97" t="s">
        <v>662</v>
      </c>
      <c r="F1214" s="94" t="s">
        <v>683</v>
      </c>
      <c r="G1214" s="97">
        <v>13</v>
      </c>
      <c r="H1214" s="98" t="s">
        <v>752</v>
      </c>
      <c r="I1214" s="99" t="str">
        <f t="shared" si="18"/>
        <v>진도군|13</v>
      </c>
      <c r="J1214" s="100">
        <v>1.9</v>
      </c>
      <c r="K1214" s="100">
        <v>1.6</v>
      </c>
      <c r="L1214" s="100">
        <v>1.4</v>
      </c>
      <c r="M1214" s="100">
        <v>0.6</v>
      </c>
      <c r="N1214" s="100">
        <v>0.6</v>
      </c>
      <c r="O1214" s="100">
        <v>0.4</v>
      </c>
      <c r="P1214" s="100">
        <v>1</v>
      </c>
      <c r="Q1214" s="100">
        <v>0.7</v>
      </c>
      <c r="R1214" s="100">
        <v>1</v>
      </c>
      <c r="S1214" s="100">
        <v>1.4</v>
      </c>
      <c r="T1214" s="100">
        <v>2.1</v>
      </c>
      <c r="U1214" s="100">
        <v>3.1</v>
      </c>
    </row>
    <row r="1215" spans="4:21">
      <c r="D1215" s="97" t="s">
        <v>684</v>
      </c>
      <c r="E1215" s="97" t="s">
        <v>662</v>
      </c>
      <c r="F1215" s="94" t="s">
        <v>685</v>
      </c>
      <c r="G1215" s="97">
        <v>13</v>
      </c>
      <c r="H1215" s="98" t="s">
        <v>752</v>
      </c>
      <c r="I1215" s="99" t="str">
        <f t="shared" si="18"/>
        <v>해남|13</v>
      </c>
      <c r="J1215" s="100">
        <v>1.7</v>
      </c>
      <c r="K1215" s="100">
        <v>2.8</v>
      </c>
      <c r="L1215" s="100">
        <v>1.9</v>
      </c>
      <c r="M1215" s="100">
        <v>1.6</v>
      </c>
      <c r="N1215" s="100">
        <v>1.1000000000000001</v>
      </c>
      <c r="O1215" s="100">
        <v>0.3</v>
      </c>
      <c r="P1215" s="100">
        <v>1.5</v>
      </c>
      <c r="Q1215" s="100">
        <v>0.7</v>
      </c>
      <c r="R1215" s="100">
        <v>1.1000000000000001</v>
      </c>
      <c r="S1215" s="100">
        <v>1.2</v>
      </c>
      <c r="T1215" s="100">
        <v>1.3</v>
      </c>
      <c r="U1215" s="100">
        <v>2</v>
      </c>
    </row>
    <row r="1216" spans="4:21">
      <c r="D1216" s="97" t="s">
        <v>686</v>
      </c>
      <c r="E1216" s="97" t="s">
        <v>662</v>
      </c>
      <c r="F1216" s="94" t="s">
        <v>687</v>
      </c>
      <c r="G1216" s="97">
        <v>13</v>
      </c>
      <c r="H1216" s="98" t="s">
        <v>752</v>
      </c>
      <c r="I1216" s="99" t="str">
        <f t="shared" si="18"/>
        <v>흑산도|13</v>
      </c>
      <c r="J1216" s="100">
        <v>12.8</v>
      </c>
      <c r="K1216" s="100">
        <v>12.7</v>
      </c>
      <c r="L1216" s="100">
        <v>11.1</v>
      </c>
      <c r="M1216" s="100">
        <v>7.7</v>
      </c>
      <c r="N1216" s="100">
        <v>6.7</v>
      </c>
      <c r="O1216" s="100">
        <v>4.5</v>
      </c>
      <c r="P1216" s="100">
        <v>6.6</v>
      </c>
      <c r="Q1216" s="100">
        <v>4.3</v>
      </c>
      <c r="R1216" s="100">
        <v>4.3</v>
      </c>
      <c r="S1216" s="100">
        <v>8.1999999999999993</v>
      </c>
      <c r="T1216" s="100">
        <v>10.9</v>
      </c>
      <c r="U1216" s="100">
        <v>14.8</v>
      </c>
    </row>
    <row r="1217" spans="4:21">
      <c r="D1217" s="97" t="s">
        <v>688</v>
      </c>
      <c r="E1217" s="97" t="s">
        <v>689</v>
      </c>
      <c r="F1217" s="94" t="s">
        <v>690</v>
      </c>
      <c r="G1217" s="97">
        <v>13</v>
      </c>
      <c r="H1217" s="98" t="s">
        <v>752</v>
      </c>
      <c r="I1217" s="99" t="str">
        <f t="shared" si="18"/>
        <v>고창|13</v>
      </c>
      <c r="J1217" s="100">
        <v>2.2999999999999998</v>
      </c>
      <c r="K1217" s="100">
        <v>2.6</v>
      </c>
      <c r="L1217" s="100">
        <v>2.9</v>
      </c>
      <c r="M1217" s="100">
        <v>3.1</v>
      </c>
      <c r="N1217" s="100">
        <v>1.9</v>
      </c>
      <c r="O1217" s="100">
        <v>1.2</v>
      </c>
      <c r="P1217" s="100">
        <v>1.7</v>
      </c>
      <c r="Q1217" s="100">
        <v>1.7</v>
      </c>
      <c r="R1217" s="100">
        <v>1.6</v>
      </c>
      <c r="S1217" s="100">
        <v>1.8</v>
      </c>
      <c r="T1217" s="100">
        <v>2.9</v>
      </c>
      <c r="U1217" s="100">
        <v>2.9</v>
      </c>
    </row>
    <row r="1218" spans="4:21">
      <c r="D1218" s="97" t="s">
        <v>691</v>
      </c>
      <c r="E1218" s="97" t="s">
        <v>689</v>
      </c>
      <c r="F1218" s="94" t="s">
        <v>692</v>
      </c>
      <c r="G1218" s="97">
        <v>13</v>
      </c>
      <c r="H1218" s="98" t="s">
        <v>752</v>
      </c>
      <c r="I1218" s="99" t="str">
        <f t="shared" si="18"/>
        <v>고창군|13</v>
      </c>
      <c r="J1218" s="100">
        <v>0.3</v>
      </c>
      <c r="K1218" s="100">
        <v>0.2</v>
      </c>
      <c r="L1218" s="100">
        <v>0.5</v>
      </c>
      <c r="M1218" s="100">
        <v>1.4</v>
      </c>
      <c r="N1218" s="100">
        <v>1.1000000000000001</v>
      </c>
      <c r="O1218" s="100">
        <v>1</v>
      </c>
      <c r="P1218" s="100">
        <v>1</v>
      </c>
      <c r="Q1218" s="100">
        <v>0.8</v>
      </c>
      <c r="R1218" s="100">
        <v>1.1000000000000001</v>
      </c>
      <c r="S1218" s="100">
        <v>0.2</v>
      </c>
      <c r="T1218" s="100">
        <v>0.8</v>
      </c>
      <c r="U1218" s="100">
        <v>0.4</v>
      </c>
    </row>
    <row r="1219" spans="4:21">
      <c r="D1219" s="97" t="s">
        <v>693</v>
      </c>
      <c r="E1219" s="97" t="s">
        <v>689</v>
      </c>
      <c r="F1219" s="94" t="s">
        <v>694</v>
      </c>
      <c r="G1219" s="97">
        <v>13</v>
      </c>
      <c r="H1219" s="98" t="s">
        <v>752</v>
      </c>
      <c r="I1219" s="99" t="str">
        <f t="shared" si="18"/>
        <v>군산|13</v>
      </c>
      <c r="J1219" s="100">
        <v>1</v>
      </c>
      <c r="K1219" s="100">
        <v>0.4</v>
      </c>
      <c r="L1219" s="100">
        <v>1.2</v>
      </c>
      <c r="M1219" s="100">
        <v>1</v>
      </c>
      <c r="N1219" s="100">
        <v>0.6</v>
      </c>
      <c r="O1219" s="100">
        <v>0.2</v>
      </c>
      <c r="P1219" s="100">
        <v>0.7</v>
      </c>
      <c r="Q1219" s="100">
        <v>0.6</v>
      </c>
      <c r="R1219" s="100">
        <v>0.4</v>
      </c>
      <c r="S1219" s="100">
        <v>1.1000000000000001</v>
      </c>
      <c r="T1219" s="100">
        <v>0.9</v>
      </c>
      <c r="U1219" s="100">
        <v>1.1000000000000001</v>
      </c>
    </row>
    <row r="1220" spans="4:21">
      <c r="D1220" s="97" t="s">
        <v>695</v>
      </c>
      <c r="E1220" s="97" t="s">
        <v>689</v>
      </c>
      <c r="F1220" s="94" t="s">
        <v>696</v>
      </c>
      <c r="G1220" s="97">
        <v>13</v>
      </c>
      <c r="H1220" s="98" t="s">
        <v>752</v>
      </c>
      <c r="I1220" s="99" t="str">
        <f t="shared" si="18"/>
        <v>남원|13</v>
      </c>
      <c r="J1220" s="100">
        <v>0.3</v>
      </c>
      <c r="K1220" s="100">
        <v>0.3</v>
      </c>
      <c r="L1220" s="100">
        <v>0.8</v>
      </c>
      <c r="M1220" s="100">
        <v>0.7</v>
      </c>
      <c r="N1220" s="100">
        <v>0.1</v>
      </c>
      <c r="O1220" s="100">
        <v>0.2</v>
      </c>
      <c r="P1220" s="100">
        <v>0.2</v>
      </c>
      <c r="Q1220" s="100">
        <v>0.4</v>
      </c>
      <c r="R1220" s="100">
        <v>0.7</v>
      </c>
      <c r="S1220" s="100">
        <v>0.3</v>
      </c>
      <c r="T1220" s="100">
        <v>0.1</v>
      </c>
      <c r="U1220" s="100">
        <v>0.1</v>
      </c>
    </row>
    <row r="1221" spans="4:21">
      <c r="D1221" s="97" t="s">
        <v>697</v>
      </c>
      <c r="E1221" s="97" t="s">
        <v>689</v>
      </c>
      <c r="F1221" s="94" t="s">
        <v>698</v>
      </c>
      <c r="G1221" s="97">
        <v>13</v>
      </c>
      <c r="H1221" s="98" t="s">
        <v>752</v>
      </c>
      <c r="I1221" s="99" t="str">
        <f t="shared" si="18"/>
        <v>부안|13</v>
      </c>
      <c r="J1221" s="100">
        <v>0.3</v>
      </c>
      <c r="K1221" s="100">
        <v>0</v>
      </c>
      <c r="L1221" s="100">
        <v>0</v>
      </c>
      <c r="M1221" s="100">
        <v>0.6</v>
      </c>
      <c r="N1221" s="100">
        <v>0.2</v>
      </c>
      <c r="O1221" s="100">
        <v>0</v>
      </c>
      <c r="P1221" s="100">
        <v>0.2</v>
      </c>
      <c r="Q1221" s="100">
        <v>0.2</v>
      </c>
      <c r="R1221" s="100">
        <v>0.3</v>
      </c>
      <c r="S1221" s="100">
        <v>0</v>
      </c>
      <c r="T1221" s="100">
        <v>0.5</v>
      </c>
      <c r="U1221" s="100">
        <v>0</v>
      </c>
    </row>
    <row r="1222" spans="4:21">
      <c r="D1222" s="97" t="s">
        <v>699</v>
      </c>
      <c r="E1222" s="97" t="s">
        <v>689</v>
      </c>
      <c r="F1222" s="94" t="s">
        <v>700</v>
      </c>
      <c r="G1222" s="97">
        <v>13</v>
      </c>
      <c r="H1222" s="98" t="s">
        <v>752</v>
      </c>
      <c r="I1222" s="99" t="str">
        <f t="shared" si="18"/>
        <v>순창군|13</v>
      </c>
      <c r="J1222" s="100">
        <v>0.8</v>
      </c>
      <c r="K1222" s="100">
        <v>1.5</v>
      </c>
      <c r="L1222" s="100">
        <v>3.1</v>
      </c>
      <c r="M1222" s="100">
        <v>2</v>
      </c>
      <c r="N1222" s="100">
        <v>2.1</v>
      </c>
      <c r="O1222" s="100">
        <v>0.4</v>
      </c>
      <c r="P1222" s="100">
        <v>0.5</v>
      </c>
      <c r="Q1222" s="100">
        <v>0.6</v>
      </c>
      <c r="R1222" s="100">
        <v>0.8</v>
      </c>
      <c r="S1222" s="100">
        <v>0.8</v>
      </c>
      <c r="T1222" s="100">
        <v>1.1000000000000001</v>
      </c>
      <c r="U1222" s="100">
        <v>1.1000000000000001</v>
      </c>
    </row>
    <row r="1223" spans="4:21">
      <c r="D1223" s="97" t="s">
        <v>701</v>
      </c>
      <c r="E1223" s="97" t="s">
        <v>689</v>
      </c>
      <c r="F1223" s="94" t="s">
        <v>702</v>
      </c>
      <c r="G1223" s="97">
        <v>13</v>
      </c>
      <c r="H1223" s="98" t="s">
        <v>752</v>
      </c>
      <c r="I1223" s="99" t="str">
        <f t="shared" ref="I1223:I1241" si="19">$D1223&amp;"|"&amp;$G1223</f>
        <v>임실|13</v>
      </c>
      <c r="J1223" s="100">
        <v>0.1</v>
      </c>
      <c r="K1223" s="100">
        <v>0</v>
      </c>
      <c r="L1223" s="100">
        <v>0.3</v>
      </c>
      <c r="M1223" s="100">
        <v>0.5</v>
      </c>
      <c r="N1223" s="100">
        <v>0</v>
      </c>
      <c r="O1223" s="100">
        <v>0</v>
      </c>
      <c r="P1223" s="100">
        <v>0.1</v>
      </c>
      <c r="Q1223" s="100">
        <v>0.1</v>
      </c>
      <c r="R1223" s="100">
        <v>0.3</v>
      </c>
      <c r="S1223" s="100">
        <v>0</v>
      </c>
      <c r="T1223" s="100">
        <v>0.1</v>
      </c>
      <c r="U1223" s="100">
        <v>0.1</v>
      </c>
    </row>
    <row r="1224" spans="4:21">
      <c r="D1224" s="97" t="s">
        <v>703</v>
      </c>
      <c r="E1224" s="97" t="s">
        <v>689</v>
      </c>
      <c r="F1224" s="94" t="s">
        <v>704</v>
      </c>
      <c r="G1224" s="97">
        <v>13</v>
      </c>
      <c r="H1224" s="98" t="s">
        <v>752</v>
      </c>
      <c r="I1224" s="99" t="str">
        <f t="shared" si="19"/>
        <v>장수|13</v>
      </c>
      <c r="J1224" s="100">
        <v>0.8</v>
      </c>
      <c r="K1224" s="100">
        <v>0.4</v>
      </c>
      <c r="L1224" s="100">
        <v>1.3</v>
      </c>
      <c r="M1224" s="100">
        <v>1.5</v>
      </c>
      <c r="N1224" s="100">
        <v>0.3</v>
      </c>
      <c r="O1224" s="100">
        <v>0</v>
      </c>
      <c r="P1224" s="100">
        <v>0.1</v>
      </c>
      <c r="Q1224" s="100">
        <v>0.4</v>
      </c>
      <c r="R1224" s="100">
        <v>0.4</v>
      </c>
      <c r="S1224" s="100">
        <v>0.4</v>
      </c>
      <c r="T1224" s="100">
        <v>1</v>
      </c>
      <c r="U1224" s="100">
        <v>0.5</v>
      </c>
    </row>
    <row r="1225" spans="4:21">
      <c r="D1225" s="97" t="s">
        <v>705</v>
      </c>
      <c r="E1225" s="97" t="s">
        <v>689</v>
      </c>
      <c r="F1225" s="94" t="s">
        <v>706</v>
      </c>
      <c r="G1225" s="97">
        <v>13</v>
      </c>
      <c r="H1225" s="98" t="s">
        <v>752</v>
      </c>
      <c r="I1225" s="99" t="str">
        <f t="shared" si="19"/>
        <v>전주|13</v>
      </c>
      <c r="J1225" s="100">
        <v>0.6</v>
      </c>
      <c r="K1225" s="100">
        <v>0</v>
      </c>
      <c r="L1225" s="100">
        <v>0.6</v>
      </c>
      <c r="M1225" s="100">
        <v>0.6</v>
      </c>
      <c r="N1225" s="100">
        <v>0.5</v>
      </c>
      <c r="O1225" s="100">
        <v>0</v>
      </c>
      <c r="P1225" s="100">
        <v>0.4</v>
      </c>
      <c r="Q1225" s="100">
        <v>0.2</v>
      </c>
      <c r="R1225" s="100">
        <v>0.5</v>
      </c>
      <c r="S1225" s="100">
        <v>0.1</v>
      </c>
      <c r="T1225" s="100">
        <v>0.3</v>
      </c>
      <c r="U1225" s="100">
        <v>0.1</v>
      </c>
    </row>
    <row r="1226" spans="4:21">
      <c r="D1226" s="97" t="s">
        <v>707</v>
      </c>
      <c r="E1226" s="97" t="s">
        <v>689</v>
      </c>
      <c r="F1226" s="94" t="s">
        <v>708</v>
      </c>
      <c r="G1226" s="97">
        <v>13</v>
      </c>
      <c r="H1226" s="98" t="s">
        <v>752</v>
      </c>
      <c r="I1226" s="99" t="str">
        <f t="shared" si="19"/>
        <v>정읍|13</v>
      </c>
      <c r="J1226" s="100">
        <v>0.3</v>
      </c>
      <c r="K1226" s="100">
        <v>0.2</v>
      </c>
      <c r="L1226" s="100">
        <v>0.6</v>
      </c>
      <c r="M1226" s="100">
        <v>1.2</v>
      </c>
      <c r="N1226" s="100">
        <v>0.4</v>
      </c>
      <c r="O1226" s="100">
        <v>0.1</v>
      </c>
      <c r="P1226" s="100">
        <v>0.9</v>
      </c>
      <c r="Q1226" s="100">
        <v>0.8</v>
      </c>
      <c r="R1226" s="100">
        <v>0.5</v>
      </c>
      <c r="S1226" s="100">
        <v>0.2</v>
      </c>
      <c r="T1226" s="100">
        <v>0.7</v>
      </c>
      <c r="U1226" s="100">
        <v>0.3</v>
      </c>
    </row>
    <row r="1227" spans="4:21">
      <c r="D1227" s="97" t="s">
        <v>709</v>
      </c>
      <c r="E1227" s="97" t="s">
        <v>710</v>
      </c>
      <c r="F1227" s="94" t="s">
        <v>711</v>
      </c>
      <c r="G1227" s="97">
        <v>13</v>
      </c>
      <c r="H1227" s="98" t="s">
        <v>752</v>
      </c>
      <c r="I1227" s="99" t="str">
        <f t="shared" si="19"/>
        <v>고산|13</v>
      </c>
      <c r="J1227" s="100">
        <v>19.600000000000001</v>
      </c>
      <c r="K1227" s="100">
        <v>17.399999999999999</v>
      </c>
      <c r="L1227" s="100">
        <v>12.5</v>
      </c>
      <c r="M1227" s="100">
        <v>9.6</v>
      </c>
      <c r="N1227" s="100">
        <v>6</v>
      </c>
      <c r="O1227" s="100">
        <v>3</v>
      </c>
      <c r="P1227" s="100">
        <v>4.0999999999999996</v>
      </c>
      <c r="Q1227" s="100">
        <v>5.5</v>
      </c>
      <c r="R1227" s="100">
        <v>5.5</v>
      </c>
      <c r="S1227" s="100">
        <v>9.9</v>
      </c>
      <c r="T1227" s="100">
        <v>12.2</v>
      </c>
      <c r="U1227" s="100">
        <v>19.7</v>
      </c>
    </row>
    <row r="1228" spans="4:21">
      <c r="D1228" s="97" t="s">
        <v>712</v>
      </c>
      <c r="E1228" s="97" t="s">
        <v>710</v>
      </c>
      <c r="F1228" s="94" t="s">
        <v>713</v>
      </c>
      <c r="G1228" s="97">
        <v>13</v>
      </c>
      <c r="H1228" s="98" t="s">
        <v>752</v>
      </c>
      <c r="I1228" s="99" t="str">
        <f t="shared" si="19"/>
        <v>서귀포|13</v>
      </c>
      <c r="J1228" s="100">
        <v>0.1</v>
      </c>
      <c r="K1228" s="100">
        <v>0.7</v>
      </c>
      <c r="L1228" s="100">
        <v>0.6</v>
      </c>
      <c r="M1228" s="100">
        <v>0.3</v>
      </c>
      <c r="N1228" s="100">
        <v>0.4</v>
      </c>
      <c r="O1228" s="100">
        <v>0.3</v>
      </c>
      <c r="P1228" s="100">
        <v>0.4</v>
      </c>
      <c r="Q1228" s="100">
        <v>0.6</v>
      </c>
      <c r="R1228" s="100">
        <v>0.8</v>
      </c>
      <c r="S1228" s="100">
        <v>0.9</v>
      </c>
      <c r="T1228" s="100">
        <v>0.4</v>
      </c>
      <c r="U1228" s="100">
        <v>0.1</v>
      </c>
    </row>
    <row r="1229" spans="4:21">
      <c r="D1229" s="97" t="s">
        <v>714</v>
      </c>
      <c r="E1229" s="97" t="s">
        <v>710</v>
      </c>
      <c r="F1229" s="94" t="s">
        <v>715</v>
      </c>
      <c r="G1229" s="97">
        <v>13</v>
      </c>
      <c r="H1229" s="98" t="s">
        <v>752</v>
      </c>
      <c r="I1229" s="99" t="str">
        <f t="shared" si="19"/>
        <v>성산|13</v>
      </c>
      <c r="J1229" s="100">
        <v>2</v>
      </c>
      <c r="K1229" s="100">
        <v>2.2999999999999998</v>
      </c>
      <c r="L1229" s="100">
        <v>3.7</v>
      </c>
      <c r="M1229" s="100">
        <v>2.1</v>
      </c>
      <c r="N1229" s="100">
        <v>1.6</v>
      </c>
      <c r="O1229" s="100">
        <v>1.3</v>
      </c>
      <c r="P1229" s="100">
        <v>1.2</v>
      </c>
      <c r="Q1229" s="100">
        <v>1.3</v>
      </c>
      <c r="R1229" s="100">
        <v>1.9</v>
      </c>
      <c r="S1229" s="100">
        <v>1.4</v>
      </c>
      <c r="T1229" s="100">
        <v>2.2000000000000002</v>
      </c>
      <c r="U1229" s="100">
        <v>2.2999999999999998</v>
      </c>
    </row>
    <row r="1230" spans="4:21">
      <c r="D1230" s="97" t="s">
        <v>716</v>
      </c>
      <c r="E1230" s="97" t="s">
        <v>710</v>
      </c>
      <c r="F1230" s="94" t="s">
        <v>717</v>
      </c>
      <c r="G1230" s="97">
        <v>13</v>
      </c>
      <c r="H1230" s="98" t="s">
        <v>752</v>
      </c>
      <c r="I1230" s="99" t="str">
        <f t="shared" si="19"/>
        <v>제주|13</v>
      </c>
      <c r="J1230" s="100">
        <v>6.5</v>
      </c>
      <c r="K1230" s="100">
        <v>5.6</v>
      </c>
      <c r="L1230" s="100">
        <v>5.4</v>
      </c>
      <c r="M1230" s="100">
        <v>4</v>
      </c>
      <c r="N1230" s="100">
        <v>3</v>
      </c>
      <c r="O1230" s="100">
        <v>2.6</v>
      </c>
      <c r="P1230" s="100">
        <v>3.7</v>
      </c>
      <c r="Q1230" s="100">
        <v>2.4</v>
      </c>
      <c r="R1230" s="100">
        <v>2.5</v>
      </c>
      <c r="S1230" s="100">
        <v>3.6</v>
      </c>
      <c r="T1230" s="100">
        <v>4.2</v>
      </c>
      <c r="U1230" s="100">
        <v>8.1999999999999993</v>
      </c>
    </row>
    <row r="1231" spans="4:21">
      <c r="D1231" s="97" t="s">
        <v>718</v>
      </c>
      <c r="E1231" s="97" t="s">
        <v>719</v>
      </c>
      <c r="F1231" s="94" t="s">
        <v>720</v>
      </c>
      <c r="G1231" s="97">
        <v>13</v>
      </c>
      <c r="H1231" s="98" t="s">
        <v>752</v>
      </c>
      <c r="I1231" s="99" t="str">
        <f t="shared" si="19"/>
        <v>금산|13</v>
      </c>
      <c r="J1231" s="100">
        <v>0.2</v>
      </c>
      <c r="K1231" s="100">
        <v>0.1</v>
      </c>
      <c r="L1231" s="100">
        <v>0.3</v>
      </c>
      <c r="M1231" s="100">
        <v>0.4</v>
      </c>
      <c r="N1231" s="100">
        <v>0.2</v>
      </c>
      <c r="O1231" s="100">
        <v>0</v>
      </c>
      <c r="P1231" s="100">
        <v>0.3</v>
      </c>
      <c r="Q1231" s="100">
        <v>0.1</v>
      </c>
      <c r="R1231" s="100">
        <v>0.2</v>
      </c>
      <c r="S1231" s="100">
        <v>0</v>
      </c>
      <c r="T1231" s="100">
        <v>0.1</v>
      </c>
      <c r="U1231" s="100">
        <v>0</v>
      </c>
    </row>
    <row r="1232" spans="4:21">
      <c r="D1232" s="97" t="s">
        <v>721</v>
      </c>
      <c r="E1232" s="97" t="s">
        <v>719</v>
      </c>
      <c r="F1232" s="94" t="s">
        <v>722</v>
      </c>
      <c r="G1232" s="97">
        <v>13</v>
      </c>
      <c r="H1232" s="98" t="s">
        <v>752</v>
      </c>
      <c r="I1232" s="99" t="str">
        <f t="shared" si="19"/>
        <v>보령|13</v>
      </c>
      <c r="J1232" s="100">
        <v>0.1</v>
      </c>
      <c r="K1232" s="100">
        <v>0.1</v>
      </c>
      <c r="L1232" s="100">
        <v>0.2</v>
      </c>
      <c r="M1232" s="100">
        <v>0.8</v>
      </c>
      <c r="N1232" s="100">
        <v>0.4</v>
      </c>
      <c r="O1232" s="100">
        <v>0.6</v>
      </c>
      <c r="P1232" s="100">
        <v>1.2</v>
      </c>
      <c r="Q1232" s="100">
        <v>0.6</v>
      </c>
      <c r="R1232" s="100">
        <v>0.2</v>
      </c>
      <c r="S1232" s="100">
        <v>0.1</v>
      </c>
      <c r="T1232" s="100">
        <v>0.3</v>
      </c>
      <c r="U1232" s="100">
        <v>0.2</v>
      </c>
    </row>
    <row r="1233" spans="4:21">
      <c r="D1233" s="97" t="s">
        <v>723</v>
      </c>
      <c r="E1233" s="97" t="s">
        <v>719</v>
      </c>
      <c r="F1233" s="94" t="s">
        <v>724</v>
      </c>
      <c r="G1233" s="97">
        <v>13</v>
      </c>
      <c r="H1233" s="98" t="s">
        <v>752</v>
      </c>
      <c r="I1233" s="99" t="str">
        <f t="shared" si="19"/>
        <v>부여|13</v>
      </c>
      <c r="J1233" s="100">
        <v>0.1</v>
      </c>
      <c r="K1233" s="100">
        <v>0.1</v>
      </c>
      <c r="L1233" s="100">
        <v>0.2</v>
      </c>
      <c r="M1233" s="100">
        <v>0.4</v>
      </c>
      <c r="N1233" s="100">
        <v>0.3</v>
      </c>
      <c r="O1233" s="100">
        <v>0</v>
      </c>
      <c r="P1233" s="100">
        <v>0.1</v>
      </c>
      <c r="Q1233" s="100">
        <v>0.1</v>
      </c>
      <c r="R1233" s="100">
        <v>0.2</v>
      </c>
      <c r="S1233" s="100">
        <v>0.1</v>
      </c>
      <c r="T1233" s="100">
        <v>0.1</v>
      </c>
      <c r="U1233" s="100">
        <v>0.1</v>
      </c>
    </row>
    <row r="1234" spans="4:21">
      <c r="D1234" s="97" t="s">
        <v>91</v>
      </c>
      <c r="E1234" s="97" t="s">
        <v>719</v>
      </c>
      <c r="F1234" s="94" t="s">
        <v>725</v>
      </c>
      <c r="G1234" s="97">
        <v>13</v>
      </c>
      <c r="H1234" s="98" t="s">
        <v>752</v>
      </c>
      <c r="I1234" s="99" t="str">
        <f t="shared" si="19"/>
        <v>서산|13</v>
      </c>
      <c r="J1234" s="100">
        <v>0.1</v>
      </c>
      <c r="K1234" s="100">
        <v>0</v>
      </c>
      <c r="L1234" s="100">
        <v>0.5</v>
      </c>
      <c r="M1234" s="100">
        <v>0.3</v>
      </c>
      <c r="N1234" s="100">
        <v>0.2</v>
      </c>
      <c r="O1234" s="100">
        <v>0.3</v>
      </c>
      <c r="P1234" s="100">
        <v>0.6</v>
      </c>
      <c r="Q1234" s="100">
        <v>0.4</v>
      </c>
      <c r="R1234" s="100">
        <v>0.4</v>
      </c>
      <c r="S1234" s="100">
        <v>0</v>
      </c>
      <c r="T1234" s="100">
        <v>0.4</v>
      </c>
      <c r="U1234" s="100">
        <v>0.6</v>
      </c>
    </row>
    <row r="1235" spans="4:21">
      <c r="D1235" s="97" t="s">
        <v>726</v>
      </c>
      <c r="E1235" s="97" t="s">
        <v>719</v>
      </c>
      <c r="F1235" s="94" t="s">
        <v>727</v>
      </c>
      <c r="G1235" s="97">
        <v>13</v>
      </c>
      <c r="H1235" s="98" t="s">
        <v>752</v>
      </c>
      <c r="I1235" s="99" t="str">
        <f t="shared" si="19"/>
        <v>천안|13</v>
      </c>
      <c r="J1235" s="100">
        <v>0.3</v>
      </c>
      <c r="K1235" s="100">
        <v>0.1</v>
      </c>
      <c r="L1235" s="100">
        <v>0.8</v>
      </c>
      <c r="M1235" s="100">
        <v>0.8</v>
      </c>
      <c r="N1235" s="100">
        <v>0.2</v>
      </c>
      <c r="O1235" s="100">
        <v>0</v>
      </c>
      <c r="P1235" s="100">
        <v>0</v>
      </c>
      <c r="Q1235" s="100">
        <v>0.1</v>
      </c>
      <c r="R1235" s="100">
        <v>0.2</v>
      </c>
      <c r="S1235" s="100">
        <v>0.3</v>
      </c>
      <c r="T1235" s="100">
        <v>0.2</v>
      </c>
      <c r="U1235" s="100">
        <v>0.2</v>
      </c>
    </row>
    <row r="1236" spans="4:21">
      <c r="D1236" s="97" t="s">
        <v>728</v>
      </c>
      <c r="E1236" s="97" t="s">
        <v>719</v>
      </c>
      <c r="F1236" s="94" t="s">
        <v>729</v>
      </c>
      <c r="G1236" s="97">
        <v>13</v>
      </c>
      <c r="H1236" s="98" t="s">
        <v>752</v>
      </c>
      <c r="I1236" s="99" t="str">
        <f t="shared" si="19"/>
        <v>홍성|13</v>
      </c>
      <c r="J1236" s="100">
        <v>0.2</v>
      </c>
      <c r="K1236" s="100">
        <v>0</v>
      </c>
      <c r="L1236" s="100">
        <v>0.6</v>
      </c>
      <c r="M1236" s="100">
        <v>0.7</v>
      </c>
      <c r="N1236" s="100">
        <v>0.6</v>
      </c>
      <c r="O1236" s="100">
        <v>0</v>
      </c>
      <c r="P1236" s="100">
        <v>0.2</v>
      </c>
      <c r="Q1236" s="100">
        <v>0.1</v>
      </c>
      <c r="R1236" s="100">
        <v>0.4</v>
      </c>
      <c r="S1236" s="100">
        <v>0.1</v>
      </c>
      <c r="T1236" s="100">
        <v>0.7</v>
      </c>
      <c r="U1236" s="100">
        <v>0.3</v>
      </c>
    </row>
    <row r="1237" spans="4:21">
      <c r="D1237" s="97" t="s">
        <v>730</v>
      </c>
      <c r="E1237" s="97" t="s">
        <v>731</v>
      </c>
      <c r="F1237" s="94" t="s">
        <v>732</v>
      </c>
      <c r="G1237" s="97">
        <v>13</v>
      </c>
      <c r="H1237" s="98" t="s">
        <v>752</v>
      </c>
      <c r="I1237" s="99" t="str">
        <f t="shared" si="19"/>
        <v>보은|13</v>
      </c>
      <c r="J1237" s="100">
        <v>0</v>
      </c>
      <c r="K1237" s="100">
        <v>0</v>
      </c>
      <c r="L1237" s="100">
        <v>0.2</v>
      </c>
      <c r="M1237" s="100">
        <v>0.5</v>
      </c>
      <c r="N1237" s="100">
        <v>0.2</v>
      </c>
      <c r="O1237" s="100">
        <v>0</v>
      </c>
      <c r="P1237" s="100">
        <v>0</v>
      </c>
      <c r="Q1237" s="100">
        <v>0.1</v>
      </c>
      <c r="R1237" s="100">
        <v>0.3</v>
      </c>
      <c r="S1237" s="100">
        <v>0.1</v>
      </c>
      <c r="T1237" s="100">
        <v>0.1</v>
      </c>
      <c r="U1237" s="100">
        <v>0.1</v>
      </c>
    </row>
    <row r="1238" spans="4:21">
      <c r="D1238" s="97" t="s">
        <v>733</v>
      </c>
      <c r="E1238" s="97" t="s">
        <v>731</v>
      </c>
      <c r="F1238" s="94" t="s">
        <v>734</v>
      </c>
      <c r="G1238" s="97">
        <v>13</v>
      </c>
      <c r="H1238" s="98" t="s">
        <v>752</v>
      </c>
      <c r="I1238" s="99" t="str">
        <f t="shared" si="19"/>
        <v>제천|13</v>
      </c>
      <c r="J1238" s="100">
        <v>0.3</v>
      </c>
      <c r="K1238" s="100">
        <v>0.1</v>
      </c>
      <c r="L1238" s="100">
        <v>0.5</v>
      </c>
      <c r="M1238" s="100">
        <v>0.4</v>
      </c>
      <c r="N1238" s="100">
        <v>0.8</v>
      </c>
      <c r="O1238" s="100">
        <v>0</v>
      </c>
      <c r="P1238" s="100">
        <v>0.1</v>
      </c>
      <c r="Q1238" s="100">
        <v>0</v>
      </c>
      <c r="R1238" s="100">
        <v>0.1</v>
      </c>
      <c r="S1238" s="100">
        <v>0.1</v>
      </c>
      <c r="T1238" s="100">
        <v>0.4</v>
      </c>
      <c r="U1238" s="100">
        <v>0.4</v>
      </c>
    </row>
    <row r="1239" spans="4:21">
      <c r="D1239" s="97" t="s">
        <v>735</v>
      </c>
      <c r="E1239" s="97" t="s">
        <v>731</v>
      </c>
      <c r="F1239" s="94" t="s">
        <v>736</v>
      </c>
      <c r="G1239" s="97">
        <v>13</v>
      </c>
      <c r="H1239" s="98" t="s">
        <v>752</v>
      </c>
      <c r="I1239" s="99" t="str">
        <f t="shared" si="19"/>
        <v>청주|13</v>
      </c>
      <c r="J1239" s="100">
        <v>0</v>
      </c>
      <c r="K1239" s="100">
        <v>0</v>
      </c>
      <c r="L1239" s="100">
        <v>0.1</v>
      </c>
      <c r="M1239" s="100">
        <v>0.2</v>
      </c>
      <c r="N1239" s="100">
        <v>0.1</v>
      </c>
      <c r="O1239" s="100">
        <v>0</v>
      </c>
      <c r="P1239" s="100">
        <v>0.1</v>
      </c>
      <c r="Q1239" s="100">
        <v>0</v>
      </c>
      <c r="R1239" s="100">
        <v>0.1</v>
      </c>
      <c r="S1239" s="100">
        <v>0</v>
      </c>
      <c r="T1239" s="100">
        <v>0.1</v>
      </c>
      <c r="U1239" s="100">
        <v>0</v>
      </c>
    </row>
    <row r="1240" spans="4:21">
      <c r="D1240" s="97" t="s">
        <v>737</v>
      </c>
      <c r="E1240" s="97" t="s">
        <v>731</v>
      </c>
      <c r="F1240" s="94" t="s">
        <v>738</v>
      </c>
      <c r="G1240" s="97">
        <v>13</v>
      </c>
      <c r="H1240" s="98" t="s">
        <v>752</v>
      </c>
      <c r="I1240" s="99" t="str">
        <f t="shared" si="19"/>
        <v>추풍령|13</v>
      </c>
      <c r="J1240" s="100">
        <v>4.5</v>
      </c>
      <c r="K1240" s="100">
        <v>5.6</v>
      </c>
      <c r="L1240" s="100">
        <v>4.5</v>
      </c>
      <c r="M1240" s="100">
        <v>3.2</v>
      </c>
      <c r="N1240" s="100">
        <v>3.1</v>
      </c>
      <c r="O1240" s="100">
        <v>0.6</v>
      </c>
      <c r="P1240" s="100">
        <v>0.6</v>
      </c>
      <c r="Q1240" s="100">
        <v>0.7</v>
      </c>
      <c r="R1240" s="100">
        <v>0.5</v>
      </c>
      <c r="S1240" s="100">
        <v>1.3</v>
      </c>
      <c r="T1240" s="100">
        <v>2.9</v>
      </c>
      <c r="U1240" s="100">
        <v>4.5999999999999996</v>
      </c>
    </row>
    <row r="1241" spans="4:21">
      <c r="D1241" s="97" t="s">
        <v>739</v>
      </c>
      <c r="E1241" s="97" t="s">
        <v>731</v>
      </c>
      <c r="F1241" s="94" t="s">
        <v>740</v>
      </c>
      <c r="G1241" s="97">
        <v>13</v>
      </c>
      <c r="H1241" s="98" t="s">
        <v>752</v>
      </c>
      <c r="I1241" s="99" t="str">
        <f t="shared" si="19"/>
        <v>충주|13</v>
      </c>
      <c r="J1241" s="100">
        <v>0</v>
      </c>
      <c r="K1241" s="100">
        <v>0.1</v>
      </c>
      <c r="L1241" s="100">
        <v>0.1</v>
      </c>
      <c r="M1241" s="100">
        <v>0.6</v>
      </c>
      <c r="N1241" s="100">
        <v>0.1</v>
      </c>
      <c r="O1241" s="100">
        <v>0.1</v>
      </c>
      <c r="P1241" s="100">
        <v>0.2</v>
      </c>
      <c r="Q1241" s="100">
        <v>0</v>
      </c>
      <c r="R1241" s="100">
        <v>0.3</v>
      </c>
      <c r="S1241" s="100">
        <v>0.3</v>
      </c>
      <c r="T1241" s="100">
        <v>0.1</v>
      </c>
      <c r="U1241" s="100">
        <v>0.1</v>
      </c>
    </row>
  </sheetData>
  <mergeCells count="1">
    <mergeCell ref="A1:U1"/>
  </mergeCells>
  <phoneticPr fontId="84" type="noConversion"/>
  <pageMargins left="0.75" right="0.75" top="1" bottom="1" header="0.511811023622047" footer="0.511811023622047"/>
  <pageSetup paperSize="9" scale="4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 지정된 범위</vt:lpstr>
      </vt:variant>
      <vt:variant>
        <vt:i4>20</vt:i4>
      </vt:variant>
    </vt:vector>
  </HeadingPairs>
  <TitlesOfParts>
    <vt:vector size="38" baseType="lpstr">
      <vt:lpstr>사용안내</vt:lpstr>
      <vt:lpstr>①공사개요</vt:lpstr>
      <vt:lpstr>②비작업일수</vt:lpstr>
      <vt:lpstr>②-1 기후비작업근거</vt:lpstr>
      <vt:lpstr>②-2 기후비작업근거</vt:lpstr>
      <vt:lpstr>③1일작업량DB</vt:lpstr>
      <vt:lpstr>④작업일수산정</vt:lpstr>
      <vt:lpstr>④-1 처리시설 작업일수</vt:lpstr>
      <vt:lpstr>④-2 횡산소규모 작업일수</vt:lpstr>
      <vt:lpstr>④-3 노동리 작업일수</vt:lpstr>
      <vt:lpstr>⑤CP구성</vt:lpstr>
      <vt:lpstr>⑤-1 동절기순연축</vt:lpstr>
      <vt:lpstr>CP공정표</vt:lpstr>
      <vt:lpstr>⑥공사기간종합</vt:lpstr>
      <vt:lpstr>⑦적정성검토</vt:lpstr>
      <vt:lpstr>추가검토(동절기 반영)</vt:lpstr>
      <vt:lpstr>부록참고</vt:lpstr>
      <vt:lpstr>부록3DB</vt:lpstr>
      <vt:lpstr>①공사개요!Print_Area</vt:lpstr>
      <vt:lpstr>'②-1 기후비작업근거'!Print_Area</vt:lpstr>
      <vt:lpstr>'②-2 기후비작업근거'!Print_Area</vt:lpstr>
      <vt:lpstr>②비작업일수!Print_Area</vt:lpstr>
      <vt:lpstr>'④-1 처리시설 작업일수'!Print_Area</vt:lpstr>
      <vt:lpstr>'④-2 횡산소규모 작업일수'!Print_Area</vt:lpstr>
      <vt:lpstr>'④-3 노동리 작업일수'!Print_Area</vt:lpstr>
      <vt:lpstr>④작업일수산정!Print_Area</vt:lpstr>
      <vt:lpstr>⑤CP구성!Print_Area</vt:lpstr>
      <vt:lpstr>⑥공사기간종합!Print_Area</vt:lpstr>
      <vt:lpstr>⑦적정성검토!Print_Area</vt:lpstr>
      <vt:lpstr>CP공정표!Print_Area</vt:lpstr>
      <vt:lpstr>'추가검토(동절기 반영)'!Print_Area</vt:lpstr>
      <vt:lpstr>③1일작업량DB!Print_Titles</vt:lpstr>
      <vt:lpstr>'④-1 처리시설 작업일수'!Print_Titles</vt:lpstr>
      <vt:lpstr>'④-2 횡산소규모 작업일수'!Print_Titles</vt:lpstr>
      <vt:lpstr>'④-3 노동리 작업일수'!Print_Titles</vt:lpstr>
      <vt:lpstr>④작업일수산정!Print_Titles</vt:lpstr>
      <vt:lpstr>⑤CP구성!Print_Titles</vt:lpstr>
      <vt:lpstr>CP공정표!Print_Titles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유태석</cp:lastModifiedBy>
  <cp:revision>1</cp:revision>
  <cp:lastPrinted>2026-09-12T02:28:16Z</cp:lastPrinted>
  <dcterms:created xsi:type="dcterms:W3CDTF">2026-06-23T09:10:02Z</dcterms:created>
  <dcterms:modified xsi:type="dcterms:W3CDTF">2026-09-12T02:37:01Z</dcterms:modified>
  <dc:language>en-US</dc:language>
</cp:coreProperties>
</file>